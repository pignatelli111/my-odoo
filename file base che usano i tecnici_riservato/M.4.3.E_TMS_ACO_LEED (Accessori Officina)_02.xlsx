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ECNICO\Standard TMS\Moduli Excel 2024\"/>
    </mc:Choice>
  </mc:AlternateContent>
  <xr:revisionPtr revIDLastSave="0" documentId="13_ncr:1_{D6BA4A78-032C-431F-9644-90A242052C21}" xr6:coauthVersionLast="47" xr6:coauthVersionMax="47" xr10:uidLastSave="{00000000-0000-0000-0000-000000000000}"/>
  <bookViews>
    <workbookView xWindow="28680" yWindow="-120" windowWidth="29040" windowHeight="15720" activeTab="1" xr2:uid="{AF3F0B3A-F797-48BF-8D83-4877CE4511A3}"/>
  </bookViews>
  <sheets>
    <sheet name="ACO" sheetId="1" r:id="rId1"/>
    <sheet name="Esempio ACO" sheetId="4" r:id="rId2"/>
    <sheet name="Elenchi" sheetId="5" state="hidden" r:id="rId3"/>
  </sheets>
  <definedNames>
    <definedName name="_xlnm.Print_Area" localSheetId="0">ACO!$A$1:$R$26</definedName>
    <definedName name="_xlnm.Print_Area" localSheetId="1">'Esempio ACO'!$A$1:$R$26</definedName>
    <definedName name="_xlnm.Print_Titles" localSheetId="0">ACO!$1:$11</definedName>
    <definedName name="_xlnm.Print_Titles" localSheetId="1">'Esempio ACO'!$1:$11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O1" i="1"/>
  <c r="O1" i="4"/>
  <c r="B7" i="4"/>
  <c r="M3" i="4"/>
  <c r="B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<sst xmlns="http://schemas.openxmlformats.org/spreadsheetml/2006/main" count="125" uniqueCount="67">
  <si>
    <t>n°ACP</t>
  </si>
  <si>
    <t>item</t>
  </si>
  <si>
    <t>TERZA CONSEGNA</t>
  </si>
  <si>
    <t>Project / Progetto</t>
  </si>
  <si>
    <t>Data / Date</t>
  </si>
  <si>
    <t>Drawn by / Redatto  da</t>
  </si>
  <si>
    <t>Check by / Verificato Da</t>
  </si>
  <si>
    <t>PROGETTISTA</t>
  </si>
  <si>
    <t>CAPO COMMESSA</t>
  </si>
  <si>
    <r>
      <t xml:space="preserve">TOPIC / </t>
    </r>
    <r>
      <rPr>
        <b/>
        <sz val="12"/>
        <rFont val="Arial"/>
        <family val="2"/>
      </rPr>
      <t>ARGOMENTO</t>
    </r>
  </si>
  <si>
    <t>UFFICIO TECNICO INTERNO o ESTERNO</t>
  </si>
  <si>
    <t>UFF.ACQUISTI</t>
  </si>
  <si>
    <t>UFF.MAGAZZINO</t>
  </si>
  <si>
    <t>POS.</t>
  </si>
  <si>
    <t>DESCRIZIONE</t>
  </si>
  <si>
    <t>COD. ARTICOLO</t>
  </si>
  <si>
    <t>DIMENSIONE  mm</t>
  </si>
  <si>
    <t>UTILIZZO</t>
  </si>
  <si>
    <t>RIFERIMENTO RDA</t>
  </si>
  <si>
    <t xml:space="preserve">DATA CONSEGNA </t>
  </si>
  <si>
    <t>N° ORDINE</t>
  </si>
  <si>
    <t>DESTINATION / DESTINAZIONE</t>
  </si>
  <si>
    <t xml:space="preserve">DDT CONSEGNE </t>
  </si>
  <si>
    <t>FORNITORE/ LOGISTICA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</si>
  <si>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</si>
  <si>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</si>
  <si>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</si>
  <si>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</si>
  <si>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</si>
  <si>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</si>
  <si>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</si>
  <si>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</si>
  <si>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</si>
  <si>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</si>
  <si>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</si>
  <si>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</si>
  <si>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52</t>
  </si>
  <si>
    <t>pz</t>
  </si>
  <si>
    <t>P0587_2018_RDA_077</t>
  </si>
  <si>
    <t>10/10/2019</t>
  </si>
  <si>
    <t>N°2018/2255</t>
  </si>
  <si>
    <t>CODICE COMMESSA</t>
  </si>
  <si>
    <t>ACCESSORI OFFICINA- ACO</t>
  </si>
  <si>
    <t xml:space="preserve">TAPPI BMP COLORE NERO </t>
  </si>
  <si>
    <t>25483A</t>
  </si>
  <si>
    <t>montante</t>
  </si>
  <si>
    <t>13</t>
  </si>
  <si>
    <t>14</t>
  </si>
  <si>
    <t>15</t>
  </si>
  <si>
    <r>
      <t xml:space="preserve">QUANTITA' TOT                                          </t>
    </r>
    <r>
      <rPr>
        <sz val="10"/>
        <rFont val="Arial"/>
        <family val="2"/>
      </rPr>
      <t>(N°Pz. o ml)</t>
    </r>
  </si>
  <si>
    <t>Unità</t>
  </si>
  <si>
    <t xml:space="preserve">IMMAGINE                       </t>
  </si>
  <si>
    <t>PESO (TOT)               Kg</t>
  </si>
  <si>
    <t>AREA                           (mq)</t>
  </si>
  <si>
    <t>(pz o ml)</t>
  </si>
  <si>
    <t>(solo se necessaria)</t>
  </si>
  <si>
    <t>L</t>
  </si>
  <si>
    <t>H</t>
  </si>
  <si>
    <t>OFFICINA DI ASSEMBLAGGIO</t>
  </si>
  <si>
    <t xml:space="preserve">MATERIALI SOGGETTI                  A PROCEDURA </t>
  </si>
  <si>
    <t>LEED</t>
  </si>
  <si>
    <t>BREAM</t>
  </si>
  <si>
    <t>M.4.3.E</t>
  </si>
  <si>
    <t>PRIMA CONS.</t>
  </si>
  <si>
    <t>SECONDA CONS.</t>
  </si>
  <si>
    <t>LOGISTICA/             CANTIERE</t>
  </si>
  <si>
    <t>LOGISTICA/     CANTIERE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</si>
</sst>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3"/>
      <color rgb="FFFF0000"/>
      <name val="Arial"/>
      <family val="2"/>
    </font>
    <font>
      <sz val="10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C5C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wrapText="1"/>
    </xf>
    <xf numFmtId="0" fontId="11" fillId="6" borderId="29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 wrapText="1"/>
    </xf>
    <xf numFmtId="2" fontId="11" fillId="0" borderId="17" xfId="0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wrapText="1"/>
    </xf>
    <xf numFmtId="0" fontId="3" fillId="6" borderId="29" xfId="0" applyFont="1" applyFill="1" applyBorder="1" applyAlignment="1">
      <alignment horizontal="center" wrapText="1"/>
    </xf>
    <xf numFmtId="0" fontId="3" fillId="6" borderId="23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3" fillId="3" borderId="23" xfId="0" applyNumberFormat="1" applyFont="1" applyFill="1" applyBorder="1" applyAlignment="1">
      <alignment horizontal="center" vertical="center" wrapText="1"/>
    </xf>
    <xf numFmtId="1" fontId="3" fillId="3" borderId="28" xfId="0" applyNumberFormat="1" applyFont="1" applyFill="1" applyBorder="1" applyAlignment="1">
      <alignment horizontal="center" vertical="center" wrapText="1"/>
    </xf>
    <xf numFmtId="1" fontId="3" fillId="3" borderId="24" xfId="0" applyNumberFormat="1" applyFont="1" applyFill="1" applyBorder="1" applyAlignment="1">
      <alignment horizontal="center" vertical="center" wrapText="1"/>
    </xf>
    <xf numFmtId="1" fontId="3" fillId="3" borderId="29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right" vertical="center"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7" fillId="3" borderId="11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001E-B2DD-4BAF-A3BF-851D2367E4FB}">
  <sheetPr>
    <pageSetUpPr fitToPage="1"/>
  </sheetPr>
  <dimension ref="A1:R26"/>
  <sheetViews>
    <sheetView view="pageBreakPreview" zoomScale="70" zoomScaleNormal="100" zoomScaleSheetLayoutView="70" workbookViewId="0">
      <selection activeCell="A12" sqref="A12"/>
    </sheetView>
  </sheetViews>
  <sheetFormatPr defaultRowHeight="30" customHeight="1" x14ac:dyDescent="0.25"/>
  <cols>
    <col min="1" max="1" width="9.85546875" style="1" customWidth="1"/>
    <col min="2" max="2" width="56.85546875" style="1" bestFit="1" customWidth="1"/>
    <col min="3" max="4" width="11" style="1" customWidth="1"/>
    <col min="5" max="5" width="9.42578125" style="1" customWidth="1"/>
    <col min="6" max="6" width="40.7109375" style="1" customWidth="1"/>
    <col min="7" max="7" width="6.28515625" style="1" customWidth="1"/>
    <col min="8" max="8" width="13.42578125" style="1" customWidth="1"/>
    <col min="9" max="10" width="9.5703125" style="1" customWidth="1"/>
    <col min="11" max="11" width="10.7109375" style="1" customWidth="1"/>
    <col min="12" max="12" width="13.5703125" style="1" customWidth="1"/>
    <col min="13" max="13" width="21.7109375" style="1" customWidth="1"/>
    <col min="14" max="14" width="13.5703125" style="1" customWidth="1"/>
    <col min="15" max="15" width="17.5703125" style="1" bestFit="1" customWidth="1"/>
    <col min="16" max="16" width="20.28515625" style="1" bestFit="1" customWidth="1"/>
    <col min="17" max="17" width="17" style="1" customWidth="1"/>
    <col min="18" max="18" width="18" style="1" customWidth="1"/>
    <col min="19" max="16384" width="9.140625" style="1"/>
  </cols>
  <sheetData>
    <row r="1" spans="1:18" ht="18.75" customHeight="1" thickBot="1" x14ac:dyDescent="0.3">
      <c r="A1" s="73" t="e" vm="1">
        <v>#VALUE!</v>
      </c>
      <c r="B1" s="74"/>
      <c r="C1" s="10"/>
      <c r="D1" s="10"/>
      <c r="E1" s="10"/>
      <c r="F1" s="11"/>
      <c r="G1" s="83" t="s">
        <v>42</v>
      </c>
      <c r="H1" s="84"/>
      <c r="I1" s="84"/>
      <c r="J1" s="84"/>
      <c r="K1" s="84"/>
      <c r="L1" s="84"/>
      <c r="M1" s="84"/>
      <c r="N1" s="84"/>
      <c r="O1" s="9" t="str">
        <f>G5</f>
        <v>LEED</v>
      </c>
      <c r="P1" s="9"/>
      <c r="Q1" s="103" t="s">
        <v>62</v>
      </c>
      <c r="R1" s="104"/>
    </row>
    <row r="2" spans="1:18" ht="18.75" customHeight="1" thickBot="1" x14ac:dyDescent="0.3">
      <c r="A2" s="75"/>
      <c r="B2" s="76"/>
      <c r="F2" s="4"/>
      <c r="G2" s="85" t="s">
        <v>59</v>
      </c>
      <c r="H2" s="86"/>
      <c r="I2" s="35" t="s">
        <v>3</v>
      </c>
      <c r="J2" s="36"/>
      <c r="K2" s="36"/>
      <c r="L2" s="37"/>
      <c r="M2" s="38" t="s">
        <v>41</v>
      </c>
      <c r="N2" s="39"/>
      <c r="O2" s="13" t="s">
        <v>63</v>
      </c>
      <c r="P2" s="14" t="s">
        <v>64</v>
      </c>
      <c r="Q2" s="52" t="s">
        <v>2</v>
      </c>
      <c r="R2" s="53"/>
    </row>
    <row r="3" spans="1:18" ht="15" x14ac:dyDescent="0.25">
      <c r="A3" s="75"/>
      <c r="B3" s="76"/>
      <c r="F3" s="4"/>
      <c r="G3" s="87"/>
      <c r="H3" s="88"/>
      <c r="I3" s="40" t="s">
        <v>4</v>
      </c>
      <c r="J3" s="41"/>
      <c r="K3" s="41"/>
      <c r="L3" s="42"/>
      <c r="M3" s="43">
        <f ca="1">NOW()</f>
        <v>45737.490834490738</v>
      </c>
      <c r="N3" s="44"/>
      <c r="O3" s="54"/>
      <c r="P3" s="54"/>
      <c r="Q3" s="29"/>
      <c r="R3" s="30"/>
    </row>
    <row r="4" spans="1:18" ht="15" x14ac:dyDescent="0.25">
      <c r="A4" s="75"/>
      <c r="B4" s="76"/>
      <c r="F4" s="4"/>
      <c r="G4" s="87"/>
      <c r="H4" s="88"/>
      <c r="I4" s="40" t="s">
        <v>5</v>
      </c>
      <c r="J4" s="41"/>
      <c r="K4" s="41"/>
      <c r="L4" s="42"/>
      <c r="M4" s="45" t="s">
        <v>7</v>
      </c>
      <c r="N4" s="46"/>
      <c r="O4" s="55"/>
      <c r="P4" s="55"/>
      <c r="Q4" s="31"/>
      <c r="R4" s="32"/>
    </row>
    <row r="5" spans="1:18" ht="17.25" thickBot="1" x14ac:dyDescent="0.3">
      <c r="A5" s="77"/>
      <c r="B5" s="78"/>
      <c r="C5" s="7"/>
      <c r="D5" s="7"/>
      <c r="E5" s="7"/>
      <c r="F5" s="12"/>
      <c r="G5" s="89" t="s">
        <v>60</v>
      </c>
      <c r="H5" s="90"/>
      <c r="I5" s="47" t="s">
        <v>6</v>
      </c>
      <c r="J5" s="48"/>
      <c r="K5" s="48"/>
      <c r="L5" s="49"/>
      <c r="M5" s="50" t="s">
        <v>8</v>
      </c>
      <c r="N5" s="51"/>
      <c r="O5" s="56"/>
      <c r="P5" s="56"/>
      <c r="Q5" s="33"/>
      <c r="R5" s="34"/>
    </row>
    <row r="6" spans="1:18" ht="6" customHeight="1" thickBot="1" x14ac:dyDescent="0.3"/>
    <row r="7" spans="1:18" ht="31.5" customHeight="1" thickBot="1" x14ac:dyDescent="0.3">
      <c r="A7" s="2" t="s">
        <v>0</v>
      </c>
      <c r="B7" s="91" t="str">
        <f ca="1">MID(CELL("FILENAME",B76),FIND("[",CELL("FILENAME",B76))+1,FIND("]",CELL("FILENAME",B76))-FIND("[",CELL("FILENAME",B76))-6)</f>
        <v>M.4.3.E_TMS_ACO_LEED (Accessori Officina)_02</v>
      </c>
      <c r="C7" s="92"/>
      <c r="D7" s="93"/>
      <c r="E7" s="94" t="s">
        <v>1</v>
      </c>
      <c r="F7" s="95"/>
      <c r="G7" s="96"/>
      <c r="H7" s="5"/>
      <c r="I7" s="97" t="s">
        <v>9</v>
      </c>
      <c r="J7" s="98"/>
      <c r="K7" s="98"/>
      <c r="L7" s="99"/>
      <c r="M7" s="100"/>
      <c r="N7" s="101"/>
      <c r="O7" s="101"/>
      <c r="P7" s="101"/>
      <c r="Q7" s="101"/>
      <c r="R7" s="102"/>
    </row>
    <row r="8" spans="1:18" ht="10.5" customHeight="1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1.25" customHeight="1" thickBot="1" x14ac:dyDescent="0.25">
      <c r="A9" s="107" t="s">
        <v>10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9"/>
      <c r="O9" s="110" t="s">
        <v>11</v>
      </c>
      <c r="P9" s="111"/>
      <c r="Q9" s="3" t="s">
        <v>11</v>
      </c>
      <c r="R9" s="3" t="s">
        <v>12</v>
      </c>
    </row>
    <row r="10" spans="1:18" ht="30.75" customHeight="1" x14ac:dyDescent="0.25">
      <c r="A10" s="65" t="s">
        <v>13</v>
      </c>
      <c r="B10" s="67" t="s">
        <v>14</v>
      </c>
      <c r="C10" s="67" t="s">
        <v>15</v>
      </c>
      <c r="D10" s="59" t="s">
        <v>49</v>
      </c>
      <c r="E10" s="15" t="s">
        <v>50</v>
      </c>
      <c r="F10" s="16" t="s">
        <v>51</v>
      </c>
      <c r="G10" s="69"/>
      <c r="H10" s="61" t="s">
        <v>17</v>
      </c>
      <c r="I10" s="63" t="s">
        <v>16</v>
      </c>
      <c r="J10" s="64"/>
      <c r="K10" s="71" t="s">
        <v>52</v>
      </c>
      <c r="L10" s="61" t="s">
        <v>53</v>
      </c>
      <c r="M10" s="79" t="s">
        <v>18</v>
      </c>
      <c r="N10" s="81" t="s">
        <v>19</v>
      </c>
      <c r="O10" s="79" t="s">
        <v>20</v>
      </c>
      <c r="P10" s="57" t="s">
        <v>21</v>
      </c>
      <c r="Q10" s="105" t="s">
        <v>22</v>
      </c>
      <c r="R10" s="106"/>
    </row>
    <row r="11" spans="1:18" ht="38.25" customHeight="1" thickBot="1" x14ac:dyDescent="0.3">
      <c r="A11" s="66"/>
      <c r="B11" s="68"/>
      <c r="C11" s="68"/>
      <c r="D11" s="60"/>
      <c r="E11" s="8" t="s">
        <v>54</v>
      </c>
      <c r="F11" s="17" t="s">
        <v>55</v>
      </c>
      <c r="G11" s="70"/>
      <c r="H11" s="62"/>
      <c r="I11" s="18" t="s">
        <v>56</v>
      </c>
      <c r="J11" s="18" t="s">
        <v>57</v>
      </c>
      <c r="K11" s="72"/>
      <c r="L11" s="62"/>
      <c r="M11" s="80"/>
      <c r="N11" s="82"/>
      <c r="O11" s="80"/>
      <c r="P11" s="58"/>
      <c r="Q11" s="19" t="s">
        <v>23</v>
      </c>
      <c r="R11" s="20" t="s">
        <v>65</v>
      </c>
    </row>
    <row r="12" spans="1:18" ht="30" customHeight="1" x14ac:dyDescent="0.25">
      <c r="A12" s="21" t="s">
        <v>24</v>
      </c>
      <c r="B12" s="22"/>
      <c r="C12" s="23"/>
      <c r="D12" s="23"/>
      <c r="E12" s="23"/>
      <c r="F12" s="23"/>
      <c r="G12" s="23"/>
      <c r="H12" s="23"/>
      <c r="I12" s="24"/>
      <c r="J12" s="24"/>
      <c r="K12" s="23"/>
      <c r="L12" s="25"/>
      <c r="M12" s="26"/>
      <c r="N12" s="24"/>
      <c r="O12" s="26"/>
      <c r="P12" s="22"/>
      <c r="Q12" s="27"/>
      <c r="R12" s="27"/>
    </row>
    <row r="13" spans="1:18" ht="30" customHeight="1" x14ac:dyDescent="0.25">
      <c r="A13" s="21" t="s">
        <v>25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spans="1:18" ht="30" customHeight="1" x14ac:dyDescent="0.25">
      <c r="A14" s="21" t="s">
        <v>26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spans="1:18" ht="30" customHeight="1" x14ac:dyDescent="0.25">
      <c r="A15" s="21" t="s">
        <v>27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ht="30" customHeight="1" x14ac:dyDescent="0.25">
      <c r="A16" s="21" t="s">
        <v>28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30" customHeight="1" x14ac:dyDescent="0.25">
      <c r="A17" s="21" t="s">
        <v>29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30" customHeight="1" x14ac:dyDescent="0.25">
      <c r="A18" s="21" t="s">
        <v>30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1:18" ht="30" customHeight="1" x14ac:dyDescent="0.25">
      <c r="A19" s="21" t="s">
        <v>31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30" customHeight="1" x14ac:dyDescent="0.25">
      <c r="A20" s="21" t="s">
        <v>32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18" ht="30" customHeight="1" x14ac:dyDescent="0.25">
      <c r="A21" s="21" t="s">
        <v>33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30" customHeight="1" x14ac:dyDescent="0.25">
      <c r="A22" s="21" t="s">
        <v>34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ht="30" customHeight="1" x14ac:dyDescent="0.25">
      <c r="A23" s="21" t="s">
        <v>35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spans="1:18" ht="30" customHeight="1" x14ac:dyDescent="0.25">
      <c r="A24" s="21" t="s">
        <v>46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18" ht="30" customHeight="1" x14ac:dyDescent="0.25">
      <c r="A25" s="21" t="s">
        <v>47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18" ht="30" customHeight="1" x14ac:dyDescent="0.25">
      <c r="A26" s="21" t="s">
        <v>48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</sheetData>
  <mergeCells count="37">
    <mergeCell ref="A1:B5"/>
    <mergeCell ref="L10:L11"/>
    <mergeCell ref="M10:M11"/>
    <mergeCell ref="N10:N11"/>
    <mergeCell ref="O10:O11"/>
    <mergeCell ref="G1:N1"/>
    <mergeCell ref="G2:H4"/>
    <mergeCell ref="G5:H5"/>
    <mergeCell ref="B7:D7"/>
    <mergeCell ref="E7:G7"/>
    <mergeCell ref="I7:L7"/>
    <mergeCell ref="M7:R7"/>
    <mergeCell ref="Q1:R1"/>
    <mergeCell ref="Q10:R10"/>
    <mergeCell ref="A9:N9"/>
    <mergeCell ref="O9:P9"/>
    <mergeCell ref="A10:A11"/>
    <mergeCell ref="B10:B11"/>
    <mergeCell ref="C10:C11"/>
    <mergeCell ref="G10:G11"/>
    <mergeCell ref="K10:K11"/>
    <mergeCell ref="P10:P11"/>
    <mergeCell ref="D10:D11"/>
    <mergeCell ref="H10:H11"/>
    <mergeCell ref="I10:J10"/>
    <mergeCell ref="P3:P5"/>
    <mergeCell ref="Q3:R5"/>
    <mergeCell ref="I2:L2"/>
    <mergeCell ref="M2:N2"/>
    <mergeCell ref="I3:L3"/>
    <mergeCell ref="M3:N3"/>
    <mergeCell ref="I4:L4"/>
    <mergeCell ref="M4:N4"/>
    <mergeCell ref="I5:L5"/>
    <mergeCell ref="M5:N5"/>
    <mergeCell ref="Q2:R2"/>
    <mergeCell ref="O3:O5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15DCAE-6309-439B-B550-6500A7CEDE3D}">
          <x14:formula1>
            <xm:f>Elenchi!$A$1:$A$3</xm:f>
          </x14:formula1>
          <xm:sqref>G5:H5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EA57-798B-4618-8DA9-4C4E4CEE124B}">
  <sheetPr>
    <pageSetUpPr fitToPage="1"/>
  </sheetPr>
  <dimension ref="A1:R26"/>
  <sheetViews>
    <sheetView tabSelected="1" view="pageBreakPreview" zoomScale="70" zoomScaleNormal="100" zoomScaleSheetLayoutView="70" workbookViewId="0">
      <selection activeCell="U13" sqref="U13"/>
    </sheetView>
  </sheetViews>
  <sheetFormatPr defaultRowHeight="30" customHeight="1" x14ac:dyDescent="0.25"/>
  <cols>
    <col min="1" max="1" width="9.85546875" style="1" customWidth="1"/>
    <col min="2" max="2" width="56.85546875" style="1" bestFit="1" customWidth="1"/>
    <col min="3" max="4" width="11" style="1" customWidth="1"/>
    <col min="5" max="5" width="9.42578125" style="1" customWidth="1"/>
    <col min="6" max="6" width="40.7109375" style="1" customWidth="1"/>
    <col min="7" max="7" width="6.28515625" style="1" customWidth="1"/>
    <col min="8" max="8" width="13.42578125" style="1" customWidth="1"/>
    <col min="9" max="10" width="9.5703125" style="1" customWidth="1"/>
    <col min="11" max="11" width="10.7109375" style="1" customWidth="1"/>
    <col min="12" max="12" width="13.5703125" style="1" customWidth="1"/>
    <col min="13" max="13" width="21.7109375" style="1" customWidth="1"/>
    <col min="14" max="14" width="13.5703125" style="1" customWidth="1"/>
    <col min="15" max="15" width="17.5703125" style="1" bestFit="1" customWidth="1"/>
    <col min="16" max="16" width="20.28515625" style="1" bestFit="1" customWidth="1"/>
    <col min="17" max="17" width="17" style="1" customWidth="1"/>
    <col min="18" max="18" width="18" style="1" customWidth="1"/>
    <col min="19" max="16384" width="9.140625" style="1"/>
  </cols>
  <sheetData>
    <row r="1" spans="1:18" ht="18.75" customHeight="1" thickBot="1" x14ac:dyDescent="0.3">
      <c r="A1" s="73" t="e" vm="1">
        <v>#VALUE!</v>
      </c>
      <c r="B1" s="74"/>
      <c r="C1" s="10"/>
      <c r="D1" s="10"/>
      <c r="E1" s="10"/>
      <c r="F1" s="11"/>
      <c r="G1" s="83" t="s">
        <v>42</v>
      </c>
      <c r="H1" s="84"/>
      <c r="I1" s="84"/>
      <c r="J1" s="84"/>
      <c r="K1" s="84"/>
      <c r="L1" s="84"/>
      <c r="M1" s="84"/>
      <c r="N1" s="84"/>
      <c r="O1" s="9" t="str">
        <f>G5</f>
        <v>LEED</v>
      </c>
      <c r="P1" s="9"/>
      <c r="Q1" s="103" t="s">
        <v>62</v>
      </c>
      <c r="R1" s="104"/>
    </row>
    <row r="2" spans="1:18" ht="18.75" customHeight="1" thickBot="1" x14ac:dyDescent="0.3">
      <c r="A2" s="75"/>
      <c r="B2" s="76"/>
      <c r="F2" s="4"/>
      <c r="G2" s="85" t="s">
        <v>59</v>
      </c>
      <c r="H2" s="86"/>
      <c r="I2" s="35" t="s">
        <v>3</v>
      </c>
      <c r="J2" s="36"/>
      <c r="K2" s="36"/>
      <c r="L2" s="37"/>
      <c r="M2" s="38" t="s">
        <v>41</v>
      </c>
      <c r="N2" s="39"/>
      <c r="O2" s="13" t="s">
        <v>63</v>
      </c>
      <c r="P2" s="14" t="s">
        <v>64</v>
      </c>
      <c r="Q2" s="52" t="s">
        <v>2</v>
      </c>
      <c r="R2" s="53"/>
    </row>
    <row r="3" spans="1:18" ht="15" x14ac:dyDescent="0.25">
      <c r="A3" s="75"/>
      <c r="B3" s="76"/>
      <c r="F3" s="4"/>
      <c r="G3" s="87"/>
      <c r="H3" s="88"/>
      <c r="I3" s="40" t="s">
        <v>4</v>
      </c>
      <c r="J3" s="41"/>
      <c r="K3" s="41"/>
      <c r="L3" s="42"/>
      <c r="M3" s="43">
        <f ca="1">NOW()</f>
        <v>45737.490834490738</v>
      </c>
      <c r="N3" s="44"/>
      <c r="O3" s="54"/>
      <c r="P3" s="54"/>
      <c r="Q3" s="29"/>
      <c r="R3" s="30"/>
    </row>
    <row r="4" spans="1:18" ht="15" x14ac:dyDescent="0.25">
      <c r="A4" s="75"/>
      <c r="B4" s="76"/>
      <c r="F4" s="4"/>
      <c r="G4" s="87"/>
      <c r="H4" s="88"/>
      <c r="I4" s="40" t="s">
        <v>5</v>
      </c>
      <c r="J4" s="41"/>
      <c r="K4" s="41"/>
      <c r="L4" s="42"/>
      <c r="M4" s="45" t="s">
        <v>7</v>
      </c>
      <c r="N4" s="46"/>
      <c r="O4" s="55"/>
      <c r="P4" s="55"/>
      <c r="Q4" s="31"/>
      <c r="R4" s="32"/>
    </row>
    <row r="5" spans="1:18" ht="17.25" thickBot="1" x14ac:dyDescent="0.3">
      <c r="A5" s="77"/>
      <c r="B5" s="78"/>
      <c r="C5" s="7"/>
      <c r="D5" s="7"/>
      <c r="E5" s="7"/>
      <c r="F5" s="12"/>
      <c r="G5" s="89" t="s">
        <v>60</v>
      </c>
      <c r="H5" s="90"/>
      <c r="I5" s="47" t="s">
        <v>6</v>
      </c>
      <c r="J5" s="48"/>
      <c r="K5" s="48"/>
      <c r="L5" s="49"/>
      <c r="M5" s="50" t="s">
        <v>8</v>
      </c>
      <c r="N5" s="51"/>
      <c r="O5" s="56"/>
      <c r="P5" s="56"/>
      <c r="Q5" s="33"/>
      <c r="R5" s="34"/>
    </row>
    <row r="6" spans="1:18" ht="6" customHeight="1" thickBot="1" x14ac:dyDescent="0.3"/>
    <row r="7" spans="1:18" ht="31.5" customHeight="1" thickBot="1" x14ac:dyDescent="0.3">
      <c r="A7" s="2" t="s">
        <v>0</v>
      </c>
      <c r="B7" s="91" t="str">
        <f ca="1">MID(CELL("FILENAME",B76),FIND("[",CELL("FILENAME",B76))+1,FIND("]",CELL("FILENAME",B76))-FIND("[",CELL("FILENAME",B76))-6)</f>
        <v>M.4.3.E_TMS_ACO_LEED (Accessori Officina)_02</v>
      </c>
      <c r="C7" s="92"/>
      <c r="D7" s="93"/>
      <c r="E7" s="94" t="s">
        <v>1</v>
      </c>
      <c r="F7" s="95"/>
      <c r="G7" s="96"/>
      <c r="H7" s="5"/>
      <c r="I7" s="97" t="s">
        <v>9</v>
      </c>
      <c r="J7" s="98"/>
      <c r="K7" s="98"/>
      <c r="L7" s="99"/>
      <c r="M7" s="100"/>
      <c r="N7" s="101"/>
      <c r="O7" s="101"/>
      <c r="P7" s="101"/>
      <c r="Q7" s="101"/>
      <c r="R7" s="102"/>
    </row>
    <row r="8" spans="1:18" ht="10.5" customHeight="1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1.25" customHeight="1" thickBot="1" x14ac:dyDescent="0.25">
      <c r="A9" s="107" t="s">
        <v>10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9"/>
      <c r="O9" s="110" t="s">
        <v>11</v>
      </c>
      <c r="P9" s="111"/>
      <c r="Q9" s="3" t="s">
        <v>11</v>
      </c>
      <c r="R9" s="3" t="s">
        <v>12</v>
      </c>
    </row>
    <row r="10" spans="1:18" ht="30.75" customHeight="1" x14ac:dyDescent="0.25">
      <c r="A10" s="65" t="s">
        <v>13</v>
      </c>
      <c r="B10" s="67" t="s">
        <v>14</v>
      </c>
      <c r="C10" s="67" t="s">
        <v>15</v>
      </c>
      <c r="D10" s="59" t="s">
        <v>49</v>
      </c>
      <c r="E10" s="15" t="s">
        <v>50</v>
      </c>
      <c r="F10" s="16" t="s">
        <v>51</v>
      </c>
      <c r="G10" s="69"/>
      <c r="H10" s="61" t="s">
        <v>17</v>
      </c>
      <c r="I10" s="63" t="s">
        <v>16</v>
      </c>
      <c r="J10" s="64"/>
      <c r="K10" s="71" t="s">
        <v>52</v>
      </c>
      <c r="L10" s="61" t="s">
        <v>53</v>
      </c>
      <c r="M10" s="79" t="s">
        <v>18</v>
      </c>
      <c r="N10" s="81" t="s">
        <v>19</v>
      </c>
      <c r="O10" s="79" t="s">
        <v>20</v>
      </c>
      <c r="P10" s="57" t="s">
        <v>21</v>
      </c>
      <c r="Q10" s="105" t="s">
        <v>22</v>
      </c>
      <c r="R10" s="106"/>
    </row>
    <row r="11" spans="1:18" ht="38.25" customHeight="1" thickBot="1" x14ac:dyDescent="0.3">
      <c r="A11" s="66"/>
      <c r="B11" s="68"/>
      <c r="C11" s="68"/>
      <c r="D11" s="60"/>
      <c r="E11" s="8" t="s">
        <v>54</v>
      </c>
      <c r="F11" s="17" t="s">
        <v>55</v>
      </c>
      <c r="G11" s="70"/>
      <c r="H11" s="62"/>
      <c r="I11" s="18" t="s">
        <v>56</v>
      </c>
      <c r="J11" s="18" t="s">
        <v>57</v>
      </c>
      <c r="K11" s="72"/>
      <c r="L11" s="62"/>
      <c r="M11" s="80"/>
      <c r="N11" s="82"/>
      <c r="O11" s="80"/>
      <c r="P11" s="58"/>
      <c r="Q11" s="19" t="s">
        <v>23</v>
      </c>
      <c r="R11" s="20" t="s">
        <v>66</v>
      </c>
    </row>
    <row r="12" spans="1:18" ht="30" customHeight="1" x14ac:dyDescent="0.25">
      <c r="A12" s="21" t="s">
        <v>24</v>
      </c>
      <c r="B12" s="22" t="s">
        <v>43</v>
      </c>
      <c r="C12" s="23" t="s">
        <v>44</v>
      </c>
      <c r="D12" s="23">
        <v>50</v>
      </c>
      <c r="E12" s="23" t="s">
        <v>37</v>
      </c>
      <c r="F12" s="23" t="s">
        <v>36</v>
      </c>
      <c r="G12" s="23">
        <v>3</v>
      </c>
      <c r="H12" s="23" t="s">
        <v>45</v>
      </c>
      <c r="I12" s="24">
        <v>50</v>
      </c>
      <c r="J12" s="24">
        <v>100</v>
      </c>
      <c r="K12" s="23">
        <v>52</v>
      </c>
      <c r="L12" s="25"/>
      <c r="M12" s="26" t="s">
        <v>38</v>
      </c>
      <c r="N12" s="24" t="s">
        <v>39</v>
      </c>
      <c r="O12" s="26" t="s">
        <v>40</v>
      </c>
      <c r="P12" s="22" t="s">
        <v>58</v>
      </c>
      <c r="Q12" s="27"/>
      <c r="R12" s="27"/>
    </row>
    <row r="13" spans="1:18" ht="30" customHeight="1" x14ac:dyDescent="0.25">
      <c r="A13" s="21" t="s">
        <v>25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spans="1:18" ht="30" customHeight="1" x14ac:dyDescent="0.25">
      <c r="A14" s="21" t="s">
        <v>26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spans="1:18" ht="30" customHeight="1" x14ac:dyDescent="0.25">
      <c r="A15" s="21" t="s">
        <v>27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ht="30" customHeight="1" x14ac:dyDescent="0.25">
      <c r="A16" s="21" t="s">
        <v>28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30" customHeight="1" x14ac:dyDescent="0.25">
      <c r="A17" s="21" t="s">
        <v>29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30" customHeight="1" x14ac:dyDescent="0.25">
      <c r="A18" s="21" t="s">
        <v>30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1:18" ht="30" customHeight="1" x14ac:dyDescent="0.25">
      <c r="A19" s="21" t="s">
        <v>31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30" customHeight="1" x14ac:dyDescent="0.25">
      <c r="A20" s="21" t="s">
        <v>32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18" ht="30" customHeight="1" x14ac:dyDescent="0.25">
      <c r="A21" s="21" t="s">
        <v>33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30" customHeight="1" x14ac:dyDescent="0.25">
      <c r="A22" s="21" t="s">
        <v>34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ht="30" customHeight="1" x14ac:dyDescent="0.25">
      <c r="A23" s="21" t="s">
        <v>35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spans="1:18" ht="30" customHeight="1" x14ac:dyDescent="0.25">
      <c r="A24" s="21" t="s">
        <v>46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18" ht="30" customHeight="1" x14ac:dyDescent="0.25">
      <c r="A25" s="21" t="s">
        <v>47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18" ht="30" customHeight="1" x14ac:dyDescent="0.25">
      <c r="A26" s="21" t="s">
        <v>48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</sheetData>
  <mergeCells count="37">
    <mergeCell ref="B7:D7"/>
    <mergeCell ref="E7:G7"/>
    <mergeCell ref="I7:L7"/>
    <mergeCell ref="M7:R7"/>
    <mergeCell ref="G2:H4"/>
    <mergeCell ref="A1:B5"/>
    <mergeCell ref="Q1:R1"/>
    <mergeCell ref="I2:L2"/>
    <mergeCell ref="M2:N2"/>
    <mergeCell ref="Q2:R2"/>
    <mergeCell ref="I3:L3"/>
    <mergeCell ref="M3:N3"/>
    <mergeCell ref="O3:O5"/>
    <mergeCell ref="P3:P5"/>
    <mergeCell ref="Q3:R5"/>
    <mergeCell ref="I4:L4"/>
    <mergeCell ref="Q10:R10"/>
    <mergeCell ref="A9:N9"/>
    <mergeCell ref="O9:P9"/>
    <mergeCell ref="A10:A11"/>
    <mergeCell ref="B10:B11"/>
    <mergeCell ref="C10:C11"/>
    <mergeCell ref="D10:D11"/>
    <mergeCell ref="G10:G11"/>
    <mergeCell ref="H10:H11"/>
    <mergeCell ref="I10:J10"/>
    <mergeCell ref="K10:K11"/>
    <mergeCell ref="O10:O11"/>
    <mergeCell ref="P10:P11"/>
    <mergeCell ref="G5:H5"/>
    <mergeCell ref="G1:N1"/>
    <mergeCell ref="L10:L11"/>
    <mergeCell ref="M10:M11"/>
    <mergeCell ref="N10:N11"/>
    <mergeCell ref="M4:N4"/>
    <mergeCell ref="I5:L5"/>
    <mergeCell ref="M5:N5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DD7F9C-7CCB-4853-8835-4FECCFB3F1BC}">
          <x14:formula1>
            <xm:f>Elenchi!$A$1:$A$3</xm:f>
          </x14:formula1>
          <xm:sqref>G5:H5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42C4-ADD7-4F71-B160-0F9B4247C019}">
  <dimension ref="A2:A3"/>
  <sheetViews>
    <sheetView workbookViewId="0">
      <selection activeCell="K8" sqref="K8"/>
    </sheetView>
  </sheetViews>
  <sheetFormatPr defaultRowHeight="15" x14ac:dyDescent="0.25"/>
  <sheetData>
    <row r="2" spans="1:1" x14ac:dyDescent="0.25">
      <c r="A2" t="s">
        <v>60</v>
      </c>
    </row>
    <row r="3" spans="1:1" x14ac:dyDescent="0.25">
      <c r="A3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EFC4C62C73E341AE470D55FF017973" ma:contentTypeVersion="14" ma:contentTypeDescription="Creare un nuovo documento." ma:contentTypeScope="" ma:versionID="e2a9dfc757308fdfd7481b7f5ed59060">
  <xsd:schema xmlns:xsd="http://www.w3.org/2001/XMLSchema" xmlns:xs="http://www.w3.org/2001/XMLSchema" xmlns:p="http://schemas.microsoft.com/office/2006/metadata/properties" xmlns:ns2="c47e9452-1e05-4868-9d41-4e456a959453" xmlns:ns3="7f49b8c5-473d-4dcd-bb22-8b98212e2f28" targetNamespace="http://schemas.microsoft.com/office/2006/metadata/properties" ma:root="true" ma:fieldsID="90859e7d8808c8241e6f62dca9f22f1b" ns2:_="" ns3:_="">
    <xsd:import namespace="c47e9452-1e05-4868-9d41-4e456a959453"/>
    <xsd:import namespace="7f49b8c5-473d-4dcd-bb22-8b98212e2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e9452-1e05-4868-9d41-4e456a9594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afca0ef-3383-442c-ab8a-3462c2436b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9b8c5-473d-4dcd-bb22-8b98212e2f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6c6581-9f69-499d-9077-5ff7176a52c1}" ma:internalName="TaxCatchAll" ma:showField="CatchAllData" ma:web="7f49b8c5-473d-4dcd-bb22-8b98212e2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49b8c5-473d-4dcd-bb22-8b98212e2f28" xsi:nil="true"/>
    <lcf76f155ced4ddcb4097134ff3c332f xmlns="c47e9452-1e05-4868-9d41-4e456a9594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158684-CCE2-4DA5-99D4-3112B012609A}"/>
</file>

<file path=customXml/itemProps2.xml><?xml version="1.0" encoding="utf-8"?>
<ds:datastoreItem xmlns:ds="http://schemas.openxmlformats.org/officeDocument/2006/customXml" ds:itemID="{37EBA416-E098-428E-B0AE-C07FADCEEF2C}"/>
</file>

<file path=customXml/itemProps3.xml><?xml version="1.0" encoding="utf-8"?>
<ds:datastoreItem xmlns:ds="http://schemas.openxmlformats.org/officeDocument/2006/customXml" ds:itemID="{AFE8CED5-CA0A-45EB-B695-D2DD7C5A9C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4</vt:i4>
      </vt:variant>
    </vt:vector>
  </HeadingPairs>
  <TitlesOfParts>
    <vt:vector size="7" baseType="lpstr">
      <vt:lpstr>ACO</vt:lpstr>
      <vt:lpstr>Esempio ACO</vt:lpstr>
      <vt:lpstr>Elenchi</vt:lpstr>
      <vt:lpstr>ACO!Area_stampa</vt:lpstr>
      <vt:lpstr>'Esempio ACO'!Area_stampa</vt:lpstr>
      <vt:lpstr>ACO!Titoli_stampa</vt:lpstr>
      <vt:lpstr>'Esempio ACO'!Titoli_stampa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Scheidegger</dc:creator>
  <cp:lastModifiedBy>Marco Lissoni - Tecnomont Solutions</cp:lastModifiedBy>
  <cp:lastPrinted>2024-06-18T09:31:46Z</cp:lastPrinted>
  <dcterms:created xsi:type="dcterms:W3CDTF">2020-01-15T09:59:04Z</dcterms:created>
  <dcterms:modified xsi:type="dcterms:W3CDTF">2025-03-21T10:46:49Z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0x010100D1EFC4C62C73E341AE470D55FF017973</vt:lpwstr>
  </property>
</Properties>
</file>