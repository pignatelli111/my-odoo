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ECNICO\Standard TMS\Moduli Excel 2024\"/>
    </mc:Choice>
  </mc:AlternateContent>
  <xr:revisionPtr revIDLastSave="0" documentId="13_ncr:1_{989EACE9-BC2B-4843-A2D4-489C750A15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DA" sheetId="6" r:id="rId1"/>
    <sheet name="Esempio RDA" sheetId="10" r:id="rId2"/>
    <sheet name="Vdc" sheetId="4" r:id="rId3"/>
    <sheet name="Elenchi" sheetId="8" state="hidden" r:id="rId4"/>
  </sheets>
  <definedNames>
    <definedName name="_xlnm._FilterDatabase" localSheetId="2" hidden="1">Vdc!$A$1:$F$106</definedName>
    <definedName name="_xlnm.Print_Area" localSheetId="1">'Esempio RDA'!$A$1:$T$21</definedName>
    <definedName name="_xlnm.Print_Area" localSheetId="0">RDA!$A$1:$T$21</definedName>
    <definedName name="_xlnm.Print_Titles" localSheetId="1">'Esempio RDA'!$1:$12</definedName>
    <definedName name="_xlnm.Print_Titles" localSheetId="0">RDA!$1:$12</definedName>
    <definedName name="VdC_Progressivo">Vdc!$A$3:$A$105</definedName>
    <definedName name="VdC_Voce_di_Budget">Vdc!$B$2:$B$105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" i="6" l="1"/>
  <c r="Q1" i="10"/>
  <c r="P14" i="10" l="1"/>
  <c r="P13" i="10"/>
  <c r="O14" i="10"/>
  <c r="O13" i="10"/>
  <c r="B7" i="10"/>
  <c r="B7" i="6" l="1"/>
</calcChain>
</file>

<file path=xl/sharedStrings.xml><?xml version="1.0" encoding="utf-8"?>
<sst xmlns="http://schemas.openxmlformats.org/spreadsheetml/2006/main" count="535" uniqueCount="353">
  <si>
    <t>Project / Progetto</t>
  </si>
  <si>
    <t>Data / Date</t>
  </si>
  <si>
    <t>Check by / Verificato Da</t>
  </si>
  <si>
    <t>DESCRIZIONE</t>
  </si>
  <si>
    <t>UTILIZZO</t>
  </si>
  <si>
    <t>DESTINATION / DESTINAZIONE</t>
  </si>
  <si>
    <t>APPROVVIGIONAMENTO</t>
  </si>
  <si>
    <t>ACQUISTO</t>
  </si>
  <si>
    <t>POS.</t>
  </si>
  <si>
    <t>PRIMA CONSEGNA</t>
  </si>
  <si>
    <t>SECONDA CONSEGNA</t>
  </si>
  <si>
    <t>MAGAZZINO</t>
  </si>
  <si>
    <t>DATA CONSEGNA</t>
  </si>
  <si>
    <t>note</t>
  </si>
  <si>
    <t>01</t>
  </si>
  <si>
    <t>02</t>
  </si>
  <si>
    <t>03</t>
  </si>
  <si>
    <t>04</t>
  </si>
  <si>
    <t>05</t>
  </si>
  <si>
    <t>15</t>
  </si>
  <si>
    <t>16</t>
  </si>
  <si>
    <t>17</t>
  </si>
  <si>
    <t>18</t>
  </si>
  <si>
    <t>Drawn by / Redatto  da</t>
  </si>
  <si>
    <t>UFFICIO TECNICO INTERNO o ESTERNO</t>
  </si>
  <si>
    <t>UFF.ACQUISTI</t>
  </si>
  <si>
    <t>UFF.MAGAZZINO</t>
  </si>
  <si>
    <t>n°RDA</t>
  </si>
  <si>
    <t>Item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</si>
  <si>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</si>
  <si>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</si>
  <si>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</si>
  <si>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</si>
  <si>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</si>
  <si>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</si>
  <si>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</si>
  <si>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</si>
  <si>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</si>
  <si>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19</t>
  </si>
  <si>
    <t>20</t>
  </si>
  <si>
    <t>21</t>
  </si>
  <si>
    <t>22</t>
  </si>
  <si>
    <t>23</t>
  </si>
  <si>
    <t>24</t>
  </si>
  <si>
    <t>25</t>
  </si>
  <si>
    <t>PESO (TOT)              Kg</t>
  </si>
  <si>
    <t>CODICE                    VdC</t>
  </si>
  <si>
    <t>L</t>
  </si>
  <si>
    <t>h</t>
  </si>
  <si>
    <t>AREA                           (mq)</t>
  </si>
  <si>
    <t>DIMENSIONE  (mm)</t>
  </si>
  <si>
    <t>(pz o ml)</t>
  </si>
  <si>
    <t>Unità</t>
  </si>
  <si>
    <t>26</t>
  </si>
  <si>
    <t>34</t>
  </si>
  <si>
    <t>Nr progressivo</t>
  </si>
  <si>
    <t>VdC/Voce di Budget</t>
  </si>
  <si>
    <t>Pdc</t>
  </si>
  <si>
    <t>NOTE</t>
  </si>
  <si>
    <t>B_ALLESTIMENTO_CANT</t>
  </si>
  <si>
    <t>ALLESTIMENTO E SMOBILITAZIONE CANTIERE</t>
  </si>
  <si>
    <t>Lavori Subappalto e Posa Involucro</t>
  </si>
  <si>
    <t>B_ALTRA_ACCESORISTIC</t>
  </si>
  <si>
    <t>ALTRA ACCESSORISTICA</t>
  </si>
  <si>
    <t>Acquisto merci</t>
  </si>
  <si>
    <t>B_ALTRI_MAT_CONSUMO</t>
  </si>
  <si>
    <t>ALTRI MATERIALI DI CONSUMO</t>
  </si>
  <si>
    <t>B_AUTOMATISMI</t>
  </si>
  <si>
    <t>AUTOMATISMI</t>
  </si>
  <si>
    <t>B_BIM</t>
  </si>
  <si>
    <t>BIM</t>
  </si>
  <si>
    <t>Salari e stipendi</t>
  </si>
  <si>
    <t>B_CAPOCANTIERE</t>
  </si>
  <si>
    <t>CAPOCANTIERE</t>
  </si>
  <si>
    <t>B_CARPENTERIA METALL</t>
  </si>
  <si>
    <t>STRUTTURE IN CARPENTERIA METALLICA</t>
  </si>
  <si>
    <t>B_CARTONG_AQUAPANEL</t>
  </si>
  <si>
    <t>CARTONGESSO E AQUAPANEL</t>
  </si>
  <si>
    <t>B_CASSONET_AVVOLG</t>
  </si>
  <si>
    <t>CASSONETTI E AVVOLGIBILI</t>
  </si>
  <si>
    <t>B_DEMOLIZIONI</t>
  </si>
  <si>
    <t>TAGLI E DEMOLIZIONI TOTALI O PARZIALI</t>
  </si>
  <si>
    <t>Lavori Subappalto e Posa Edile e Manutenzioni</t>
  </si>
  <si>
    <t>B_FRANGISOLE</t>
  </si>
  <si>
    <t>FRANGISOLE</t>
  </si>
  <si>
    <t>B_GAMMISTA_ACCIAIO</t>
  </si>
  <si>
    <t>PROFILI E ACCESSORI FACCIATE E SERRAMENTI IN ACCIAIO</t>
  </si>
  <si>
    <t>B_GAMMISTA_ALLUMINIO</t>
  </si>
  <si>
    <t>PROFILI E ACCESSORI FACCIATE E SERRAMENTI IN ALLUMINIO</t>
  </si>
  <si>
    <t>B_IMBALLO</t>
  </si>
  <si>
    <t>IMBALLO</t>
  </si>
  <si>
    <t>Spese di trasporto e imballo</t>
  </si>
  <si>
    <t>B_ISOLANTE_GUAINE</t>
  </si>
  <si>
    <t>MATERIALI ISOLANTI E GUAINE</t>
  </si>
  <si>
    <t>B_LAMIERA_FORATA</t>
  </si>
  <si>
    <t>LAMIERA FORATA ZINCATA/ALLUMINIO E VERNICIAT</t>
  </si>
  <si>
    <t>B_LAMIERAME_ACC/ZINC</t>
  </si>
  <si>
    <t>FOGLI DI LAMIERA IN ACCIAIO ZINCATO ED EVENTUALE TRASFORMAZIONE</t>
  </si>
  <si>
    <t>B_LAMIERAME_ALU</t>
  </si>
  <si>
    <t>FOGLI DI LAMIERA ALLUMINIO ED EVENTUALE TRASFORMAZIONE</t>
  </si>
  <si>
    <t>B_LAMIERAME_INOX</t>
  </si>
  <si>
    <t>FOGLI DI LAMIERA INOX ED EVENTUALE TRASFORMAZIONE</t>
  </si>
  <si>
    <t>B_MATERIALE_EI</t>
  </si>
  <si>
    <t>MATERIALE CON PRESTAZIONE EI</t>
  </si>
  <si>
    <t>B_MATRICI</t>
  </si>
  <si>
    <t>MATRICI</t>
  </si>
  <si>
    <t>B_NOLEGGIO_MAC_ATTRE</t>
  </si>
  <si>
    <t>NOLEGGIO E LEASING MACCHINARI E ATTREZZATURE</t>
  </si>
  <si>
    <t>Noleggi passivi attrezzature/macchinari</t>
  </si>
  <si>
    <t>B_OFFICINA</t>
  </si>
  <si>
    <t>OFFICINA</t>
  </si>
  <si>
    <t>Conto lavoro serramenti</t>
  </si>
  <si>
    <t>B_OFFICINA_EXTRA</t>
  </si>
  <si>
    <t>OFFICINA LAVORAZIONI EXTRA</t>
  </si>
  <si>
    <t>B_OSCURAMENTI</t>
  </si>
  <si>
    <t>OSCURAMENTI ( PERSIANE, FRANGISOLE )</t>
  </si>
  <si>
    <t>B_PANNELLI_SPANDREL</t>
  </si>
  <si>
    <t>PANNELLI SPANDREL</t>
  </si>
  <si>
    <t>B_PM</t>
  </si>
  <si>
    <t>PROJECT MANAGER</t>
  </si>
  <si>
    <t>B_PMU/VMU/TEST/COLLA</t>
  </si>
  <si>
    <t>PMU VMU TEST COLLAUDI</t>
  </si>
  <si>
    <t>B_POSE_ESTERNE</t>
  </si>
  <si>
    <t>POSE ESTERNE</t>
  </si>
  <si>
    <t>B_POSE_INTERNE</t>
  </si>
  <si>
    <t>POSE INTERNE</t>
  </si>
  <si>
    <t>B_PRATICHE</t>
  </si>
  <si>
    <t>PRATICHE - BUREAU DE CONTROLE</t>
  </si>
  <si>
    <t>Certificazioni/Qualità/Contributi/Analisi</t>
  </si>
  <si>
    <t>B_PREVENTIVI</t>
  </si>
  <si>
    <t>PREVENTIVI</t>
  </si>
  <si>
    <t>B_PRODOTTO FINITO</t>
  </si>
  <si>
    <t>PRODOTTO FINITO</t>
  </si>
  <si>
    <t>B_PROFILI:COMMERCIO</t>
  </si>
  <si>
    <t>PROFILI COMMERCIO</t>
  </si>
  <si>
    <t>B_PROGETTAZIONE</t>
  </si>
  <si>
    <t>PROGETTAZIONE</t>
  </si>
  <si>
    <t>Consulenze Tecniche esterne</t>
  </si>
  <si>
    <t>36A</t>
  </si>
  <si>
    <t>B_PIATTAFORME_PROVVI</t>
  </si>
  <si>
    <t>PROVVISIONALI PONTEGGI PIATTAFORME</t>
  </si>
  <si>
    <t>36B</t>
  </si>
  <si>
    <t>DA USARE SE PONTEGGIO è DI TMS</t>
  </si>
  <si>
    <t>B_PULIZIA/PROTEZIONI</t>
  </si>
  <si>
    <t>PULIZIA E PROTEZIONI</t>
  </si>
  <si>
    <t>B_RIVEST_ALUCOBOND</t>
  </si>
  <si>
    <t>RIVESTIMENTO IN PANNELLO COMPOSITO</t>
  </si>
  <si>
    <t>B_RIVEST_LAPIDEO</t>
  </si>
  <si>
    <t>RIVESTIMENTO IN LAPIDEO ( GRES, MARMO ECC. )</t>
  </si>
  <si>
    <t>B_RIVEST_VETRO</t>
  </si>
  <si>
    <t>RIVESTIMENTO IN VETRO</t>
  </si>
  <si>
    <t>B_SIGILLANTE</t>
  </si>
  <si>
    <t>SIGILLANTI , SCHIUME POLIURETANICHE</t>
  </si>
  <si>
    <t>B_SOLLEVAMENTI</t>
  </si>
  <si>
    <t>SOLLEVAMENTI</t>
  </si>
  <si>
    <t>B_SOTTOSTR_ALU</t>
  </si>
  <si>
    <t>SOTTOSTRUTTURE IN ALLUMINIO</t>
  </si>
  <si>
    <t>B_STAF_CONTRO_SOTTOS</t>
  </si>
  <si>
    <t>STAFFE-CONTROTELAI-SOTTOSTRUTTURE</t>
  </si>
  <si>
    <t>B_TENDE</t>
  </si>
  <si>
    <t>TENDE</t>
  </si>
  <si>
    <t>B_TRASPORTI_ESTERNI</t>
  </si>
  <si>
    <t>TRASPORTI ESTERNI</t>
  </si>
  <si>
    <t>Spese trasporto e imballo</t>
  </si>
  <si>
    <t>B_TRASPORTI_INTERNI</t>
  </si>
  <si>
    <t>TRASPORTI INTERNI</t>
  </si>
  <si>
    <t>B_VERIFICHE_818</t>
  </si>
  <si>
    <t>VERIFICHE 818</t>
  </si>
  <si>
    <t>B_VERIFICHE_STATICHE</t>
  </si>
  <si>
    <t>VERIFICHE STATICHE</t>
  </si>
  <si>
    <t>B_VERIFICHE_TERM/ACU</t>
  </si>
  <si>
    <t>VERIFICHE TERMICHE ACUSTICHE</t>
  </si>
  <si>
    <t>B_VERNICIATURE</t>
  </si>
  <si>
    <t>VERNICIATURE</t>
  </si>
  <si>
    <t>Verniciatura, Ossidazione, Sabbiatura</t>
  </si>
  <si>
    <t>B_VETRI_MONOLITICI</t>
  </si>
  <si>
    <t>VETRI MONOLITICI E STRATIFICATI</t>
  </si>
  <si>
    <t>B_VETROCAMERA</t>
  </si>
  <si>
    <t>VETROCAMERA</t>
  </si>
  <si>
    <t>B_VIAGGI/TRASFERTE</t>
  </si>
  <si>
    <t>VIAGGI E TRASFERTE</t>
  </si>
  <si>
    <t>Viaggi, trasferte e soggiorni</t>
  </si>
  <si>
    <t>B_VITERIE</t>
  </si>
  <si>
    <t>VITERIE</t>
  </si>
  <si>
    <t>B_ZANZARIERE</t>
  </si>
  <si>
    <t>ZANZARIERE</t>
  </si>
  <si>
    <t xml:space="preserve">E_ASSISTENZE </t>
  </si>
  <si>
    <t xml:space="preserve">ASSISTENZE EDILI VARIE </t>
  </si>
  <si>
    <t>E_CARTONGESSI</t>
  </si>
  <si>
    <t>CARTONGESSO E CONTROSOFFITTI</t>
  </si>
  <si>
    <t>E_COPERTURE IN LEGNO</t>
  </si>
  <si>
    <t xml:space="preserve">STRUTTURE IN LEGNO </t>
  </si>
  <si>
    <t>E_COPERTURE METALLICHE</t>
  </si>
  <si>
    <t>RIVESTIMENTI METALLICI PER TETTI</t>
  </si>
  <si>
    <t>E_COPERTURE VARIE</t>
  </si>
  <si>
    <t>RIVESTIMENTI VARI PER TETTI (COPPI, TEGOLE ECC)</t>
  </si>
  <si>
    <t>E_FONDAZIONI SPECIALI</t>
  </si>
  <si>
    <t>PALI, MICROPAL, JET GROUTING E PALANCOLE</t>
  </si>
  <si>
    <t>E_IMPERMEABILIZZAZIONI</t>
  </si>
  <si>
    <t>IMPERMEABILIZZAZIONI VARIE</t>
  </si>
  <si>
    <t>E_IMPIANTI ELETTRICI</t>
  </si>
  <si>
    <t>IMPIANTI ELETTRICI VARI</t>
  </si>
  <si>
    <t>E_IMPIANTI MECCANICI</t>
  </si>
  <si>
    <t>IMPIANTI IDRAULICI, TERMICI, ANTINCENDIO</t>
  </si>
  <si>
    <t>E_IMPIANTI SPECIALI</t>
  </si>
  <si>
    <t>IMPIANTI PER INDUSTRIA E OSPEDALIERI</t>
  </si>
  <si>
    <t>E_MATERIALI EDILI</t>
  </si>
  <si>
    <t>MATERIALI EDILI - FORNITURE</t>
  </si>
  <si>
    <t>E_MOVIMENTO TERRA</t>
  </si>
  <si>
    <t>SCAVI E RINTERRI</t>
  </si>
  <si>
    <t>E_MURATURE</t>
  </si>
  <si>
    <t xml:space="preserve">MURATURE IN BLOCCHI </t>
  </si>
  <si>
    <t>E_OPERE A VERDE</t>
  </si>
  <si>
    <t>OPERE DA GIARDINIERE E FORESTALI</t>
  </si>
  <si>
    <t>E_OPERE CEMENTO ARM</t>
  </si>
  <si>
    <t>CALCESTRUZZI E ACCIAIO LAVORATO</t>
  </si>
  <si>
    <t>E_OPERE STRADALI</t>
  </si>
  <si>
    <t>OPERE DI URBANIZZAZIONE VARIA</t>
  </si>
  <si>
    <t>E_OPERE_EDILI_VARIE</t>
  </si>
  <si>
    <t>OPERE EDILI VARIE</t>
  </si>
  <si>
    <t>E_ASCENSORI</t>
  </si>
  <si>
    <t>ASCENSORI</t>
  </si>
  <si>
    <t>E_PAVIMENTAZIONI ESTERNE</t>
  </si>
  <si>
    <t>PAVIMENTAZIONI ESTERNE GRES, PIETRA, LEGNO ECC</t>
  </si>
  <si>
    <t>E_PAVIMENTAZIONI INTERNE</t>
  </si>
  <si>
    <t>PAVIMENTAZIONI INTERNE GRES, PIETRA, LEGNO ECC</t>
  </si>
  <si>
    <t>E_RIVESTIMENTI ESTERNI</t>
  </si>
  <si>
    <t>RIVESTIMENTI ESTERNI GRES, PIETRA, LEGNO ECC</t>
  </si>
  <si>
    <t>E_RIVESTIMENTI INTERNI</t>
  </si>
  <si>
    <t>RIVESTIMENTI INTERNI GRES, PIETRA, LEGNO ECC</t>
  </si>
  <si>
    <t>E_SERRAMENTI ESTERNI</t>
  </si>
  <si>
    <t>SERRAMENTI ESTERNI LEGNO, ALLUMINIO E PVC</t>
  </si>
  <si>
    <t>E_SERRAMENTI INTERNI</t>
  </si>
  <si>
    <t>SERRAMENTI INTERNI LEGNO, ALLUMINIO E PVC</t>
  </si>
  <si>
    <t>E_SERRANDE</t>
  </si>
  <si>
    <t>BASCULANTI, SEZIONALI E SERRANDE AVVOLGIBILI</t>
  </si>
  <si>
    <t>E_SOLAI</t>
  </si>
  <si>
    <t>PREDALLE, TRAVETTI E PIGNATTE</t>
  </si>
  <si>
    <t>E_SOTTOFONDI</t>
  </si>
  <si>
    <t>SOTTOFONDI PER PAVIMENTAZIONI</t>
  </si>
  <si>
    <t>E_SOTTOSERVIZI</t>
  </si>
  <si>
    <t>FOGNATURE, ACQUEDOTTI E CAVIDOTTI</t>
  </si>
  <si>
    <t>85A</t>
  </si>
  <si>
    <t>E_TINTEGGIATURE</t>
  </si>
  <si>
    <t>TINTEGGIATURE E VERNICIATURE</t>
  </si>
  <si>
    <t>SUBAPPALTO</t>
  </si>
  <si>
    <t>85B</t>
  </si>
  <si>
    <t>Acquisto mat. consumo</t>
  </si>
  <si>
    <t>da utilizzare solo per acquisto materiale</t>
  </si>
  <si>
    <t>E_OPERE DA FALEGNAME</t>
  </si>
  <si>
    <t>ZOCCOLINI, ARREDI SU MISURA ECC</t>
  </si>
  <si>
    <t>E_OPERE DA VETRAIO</t>
  </si>
  <si>
    <t>PARETI DIVISORIE ECC</t>
  </si>
  <si>
    <t>M_ARREDI</t>
  </si>
  <si>
    <t>POLTRONE, TAVOLI ECC</t>
  </si>
  <si>
    <t>E_INTONACI</t>
  </si>
  <si>
    <t>INOTACI E RASATURE (INTERNI/ESTERNI)</t>
  </si>
  <si>
    <t>E_OPERE DA FABBRO</t>
  </si>
  <si>
    <t>CARPENTERIA METALLICA IN OPERA</t>
  </si>
  <si>
    <t>E_MANODOPERA VARIA</t>
  </si>
  <si>
    <t>MANODOPERA VARIA ESTERNA</t>
  </si>
  <si>
    <t>M_MATERIALE ELETTRICO</t>
  </si>
  <si>
    <t>MATERIALE ELETTRICO E ACCESSORI</t>
  </si>
  <si>
    <t>M_CALCESTRUZZO</t>
  </si>
  <si>
    <t>CALCESTRUZZO FORNITURA</t>
  </si>
  <si>
    <t>M_ACCIAO LAVORATO</t>
  </si>
  <si>
    <t>ACCIAO LAVORATO</t>
  </si>
  <si>
    <t>M_MATERIALE IDRAULICO</t>
  </si>
  <si>
    <t>MATERIALE IDROTERMICO E ACCESSORI</t>
  </si>
  <si>
    <t>E_ONERI SMALTIMENTI</t>
  </si>
  <si>
    <t>ONERI DISCARICA, SMALTIMENTO E TRASPORTO</t>
  </si>
  <si>
    <t>E_ LATTONERIA</t>
  </si>
  <si>
    <t>OPERE DI LATTONERIA (INOX, ALLUMINIO, LAMIERA ECC)</t>
  </si>
  <si>
    <t>G_ASSICURAZIONI COMM</t>
  </si>
  <si>
    <t>ASSICURAZIONE, GARANZIA, FIDEJUSSIONE</t>
  </si>
  <si>
    <t>Garanzie, Fideiussioni per Cantieri</t>
  </si>
  <si>
    <t>G_PROVVIGIONI</t>
  </si>
  <si>
    <t>PROVVIGIONI COMMERCIALI</t>
  </si>
  <si>
    <t>Provvigioni passive</t>
  </si>
  <si>
    <t>G_IMPREVISTI</t>
  </si>
  <si>
    <t>FONDO PROGETTI, SPESE ACCESSORI, PENALI, AUMENTI, CONTAVVENZIONI</t>
  </si>
  <si>
    <t>da creare</t>
  </si>
  <si>
    <t>accto riserva progetti</t>
  </si>
  <si>
    <t>COSTI GENERALI</t>
  </si>
  <si>
    <t>GENERALI</t>
  </si>
  <si>
    <t>recupero costi di struttura</t>
  </si>
  <si>
    <t>XXX</t>
  </si>
  <si>
    <t>GG/MM/AAAA</t>
  </si>
  <si>
    <t>RICHIESTA DI ACQUISTO MATERIALI - RDA</t>
  </si>
  <si>
    <t>TOPIC / ARGOMENTO</t>
  </si>
  <si>
    <t>COD. ARTICOLO</t>
  </si>
  <si>
    <t>QUARTA CONSEGNA</t>
  </si>
  <si>
    <t>22A</t>
  </si>
  <si>
    <t>22B</t>
  </si>
  <si>
    <t>31A</t>
  </si>
  <si>
    <t>31B</t>
  </si>
  <si>
    <t>manutenzione attrezzature</t>
  </si>
  <si>
    <t>Postali e valori bollati</t>
  </si>
  <si>
    <t>spese postali, valori bollati, marche da bollo, bollettini</t>
  </si>
  <si>
    <t>Acquisto mat. Consumo</t>
  </si>
  <si>
    <t>P0146_2024</t>
  </si>
  <si>
    <t>SER</t>
  </si>
  <si>
    <t>-</t>
  </si>
  <si>
    <t>PZ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</si>
  <si>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</si>
  <si>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</si>
  <si>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</si>
  <si>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</si>
  <si>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</si>
  <si>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</si>
  <si>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</si>
  <si>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</si>
  <si>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</si>
  <si>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</si>
  <si>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</si>
  <si>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</si>
  <si>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</si>
  <si>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</si>
  <si>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</si>
  <si>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</si>
  <si>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</si>
  <si>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</si>
  <si>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</si>
  <si>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</si>
  <si>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</si>
  <si>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</si>
  <si>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</si>
  <si>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</si>
  <si>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</si>
  <si>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</si>
  <si>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CANTIERE</t>
  </si>
  <si>
    <t>SER-TAS.02B</t>
  </si>
  <si>
    <t>SER-TAS.02A</t>
  </si>
  <si>
    <t>Spessori per falsi telai in legno</t>
  </si>
  <si>
    <t xml:space="preserve">Spessore per falso telaio in PVC sp. 5 mm </t>
  </si>
  <si>
    <t>Spessore per falso telaio in PVC sp. 6 mm</t>
  </si>
  <si>
    <t>PXXX_AA</t>
  </si>
  <si>
    <t>tecnico</t>
  </si>
  <si>
    <t>Capo progetto</t>
  </si>
  <si>
    <t>Argomento</t>
  </si>
  <si>
    <t>BREAM</t>
  </si>
  <si>
    <t>LEED</t>
  </si>
  <si>
    <t>D. Capelli</t>
  </si>
  <si>
    <t>V. Rabino</t>
  </si>
  <si>
    <t>07/06/2024</t>
  </si>
  <si>
    <t>20/06/2024</t>
  </si>
  <si>
    <t xml:space="preserve">MATERIALI SOGGETTI                                                                                   A PROCEDURA </t>
  </si>
  <si>
    <t xml:space="preserve">MATERIALI SOGGETTI                                                                              A PROCEDURA </t>
  </si>
  <si>
    <t xml:space="preserve">IMMAGINE                                            </t>
  </si>
  <si>
    <t xml:space="preserve"> (solo se necessario)</t>
  </si>
  <si>
    <t>M.4.3.C</t>
  </si>
  <si>
    <t>Tizio caioesadfSADCVzx</t>
  </si>
  <si>
    <r>
      <t xml:space="preserve">QUANTITA' TOT                                          </t>
    </r>
    <r>
      <rPr>
        <sz val="12"/>
        <rFont val="Arial"/>
        <family val="2"/>
      </rPr>
      <t>(N°Pz. o ml)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</si>
</sst>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8"/>
      <color indexed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11"/>
      <color rgb="FF000000"/>
      <name val="Aptos Narrow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5C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/>
    <xf numFmtId="0" fontId="1" fillId="0" borderId="0" xfId="0" applyFont="1" applyAlignment="1">
      <alignment wrapText="1"/>
    </xf>
    <xf numFmtId="1" fontId="1" fillId="0" borderId="0" xfId="0" applyNumberFormat="1" applyFont="1"/>
    <xf numFmtId="0" fontId="9" fillId="0" borderId="5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3" borderId="11" xfId="0" applyFont="1" applyFill="1" applyBorder="1"/>
    <xf numFmtId="0" fontId="3" fillId="5" borderId="1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right" vertical="center"/>
    </xf>
    <xf numFmtId="0" fontId="1" fillId="2" borderId="0" xfId="0" applyFont="1" applyFill="1"/>
    <xf numFmtId="0" fontId="0" fillId="2" borderId="8" xfId="0" applyFill="1" applyBorder="1"/>
    <xf numFmtId="0" fontId="0" fillId="0" borderId="8" xfId="0" applyBorder="1"/>
    <xf numFmtId="0" fontId="0" fillId="2" borderId="0" xfId="0" applyFill="1"/>
    <xf numFmtId="0" fontId="13" fillId="2" borderId="8" xfId="0" applyFont="1" applyFill="1" applyBorder="1"/>
    <xf numFmtId="0" fontId="13" fillId="0" borderId="8" xfId="0" applyFont="1" applyBorder="1"/>
    <xf numFmtId="0" fontId="13" fillId="0" borderId="0" xfId="0" applyFont="1"/>
    <xf numFmtId="0" fontId="0" fillId="0" borderId="0" xfId="0" applyAlignment="1">
      <alignment vertical="top"/>
    </xf>
    <xf numFmtId="0" fontId="12" fillId="2" borderId="8" xfId="0" applyFont="1" applyFill="1" applyBorder="1"/>
    <xf numFmtId="0" fontId="12" fillId="0" borderId="8" xfId="0" applyFont="1" applyBorder="1"/>
    <xf numFmtId="0" fontId="12" fillId="2" borderId="0" xfId="0" applyFont="1" applyFill="1"/>
    <xf numFmtId="0" fontId="0" fillId="0" borderId="8" xfId="0" applyBorder="1" applyAlignment="1">
      <alignment horizontal="right"/>
    </xf>
    <xf numFmtId="0" fontId="13" fillId="0" borderId="8" xfId="0" applyFont="1" applyBorder="1" applyAlignment="1">
      <alignment horizontal="right"/>
    </xf>
    <xf numFmtId="0" fontId="0" fillId="0" borderId="8" xfId="0" applyBorder="1" applyAlignment="1">
      <alignment horizontal="right" vertical="top"/>
    </xf>
    <xf numFmtId="0" fontId="0" fillId="2" borderId="8" xfId="0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horizontal="right"/>
    </xf>
    <xf numFmtId="0" fontId="15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1" fillId="8" borderId="17" xfId="0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vertical="center" wrapText="1"/>
    </xf>
    <xf numFmtId="0" fontId="11" fillId="5" borderId="23" xfId="0" applyFont="1" applyFill="1" applyBorder="1" applyAlignment="1">
      <alignment horizontal="left" vertical="center" wrapText="1"/>
    </xf>
    <xf numFmtId="0" fontId="1" fillId="0" borderId="29" xfId="0" applyFont="1" applyBorder="1" applyAlignment="1">
      <alignment horizont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0" fontId="8" fillId="3" borderId="44" xfId="0" applyFont="1" applyFill="1" applyBorder="1" applyAlignment="1">
      <alignment horizontal="center"/>
    </xf>
    <xf numFmtId="0" fontId="8" fillId="3" borderId="45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  <xf numFmtId="0" fontId="11" fillId="5" borderId="20" xfId="0" applyFont="1" applyFill="1" applyBorder="1" applyAlignment="1">
      <alignment horizontal="right" vertical="center" wrapText="1"/>
    </xf>
    <xf numFmtId="0" fontId="11" fillId="5" borderId="23" xfId="0" applyFont="1" applyFill="1" applyBorder="1" applyAlignment="1">
      <alignment horizontal="right" vertical="center" wrapText="1"/>
    </xf>
    <xf numFmtId="0" fontId="1" fillId="4" borderId="47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6" fillId="0" borderId="56" xfId="0" applyFont="1" applyBorder="1" applyAlignment="1">
      <alignment horizontal="center" wrapText="1"/>
    </xf>
    <xf numFmtId="0" fontId="16" fillId="0" borderId="57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58" xfId="0" applyFont="1" applyBorder="1" applyAlignment="1">
      <alignment horizontal="center" wrapText="1"/>
    </xf>
    <xf numFmtId="0" fontId="16" fillId="0" borderId="59" xfId="0" applyFont="1" applyBorder="1" applyAlignment="1">
      <alignment horizontal="center" wrapText="1"/>
    </xf>
    <xf numFmtId="0" fontId="16" fillId="0" borderId="60" xfId="0" applyFont="1" applyBorder="1" applyAlignment="1">
      <alignment horizontal="center" wrapText="1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4" fillId="5" borderId="20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1" fillId="4" borderId="50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14" fontId="8" fillId="0" borderId="51" xfId="0" applyNumberFormat="1" applyFont="1" applyBorder="1" applyAlignment="1">
      <alignment horizontal="center" vertical="center" wrapText="1"/>
    </xf>
    <xf numFmtId="14" fontId="8" fillId="0" borderId="52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49" fontId="3" fillId="9" borderId="34" xfId="0" applyNumberFormat="1" applyFont="1" applyFill="1" applyBorder="1" applyAlignment="1">
      <alignment horizontal="center" vertical="center" wrapText="1"/>
    </xf>
    <xf numFmtId="49" fontId="3" fillId="9" borderId="35" xfId="0" applyNumberFormat="1" applyFont="1" applyFill="1" applyBorder="1" applyAlignment="1">
      <alignment horizontal="center" vertical="center" wrapText="1"/>
    </xf>
    <xf numFmtId="49" fontId="3" fillId="9" borderId="27" xfId="0" applyNumberFormat="1" applyFont="1" applyFill="1" applyBorder="1" applyAlignment="1">
      <alignment horizontal="center" vertical="center" wrapText="1"/>
    </xf>
    <xf numFmtId="49" fontId="3" fillId="7" borderId="34" xfId="0" applyNumberFormat="1" applyFont="1" applyFill="1" applyBorder="1" applyAlignment="1">
      <alignment horizontal="center" vertical="center" wrapText="1"/>
    </xf>
    <xf numFmtId="49" fontId="3" fillId="7" borderId="35" xfId="0" applyNumberFormat="1" applyFont="1" applyFill="1" applyBorder="1" applyAlignment="1">
      <alignment horizontal="center" vertical="center" wrapText="1"/>
    </xf>
    <xf numFmtId="49" fontId="3" fillId="7" borderId="27" xfId="0" applyNumberFormat="1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8" borderId="40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41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wrapText="1"/>
    </xf>
    <xf numFmtId="0" fontId="17" fillId="10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1" fontId="3" fillId="5" borderId="14" xfId="0" applyNumberFormat="1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8" borderId="42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43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1" fontId="3" fillId="5" borderId="17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18" fillId="0" borderId="8" xfId="0" applyNumberFormat="1" applyFont="1" applyBorder="1" applyAlignment="1">
      <alignment horizontal="center" vertical="center" wrapText="1"/>
    </xf>
    <xf numFmtId="14" fontId="7" fillId="7" borderId="8" xfId="0" applyNumberFormat="1" applyFont="1" applyFill="1" applyBorder="1" applyAlignment="1">
      <alignment horizontal="center" vertical="center" wrapText="1"/>
    </xf>
    <xf numFmtId="14" fontId="7" fillId="6" borderId="8" xfId="0" applyNumberFormat="1" applyFont="1" applyFill="1" applyBorder="1" applyAlignment="1">
      <alignment horizontal="center" vertical="center" wrapText="1"/>
    </xf>
    <xf numFmtId="0" fontId="7" fillId="0" borderId="24" xfId="0" applyFont="1" applyBorder="1"/>
    <xf numFmtId="0" fontId="7" fillId="0" borderId="24" xfId="0" applyFont="1" applyBorder="1" applyAlignment="1">
      <alignment horizontal="center" vertical="center"/>
    </xf>
    <xf numFmtId="0" fontId="7" fillId="0" borderId="8" xfId="0" applyFont="1" applyBorder="1"/>
    <xf numFmtId="0" fontId="7" fillId="0" borderId="8" xfId="0" quotePrefix="1" applyFont="1" applyBorder="1" applyAlignment="1">
      <alignment horizontal="center" vertical="center" wrapText="1"/>
    </xf>
    <xf numFmtId="49" fontId="7" fillId="9" borderId="11" xfId="0" applyNumberFormat="1" applyFont="1" applyFill="1" applyBorder="1" applyAlignment="1">
      <alignment horizontal="center" vertical="center" wrapText="1"/>
    </xf>
    <xf numFmtId="49" fontId="7" fillId="7" borderId="8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1" defaultTableStyle="TableStyleMedium9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142875</xdr:rowOff>
    </xdr:from>
    <xdr:to>
      <xdr:col>3</xdr:col>
      <xdr:colOff>326268</xdr:colOff>
      <xdr:row>3</xdr:row>
      <xdr:rowOff>80962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AACC339-1D4A-4A24-8E76-B9FD7A8C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4" y="142875"/>
          <a:ext cx="2285617" cy="738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142875</xdr:rowOff>
    </xdr:from>
    <xdr:to>
      <xdr:col>3</xdr:col>
      <xdr:colOff>326268</xdr:colOff>
      <xdr:row>3</xdr:row>
      <xdr:rowOff>80962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B7D2E4F-7246-4727-8752-BC2102330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4" y="142875"/>
          <a:ext cx="2278894" cy="73818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200024</xdr:colOff>
      <xdr:row>0</xdr:row>
      <xdr:rowOff>142875</xdr:rowOff>
    </xdr:from>
    <xdr:to>
      <xdr:col>3</xdr:col>
      <xdr:colOff>326268</xdr:colOff>
      <xdr:row>3</xdr:row>
      <xdr:rowOff>80962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A48947A0-AD83-45CD-BC84-7DF230C0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4" y="142875"/>
          <a:ext cx="2278894" cy="738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28A0-F0AA-40CC-91C9-3AF903D9ADF7}">
  <sheetPr>
    <pageSetUpPr fitToPage="1"/>
  </sheetPr>
  <dimension ref="A1:T527"/>
  <sheetViews>
    <sheetView showZeros="0" tabSelected="1" showWhiteSpace="0" view="pageBreakPreview" zoomScale="70" zoomScaleNormal="40" zoomScaleSheetLayoutView="70" workbookViewId="0">
      <pane ySplit="12" topLeftCell="A13" activePane="bottomLeft" state="frozen"/>
      <selection pane="bottomLeft" activeCell="N16" sqref="N16"/>
    </sheetView>
  </sheetViews>
  <sheetFormatPr defaultColWidth="9.140625" defaultRowHeight="12.75" x14ac:dyDescent="0.2"/>
  <cols>
    <col min="1" max="1" width="8.85546875" style="1" customWidth="1"/>
    <col min="2" max="5" width="11.7109375" style="1" customWidth="1"/>
    <col min="6" max="7" width="24.5703125" style="1" customWidth="1"/>
    <col min="8" max="8" width="8.140625" style="1" customWidth="1"/>
    <col min="9" max="9" width="40.7109375" style="1" customWidth="1"/>
    <col min="10" max="10" width="12.5703125" style="1" customWidth="1"/>
    <col min="11" max="11" width="20" style="1" customWidth="1"/>
    <col min="12" max="12" width="9.140625" style="1" customWidth="1"/>
    <col min="13" max="13" width="9.28515625" style="1" customWidth="1"/>
    <col min="14" max="15" width="15.5703125" style="1" customWidth="1"/>
    <col min="16" max="16" width="20.85546875" style="9" customWidth="1"/>
    <col min="17" max="17" width="24.140625" style="1" bestFit="1" customWidth="1"/>
    <col min="18" max="18" width="29.5703125" style="1" bestFit="1" customWidth="1"/>
    <col min="19" max="19" width="15.28515625" style="1" customWidth="1"/>
    <col min="20" max="20" width="17.85546875" style="1" customWidth="1"/>
    <col min="21" max="16384" width="9.140625" style="1"/>
  </cols>
  <sheetData>
    <row r="1" spans="1:20" ht="24.95" customHeight="1" thickBot="1" x14ac:dyDescent="0.25">
      <c r="A1" s="45"/>
      <c r="B1" s="46"/>
      <c r="C1" s="10"/>
      <c r="D1" s="10"/>
      <c r="E1" s="10"/>
      <c r="F1" s="10"/>
      <c r="G1" s="10"/>
      <c r="H1" s="10"/>
      <c r="I1" s="56" t="s">
        <v>288</v>
      </c>
      <c r="J1" s="57"/>
      <c r="K1" s="57"/>
      <c r="L1" s="57"/>
      <c r="M1" s="57"/>
      <c r="N1" s="57"/>
      <c r="O1" s="57"/>
      <c r="P1" s="57"/>
      <c r="Q1" s="39" t="str">
        <f>I5</f>
        <v>LEED</v>
      </c>
      <c r="R1" s="38"/>
      <c r="S1" s="85" t="s">
        <v>350</v>
      </c>
      <c r="T1" s="86"/>
    </row>
    <row r="2" spans="1:20" ht="21" customHeight="1" x14ac:dyDescent="0.2">
      <c r="A2" s="47"/>
      <c r="B2" s="48"/>
      <c r="C2" s="11"/>
      <c r="D2" s="11"/>
      <c r="E2" s="11"/>
      <c r="F2" s="11"/>
      <c r="G2" s="11"/>
      <c r="H2" s="11"/>
      <c r="I2" s="60" t="s">
        <v>346</v>
      </c>
      <c r="J2" s="61"/>
      <c r="K2" s="58" t="s">
        <v>0</v>
      </c>
      <c r="L2" s="59"/>
      <c r="M2" s="59"/>
      <c r="N2" s="78" t="s">
        <v>336</v>
      </c>
      <c r="O2" s="79"/>
      <c r="P2" s="37" t="s">
        <v>9</v>
      </c>
      <c r="Q2" s="15" t="s">
        <v>10</v>
      </c>
      <c r="R2" s="15" t="s">
        <v>10</v>
      </c>
      <c r="S2" s="87" t="s">
        <v>291</v>
      </c>
      <c r="T2" s="88"/>
    </row>
    <row r="3" spans="1:20" ht="17.45" customHeight="1" x14ac:dyDescent="0.2">
      <c r="A3" s="47"/>
      <c r="B3" s="48"/>
      <c r="C3" s="11"/>
      <c r="D3" s="11"/>
      <c r="E3" s="11"/>
      <c r="F3" s="11"/>
      <c r="G3" s="11"/>
      <c r="H3" s="11"/>
      <c r="I3" s="62"/>
      <c r="J3" s="63"/>
      <c r="K3" s="71" t="s">
        <v>1</v>
      </c>
      <c r="L3" s="72"/>
      <c r="M3" s="72"/>
      <c r="N3" s="80" t="s">
        <v>287</v>
      </c>
      <c r="O3" s="81"/>
      <c r="P3" s="75" t="s">
        <v>287</v>
      </c>
      <c r="Q3" s="75" t="s">
        <v>287</v>
      </c>
      <c r="R3" s="89" t="s">
        <v>287</v>
      </c>
      <c r="S3" s="92" t="s">
        <v>287</v>
      </c>
      <c r="T3" s="93"/>
    </row>
    <row r="4" spans="1:20" ht="17.45" customHeight="1" x14ac:dyDescent="0.2">
      <c r="A4" s="47"/>
      <c r="B4" s="48"/>
      <c r="C4" s="11"/>
      <c r="D4" s="11"/>
      <c r="E4" s="11"/>
      <c r="F4" s="11"/>
      <c r="G4" s="11"/>
      <c r="H4" s="11"/>
      <c r="I4" s="62"/>
      <c r="J4" s="63"/>
      <c r="K4" s="71" t="s">
        <v>23</v>
      </c>
      <c r="L4" s="72"/>
      <c r="M4" s="72"/>
      <c r="N4" s="41" t="s">
        <v>337</v>
      </c>
      <c r="O4" s="42"/>
      <c r="P4" s="76"/>
      <c r="Q4" s="76"/>
      <c r="R4" s="90"/>
      <c r="S4" s="92"/>
      <c r="T4" s="93"/>
    </row>
    <row r="5" spans="1:20" ht="17.45" customHeight="1" thickBot="1" x14ac:dyDescent="0.3">
      <c r="A5" s="49"/>
      <c r="B5" s="50"/>
      <c r="C5" s="12"/>
      <c r="D5" s="12"/>
      <c r="E5" s="12"/>
      <c r="F5" s="12"/>
      <c r="G5" s="12"/>
      <c r="H5" s="12"/>
      <c r="I5" s="64" t="s">
        <v>341</v>
      </c>
      <c r="J5" s="65"/>
      <c r="K5" s="73" t="s">
        <v>2</v>
      </c>
      <c r="L5" s="74"/>
      <c r="M5" s="74"/>
      <c r="N5" s="43" t="s">
        <v>338</v>
      </c>
      <c r="O5" s="44"/>
      <c r="P5" s="77"/>
      <c r="Q5" s="77"/>
      <c r="R5" s="91"/>
      <c r="S5" s="94"/>
      <c r="T5" s="95"/>
    </row>
    <row r="6" spans="1:20" ht="9.9499999999999993" customHeight="1" thickBo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30" customHeight="1" thickBot="1" x14ac:dyDescent="0.25">
      <c r="A7" s="14" t="s">
        <v>27</v>
      </c>
      <c r="B7" s="82" t="str">
        <f ca="1">MID(CELL("FILENAME",B97),FIND("[",CELL("FILENAME",B97))+1,FIND("]",CELL("FILENAME",B97))-FIND("[",CELL("FILENAME",B97))-6)</f>
        <v>M.4.3.C_TMS_RDA_LEED (Richieste D'Acquisto)_02</v>
      </c>
      <c r="C7" s="83"/>
      <c r="D7" s="83"/>
      <c r="E7" s="83"/>
      <c r="F7" s="83"/>
      <c r="G7" s="83"/>
      <c r="H7" s="83"/>
      <c r="I7" s="83"/>
      <c r="J7" s="84"/>
      <c r="K7" s="16" t="s">
        <v>28</v>
      </c>
      <c r="L7" s="51" t="s">
        <v>286</v>
      </c>
      <c r="M7" s="52"/>
      <c r="N7" s="69" t="s">
        <v>289</v>
      </c>
      <c r="O7" s="70"/>
      <c r="P7" s="66" t="s">
        <v>339</v>
      </c>
      <c r="Q7" s="67"/>
      <c r="R7" s="67"/>
      <c r="S7" s="67"/>
      <c r="T7" s="68"/>
    </row>
    <row r="8" spans="1:20" ht="9.9499999999999993" customHeight="1" x14ac:dyDescent="0.2">
      <c r="A8" s="2"/>
      <c r="B8" s="3"/>
      <c r="C8" s="3"/>
      <c r="D8" s="3"/>
      <c r="E8" s="3"/>
      <c r="F8" s="4"/>
      <c r="G8" s="5"/>
      <c r="H8" s="5"/>
      <c r="I8" s="5"/>
      <c r="J8" s="3"/>
      <c r="K8" s="4"/>
      <c r="L8" s="4"/>
      <c r="M8" s="4"/>
      <c r="N8" s="5"/>
      <c r="O8" s="5"/>
      <c r="P8" s="6"/>
      <c r="Q8" s="6"/>
      <c r="R8" s="6"/>
      <c r="S8" s="7"/>
    </row>
    <row r="9" spans="1:20" ht="9.9499999999999993" customHeight="1" x14ac:dyDescent="0.2">
      <c r="A9" s="3"/>
      <c r="B9" s="3"/>
      <c r="C9" s="3"/>
      <c r="D9" s="3"/>
      <c r="E9" s="3"/>
      <c r="F9" s="4"/>
      <c r="G9" s="5"/>
      <c r="H9" s="5"/>
      <c r="I9" s="5"/>
      <c r="J9" s="3"/>
      <c r="K9" s="4"/>
      <c r="L9" s="4"/>
      <c r="M9" s="4"/>
      <c r="N9" s="5"/>
      <c r="O9" s="5"/>
      <c r="P9" s="6"/>
      <c r="Q9" s="6"/>
      <c r="R9" s="6"/>
      <c r="S9" s="7"/>
    </row>
    <row r="10" spans="1:20" ht="13.5" thickBot="1" x14ac:dyDescent="0.25">
      <c r="A10" s="53" t="s">
        <v>24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5"/>
      <c r="S10" s="13" t="s">
        <v>25</v>
      </c>
      <c r="T10" s="13" t="s">
        <v>26</v>
      </c>
    </row>
    <row r="11" spans="1:20" s="8" customFormat="1" ht="26.25" customHeight="1" x14ac:dyDescent="0.25">
      <c r="A11" s="104" t="s">
        <v>8</v>
      </c>
      <c r="B11" s="105" t="s">
        <v>3</v>
      </c>
      <c r="C11" s="106"/>
      <c r="D11" s="106"/>
      <c r="E11" s="107"/>
      <c r="F11" s="108" t="s">
        <v>290</v>
      </c>
      <c r="G11" s="108" t="s">
        <v>352</v>
      </c>
      <c r="H11" s="109" t="s">
        <v>52</v>
      </c>
      <c r="I11" s="110" t="s">
        <v>348</v>
      </c>
      <c r="J11" s="111" t="s">
        <v>46</v>
      </c>
      <c r="K11" s="112" t="s">
        <v>4</v>
      </c>
      <c r="L11" s="113" t="s">
        <v>50</v>
      </c>
      <c r="M11" s="114"/>
      <c r="N11" s="112" t="s">
        <v>45</v>
      </c>
      <c r="O11" s="115" t="s">
        <v>49</v>
      </c>
      <c r="P11" s="116" t="s">
        <v>12</v>
      </c>
      <c r="Q11" s="116" t="s">
        <v>13</v>
      </c>
      <c r="R11" s="117" t="s">
        <v>5</v>
      </c>
      <c r="S11" s="117" t="s">
        <v>6</v>
      </c>
      <c r="T11" s="118"/>
    </row>
    <row r="12" spans="1:20" s="8" customFormat="1" ht="20.100000000000001" customHeight="1" thickBot="1" x14ac:dyDescent="0.25">
      <c r="A12" s="119"/>
      <c r="B12" s="120"/>
      <c r="C12" s="121"/>
      <c r="D12" s="121"/>
      <c r="E12" s="122"/>
      <c r="F12" s="123"/>
      <c r="G12" s="123"/>
      <c r="H12" s="36" t="s">
        <v>51</v>
      </c>
      <c r="I12" s="125" t="s">
        <v>349</v>
      </c>
      <c r="J12" s="126"/>
      <c r="K12" s="127"/>
      <c r="L12" s="128" t="s">
        <v>47</v>
      </c>
      <c r="M12" s="128" t="s">
        <v>48</v>
      </c>
      <c r="N12" s="127"/>
      <c r="O12" s="129"/>
      <c r="P12" s="130"/>
      <c r="Q12" s="130"/>
      <c r="R12" s="131"/>
      <c r="S12" s="132" t="s">
        <v>11</v>
      </c>
      <c r="T12" s="133" t="s">
        <v>7</v>
      </c>
    </row>
    <row r="13" spans="1:20" s="17" customFormat="1" ht="35.450000000000003" customHeight="1" x14ac:dyDescent="0.2">
      <c r="A13" s="134" t="s">
        <v>14</v>
      </c>
      <c r="B13" s="102" t="s">
        <v>351</v>
      </c>
      <c r="C13" s="103"/>
      <c r="D13" s="103"/>
      <c r="E13" s="103"/>
      <c r="F13" s="135"/>
      <c r="G13" s="136"/>
      <c r="H13" s="137"/>
      <c r="I13" s="137"/>
      <c r="J13" s="137"/>
      <c r="K13" s="135"/>
      <c r="L13" s="135"/>
      <c r="M13" s="137"/>
      <c r="N13" s="138"/>
      <c r="O13" s="139"/>
      <c r="P13" s="140"/>
      <c r="Q13" s="141"/>
      <c r="R13" s="142"/>
      <c r="S13" s="143"/>
      <c r="T13" s="143"/>
    </row>
    <row r="14" spans="1:20" s="17" customFormat="1" ht="35.450000000000003" customHeight="1" x14ac:dyDescent="0.2">
      <c r="A14" s="134" t="s">
        <v>15</v>
      </c>
      <c r="B14" s="144"/>
      <c r="C14" s="144"/>
      <c r="D14" s="144"/>
      <c r="E14" s="144"/>
      <c r="F14" s="142"/>
      <c r="G14" s="145"/>
      <c r="H14" s="146"/>
      <c r="I14" s="146"/>
      <c r="J14" s="146"/>
      <c r="K14" s="142"/>
      <c r="L14" s="142"/>
      <c r="M14" s="146"/>
      <c r="N14" s="147"/>
      <c r="O14" s="143"/>
      <c r="P14" s="148"/>
      <c r="Q14" s="149"/>
      <c r="R14" s="142"/>
      <c r="S14" s="143"/>
      <c r="T14" s="143"/>
    </row>
    <row r="15" spans="1:20" s="17" customFormat="1" ht="35.450000000000003" customHeight="1" x14ac:dyDescent="0.2">
      <c r="A15" s="134" t="s">
        <v>16</v>
      </c>
      <c r="B15" s="144"/>
      <c r="C15" s="144"/>
      <c r="D15" s="144"/>
      <c r="E15" s="144"/>
      <c r="F15" s="142"/>
      <c r="G15" s="145"/>
      <c r="H15" s="146"/>
      <c r="I15" s="146"/>
      <c r="J15" s="142"/>
      <c r="K15" s="142"/>
      <c r="L15" s="142"/>
      <c r="M15" s="146"/>
      <c r="N15" s="147"/>
      <c r="O15" s="143"/>
      <c r="P15" s="143"/>
      <c r="Q15" s="149"/>
      <c r="R15" s="142"/>
      <c r="S15" s="143"/>
      <c r="T15" s="143"/>
    </row>
    <row r="16" spans="1:20" s="17" customFormat="1" ht="35.450000000000003" customHeight="1" x14ac:dyDescent="0.2">
      <c r="A16" s="134" t="s">
        <v>17</v>
      </c>
      <c r="B16" s="144"/>
      <c r="C16" s="144"/>
      <c r="D16" s="144"/>
      <c r="E16" s="144"/>
      <c r="F16" s="142"/>
      <c r="G16" s="145"/>
      <c r="H16" s="146"/>
      <c r="I16" s="146"/>
      <c r="J16" s="142"/>
      <c r="K16" s="142"/>
      <c r="L16" s="142"/>
      <c r="M16" s="146"/>
      <c r="N16" s="147"/>
      <c r="O16" s="143"/>
      <c r="P16" s="148"/>
      <c r="Q16" s="150"/>
      <c r="R16" s="142"/>
      <c r="S16" s="143"/>
      <c r="T16" s="143"/>
    </row>
    <row r="17" spans="1:20" s="17" customFormat="1" ht="35.450000000000003" customHeight="1" x14ac:dyDescent="0.2">
      <c r="A17" s="134" t="s">
        <v>18</v>
      </c>
      <c r="B17" s="144"/>
      <c r="C17" s="144"/>
      <c r="D17" s="144"/>
      <c r="E17" s="144"/>
      <c r="F17" s="142"/>
      <c r="G17" s="145"/>
      <c r="H17" s="146"/>
      <c r="I17" s="146"/>
      <c r="J17" s="142"/>
      <c r="K17" s="142"/>
      <c r="L17" s="142"/>
      <c r="M17" s="146"/>
      <c r="N17" s="147"/>
      <c r="O17" s="143"/>
      <c r="P17" s="148"/>
      <c r="Q17" s="150"/>
      <c r="R17" s="142"/>
      <c r="S17" s="143"/>
      <c r="T17" s="143"/>
    </row>
    <row r="18" spans="1:20" s="17" customFormat="1" ht="35.450000000000003" customHeight="1" x14ac:dyDescent="0.2">
      <c r="A18" s="134" t="s">
        <v>29</v>
      </c>
      <c r="B18" s="144"/>
      <c r="C18" s="144"/>
      <c r="D18" s="144"/>
      <c r="E18" s="144"/>
      <c r="F18" s="142"/>
      <c r="G18" s="145"/>
      <c r="H18" s="146"/>
      <c r="I18" s="146"/>
      <c r="J18" s="142"/>
      <c r="K18" s="142"/>
      <c r="L18" s="142"/>
      <c r="M18" s="146"/>
      <c r="N18" s="147"/>
      <c r="O18" s="143"/>
      <c r="P18" s="148"/>
      <c r="Q18" s="150"/>
      <c r="R18" s="142"/>
      <c r="S18" s="143"/>
      <c r="T18" s="143"/>
    </row>
    <row r="19" spans="1:20" s="17" customFormat="1" ht="35.450000000000003" customHeight="1" x14ac:dyDescent="0.2">
      <c r="A19" s="134" t="s">
        <v>30</v>
      </c>
      <c r="B19" s="144"/>
      <c r="C19" s="144"/>
      <c r="D19" s="144"/>
      <c r="E19" s="144"/>
      <c r="F19" s="142"/>
      <c r="G19" s="145"/>
      <c r="H19" s="146"/>
      <c r="I19" s="146"/>
      <c r="J19" s="142"/>
      <c r="K19" s="142"/>
      <c r="L19" s="142"/>
      <c r="M19" s="146"/>
      <c r="N19" s="147"/>
      <c r="O19" s="143"/>
      <c r="P19" s="148"/>
      <c r="Q19" s="150"/>
      <c r="R19" s="142"/>
      <c r="S19" s="143"/>
      <c r="T19" s="143"/>
    </row>
    <row r="20" spans="1:20" s="17" customFormat="1" ht="35.450000000000003" customHeight="1" x14ac:dyDescent="0.2">
      <c r="A20" s="134" t="s">
        <v>31</v>
      </c>
      <c r="B20" s="144"/>
      <c r="C20" s="144"/>
      <c r="D20" s="144"/>
      <c r="E20" s="144"/>
      <c r="F20" s="142"/>
      <c r="G20" s="145"/>
      <c r="H20" s="146"/>
      <c r="I20" s="146"/>
      <c r="J20" s="142"/>
      <c r="K20" s="142"/>
      <c r="L20" s="142"/>
      <c r="M20" s="146"/>
      <c r="N20" s="147"/>
      <c r="O20" s="143"/>
      <c r="P20" s="148"/>
      <c r="Q20" s="150"/>
      <c r="R20" s="142"/>
      <c r="S20" s="143"/>
      <c r="T20" s="143"/>
    </row>
    <row r="21" spans="1:20" ht="35.450000000000003" customHeight="1" x14ac:dyDescent="0.2">
      <c r="A21" s="134" t="s">
        <v>32</v>
      </c>
      <c r="B21" s="144"/>
      <c r="C21" s="144"/>
      <c r="D21" s="144"/>
      <c r="E21" s="144"/>
      <c r="F21" s="142"/>
      <c r="G21" s="146"/>
      <c r="H21" s="146"/>
      <c r="I21" s="146"/>
      <c r="J21" s="142"/>
      <c r="K21" s="142"/>
      <c r="L21" s="142"/>
      <c r="M21" s="146"/>
      <c r="N21" s="147"/>
      <c r="O21" s="143"/>
      <c r="P21" s="148"/>
      <c r="Q21" s="150"/>
      <c r="R21" s="142"/>
      <c r="S21" s="143"/>
      <c r="T21" s="143"/>
    </row>
    <row r="22" spans="1:20" ht="35.450000000000003" customHeight="1" x14ac:dyDescent="0.2">
      <c r="A22" s="134" t="s">
        <v>33</v>
      </c>
      <c r="B22" s="144"/>
      <c r="C22" s="144"/>
      <c r="D22" s="144"/>
      <c r="E22" s="144"/>
      <c r="F22" s="142"/>
      <c r="G22" s="146"/>
      <c r="H22" s="146"/>
      <c r="I22" s="146"/>
      <c r="J22" s="142"/>
      <c r="K22" s="142"/>
      <c r="L22" s="142"/>
      <c r="M22" s="146"/>
      <c r="N22" s="147"/>
      <c r="O22" s="143"/>
      <c r="P22" s="151"/>
      <c r="Q22" s="150"/>
      <c r="R22" s="142"/>
      <c r="S22" s="143"/>
      <c r="T22" s="143"/>
    </row>
    <row r="23" spans="1:20" ht="35.450000000000003" customHeight="1" x14ac:dyDescent="0.2">
      <c r="A23" s="134" t="s">
        <v>34</v>
      </c>
      <c r="B23" s="144"/>
      <c r="C23" s="144"/>
      <c r="D23" s="144"/>
      <c r="E23" s="144"/>
      <c r="F23" s="142"/>
      <c r="G23" s="146"/>
      <c r="H23" s="146"/>
      <c r="I23" s="146"/>
      <c r="J23" s="142"/>
      <c r="K23" s="142"/>
      <c r="L23" s="142"/>
      <c r="M23" s="146"/>
      <c r="N23" s="147"/>
      <c r="O23" s="143"/>
      <c r="P23" s="151"/>
      <c r="Q23" s="150"/>
      <c r="R23" s="142"/>
      <c r="S23" s="143"/>
      <c r="T23" s="143"/>
    </row>
    <row r="24" spans="1:20" ht="35.450000000000003" customHeight="1" x14ac:dyDescent="0.2">
      <c r="A24" s="134" t="s">
        <v>35</v>
      </c>
      <c r="B24" s="144"/>
      <c r="C24" s="144"/>
      <c r="D24" s="144"/>
      <c r="E24" s="144"/>
      <c r="F24" s="142"/>
      <c r="G24" s="146"/>
      <c r="H24" s="146"/>
      <c r="I24" s="146"/>
      <c r="J24" s="142"/>
      <c r="K24" s="142"/>
      <c r="L24" s="142"/>
      <c r="M24" s="146"/>
      <c r="N24" s="147"/>
      <c r="O24" s="143"/>
      <c r="P24" s="151"/>
      <c r="Q24" s="150"/>
      <c r="R24" s="142"/>
      <c r="S24" s="143"/>
      <c r="T24" s="143"/>
    </row>
    <row r="25" spans="1:20" ht="35.450000000000003" customHeight="1" x14ac:dyDescent="0.2">
      <c r="A25" s="134" t="s">
        <v>36</v>
      </c>
      <c r="B25" s="144"/>
      <c r="C25" s="144"/>
      <c r="D25" s="144"/>
      <c r="E25" s="144"/>
      <c r="F25" s="142"/>
      <c r="G25" s="146"/>
      <c r="H25" s="146"/>
      <c r="I25" s="146"/>
      <c r="J25" s="142"/>
      <c r="K25" s="142"/>
      <c r="L25" s="142"/>
      <c r="M25" s="146"/>
      <c r="N25" s="147"/>
      <c r="O25" s="143"/>
      <c r="P25" s="151"/>
      <c r="Q25" s="150"/>
      <c r="R25" s="142"/>
      <c r="S25" s="143"/>
      <c r="T25" s="143"/>
    </row>
    <row r="26" spans="1:20" ht="35.450000000000003" customHeight="1" x14ac:dyDescent="0.2">
      <c r="A26" s="134" t="s">
        <v>37</v>
      </c>
      <c r="B26" s="144"/>
      <c r="C26" s="144"/>
      <c r="D26" s="144"/>
      <c r="E26" s="144"/>
      <c r="F26" s="142"/>
      <c r="G26" s="146"/>
      <c r="H26" s="146"/>
      <c r="I26" s="146"/>
      <c r="J26" s="142"/>
      <c r="K26" s="142"/>
      <c r="L26" s="142"/>
      <c r="M26" s="146"/>
      <c r="N26" s="143"/>
      <c r="O26" s="143"/>
      <c r="P26" s="152"/>
      <c r="Q26" s="149"/>
      <c r="R26" s="142"/>
      <c r="S26" s="143"/>
      <c r="T26" s="143"/>
    </row>
    <row r="27" spans="1:20" ht="35.450000000000003" customHeight="1" x14ac:dyDescent="0.2">
      <c r="A27" s="134" t="s">
        <v>19</v>
      </c>
      <c r="B27" s="144"/>
      <c r="C27" s="144"/>
      <c r="D27" s="144"/>
      <c r="E27" s="144"/>
      <c r="F27" s="142"/>
      <c r="G27" s="146"/>
      <c r="H27" s="146"/>
      <c r="I27" s="146"/>
      <c r="J27" s="142"/>
      <c r="K27" s="142"/>
      <c r="L27" s="142"/>
      <c r="M27" s="146"/>
      <c r="N27" s="143"/>
      <c r="O27" s="143"/>
      <c r="P27" s="152"/>
      <c r="Q27" s="149"/>
      <c r="R27" s="142"/>
      <c r="S27" s="143"/>
      <c r="T27" s="143"/>
    </row>
    <row r="28" spans="1:20" ht="35.450000000000003" customHeight="1" x14ac:dyDescent="0.2">
      <c r="A28" s="134" t="s">
        <v>20</v>
      </c>
      <c r="B28" s="144"/>
      <c r="C28" s="144"/>
      <c r="D28" s="144"/>
      <c r="E28" s="144"/>
      <c r="F28" s="142"/>
      <c r="G28" s="146"/>
      <c r="H28" s="146"/>
      <c r="I28" s="146"/>
      <c r="J28" s="142"/>
      <c r="K28" s="142"/>
      <c r="L28" s="142"/>
      <c r="M28" s="146"/>
      <c r="N28" s="143"/>
      <c r="O28" s="143"/>
      <c r="P28" s="152"/>
      <c r="Q28" s="149"/>
      <c r="R28" s="142"/>
      <c r="S28" s="143"/>
      <c r="T28" s="143"/>
    </row>
    <row r="29" spans="1:20" ht="35.450000000000003" customHeight="1" x14ac:dyDescent="0.2">
      <c r="A29" s="134" t="s">
        <v>21</v>
      </c>
      <c r="B29" s="144"/>
      <c r="C29" s="144"/>
      <c r="D29" s="144"/>
      <c r="E29" s="144"/>
      <c r="F29" s="142"/>
      <c r="G29" s="146"/>
      <c r="H29" s="146"/>
      <c r="I29" s="146"/>
      <c r="J29" s="142"/>
      <c r="K29" s="142"/>
      <c r="L29" s="142"/>
      <c r="M29" s="146"/>
      <c r="N29" s="143"/>
      <c r="O29" s="143"/>
      <c r="P29" s="152"/>
      <c r="Q29" s="149"/>
      <c r="R29" s="142"/>
      <c r="S29" s="143"/>
      <c r="T29" s="143"/>
    </row>
    <row r="30" spans="1:20" ht="35.450000000000003" customHeight="1" x14ac:dyDescent="0.2">
      <c r="A30" s="134" t="s">
        <v>22</v>
      </c>
      <c r="B30" s="144"/>
      <c r="C30" s="144"/>
      <c r="D30" s="144"/>
      <c r="E30" s="144"/>
      <c r="F30" s="142"/>
      <c r="G30" s="146"/>
      <c r="H30" s="146"/>
      <c r="I30" s="146"/>
      <c r="J30" s="146"/>
      <c r="K30" s="153"/>
      <c r="L30" s="154"/>
      <c r="M30" s="146"/>
      <c r="N30" s="143"/>
      <c r="O30" s="143"/>
      <c r="P30" s="152"/>
      <c r="Q30" s="149"/>
      <c r="R30" s="142"/>
      <c r="S30" s="143"/>
      <c r="T30" s="143"/>
    </row>
    <row r="31" spans="1:20" ht="35.450000000000003" customHeight="1" x14ac:dyDescent="0.2">
      <c r="A31" s="134" t="s">
        <v>38</v>
      </c>
      <c r="B31" s="144"/>
      <c r="C31" s="144"/>
      <c r="D31" s="144"/>
      <c r="E31" s="144"/>
      <c r="F31" s="142"/>
      <c r="G31" s="146"/>
      <c r="H31" s="146"/>
      <c r="I31" s="146"/>
      <c r="J31" s="146"/>
      <c r="K31" s="155"/>
      <c r="L31" s="146"/>
      <c r="M31" s="146"/>
      <c r="N31" s="143"/>
      <c r="O31" s="143"/>
      <c r="P31" s="152"/>
      <c r="Q31" s="149"/>
      <c r="R31" s="142"/>
      <c r="S31" s="143"/>
      <c r="T31" s="143"/>
    </row>
    <row r="32" spans="1:20" ht="35.450000000000003" customHeight="1" x14ac:dyDescent="0.2">
      <c r="A32" s="134" t="s">
        <v>39</v>
      </c>
      <c r="B32" s="144"/>
      <c r="C32" s="144"/>
      <c r="D32" s="144"/>
      <c r="E32" s="144"/>
      <c r="F32" s="142"/>
      <c r="G32" s="146"/>
      <c r="H32" s="146"/>
      <c r="I32" s="146"/>
      <c r="J32" s="142"/>
      <c r="K32" s="142"/>
      <c r="L32" s="142"/>
      <c r="M32" s="146"/>
      <c r="N32" s="143"/>
      <c r="O32" s="143"/>
      <c r="P32" s="152"/>
      <c r="Q32" s="149"/>
      <c r="R32" s="142"/>
      <c r="S32" s="143"/>
      <c r="T32" s="143"/>
    </row>
    <row r="33" spans="1:20" ht="35.450000000000003" customHeight="1" x14ac:dyDescent="0.2">
      <c r="A33" s="134" t="s">
        <v>40</v>
      </c>
      <c r="B33" s="144"/>
      <c r="C33" s="144"/>
      <c r="D33" s="144"/>
      <c r="E33" s="144"/>
      <c r="F33" s="142"/>
      <c r="G33" s="146"/>
      <c r="H33" s="146"/>
      <c r="I33" s="146"/>
      <c r="J33" s="142"/>
      <c r="K33" s="142"/>
      <c r="L33" s="142"/>
      <c r="M33" s="146"/>
      <c r="N33" s="143"/>
      <c r="O33" s="143"/>
      <c r="P33" s="152"/>
      <c r="Q33" s="149"/>
      <c r="R33" s="142"/>
      <c r="S33" s="143"/>
      <c r="T33" s="143"/>
    </row>
    <row r="34" spans="1:20" ht="35.450000000000003" customHeight="1" x14ac:dyDescent="0.2">
      <c r="A34" s="134" t="s">
        <v>41</v>
      </c>
      <c r="B34" s="144"/>
      <c r="C34" s="144"/>
      <c r="D34" s="144"/>
      <c r="E34" s="144"/>
      <c r="F34" s="142"/>
      <c r="G34" s="146"/>
      <c r="H34" s="146"/>
      <c r="I34" s="146"/>
      <c r="J34" s="142"/>
      <c r="K34" s="142"/>
      <c r="L34" s="142"/>
      <c r="M34" s="146"/>
      <c r="N34" s="143"/>
      <c r="O34" s="143"/>
      <c r="P34" s="152"/>
      <c r="Q34" s="149"/>
      <c r="R34" s="142"/>
      <c r="S34" s="143"/>
      <c r="T34" s="143"/>
    </row>
    <row r="35" spans="1:20" ht="35.450000000000003" customHeight="1" x14ac:dyDescent="0.2">
      <c r="A35" s="134" t="s">
        <v>42</v>
      </c>
      <c r="B35" s="144"/>
      <c r="C35" s="144"/>
      <c r="D35" s="144"/>
      <c r="E35" s="144"/>
      <c r="F35" s="142"/>
      <c r="G35" s="146"/>
      <c r="H35" s="146"/>
      <c r="I35" s="146"/>
      <c r="J35" s="142"/>
      <c r="K35" s="142"/>
      <c r="L35" s="142"/>
      <c r="M35" s="146"/>
      <c r="N35" s="143"/>
      <c r="O35" s="143"/>
      <c r="P35" s="152"/>
      <c r="Q35" s="149"/>
      <c r="R35" s="142"/>
      <c r="S35" s="143"/>
      <c r="T35" s="143"/>
    </row>
    <row r="36" spans="1:20" ht="35.450000000000003" customHeight="1" x14ac:dyDescent="0.2">
      <c r="A36" s="134" t="s">
        <v>43</v>
      </c>
      <c r="B36" s="144"/>
      <c r="C36" s="144"/>
      <c r="D36" s="144"/>
      <c r="E36" s="144"/>
      <c r="F36" s="142"/>
      <c r="G36" s="146"/>
      <c r="H36" s="146"/>
      <c r="I36" s="146"/>
      <c r="J36" s="142"/>
      <c r="K36" s="142"/>
      <c r="L36" s="142"/>
      <c r="M36" s="146"/>
      <c r="N36" s="143"/>
      <c r="O36" s="143"/>
      <c r="P36" s="152"/>
      <c r="Q36" s="149"/>
      <c r="R36" s="142"/>
      <c r="S36" s="143"/>
      <c r="T36" s="143"/>
    </row>
    <row r="37" spans="1:20" ht="35.450000000000003" customHeight="1" x14ac:dyDescent="0.2">
      <c r="A37" s="134" t="s">
        <v>44</v>
      </c>
      <c r="B37" s="144"/>
      <c r="C37" s="144"/>
      <c r="D37" s="144"/>
      <c r="E37" s="144"/>
      <c r="F37" s="142"/>
      <c r="G37" s="146"/>
      <c r="H37" s="146"/>
      <c r="I37" s="146"/>
      <c r="J37" s="142"/>
      <c r="K37" s="142"/>
      <c r="L37" s="142"/>
      <c r="M37" s="146"/>
      <c r="N37" s="143"/>
      <c r="O37" s="143"/>
      <c r="P37" s="152"/>
      <c r="Q37" s="149"/>
      <c r="R37" s="142"/>
      <c r="S37" s="143"/>
      <c r="T37" s="143"/>
    </row>
    <row r="38" spans="1:20" ht="35.450000000000003" customHeight="1" x14ac:dyDescent="0.2">
      <c r="A38" s="134" t="s">
        <v>53</v>
      </c>
      <c r="B38" s="144"/>
      <c r="C38" s="144"/>
      <c r="D38" s="144"/>
      <c r="E38" s="144"/>
      <c r="F38" s="142"/>
      <c r="G38" s="146"/>
      <c r="H38" s="146"/>
      <c r="I38" s="146"/>
      <c r="J38" s="142"/>
      <c r="K38" s="142"/>
      <c r="L38" s="142"/>
      <c r="M38" s="146"/>
      <c r="N38" s="143"/>
      <c r="O38" s="143"/>
      <c r="P38" s="152"/>
      <c r="Q38" s="149"/>
      <c r="R38" s="142"/>
      <c r="S38" s="143"/>
      <c r="T38" s="143"/>
    </row>
    <row r="39" spans="1:20" ht="35.450000000000003" customHeight="1" x14ac:dyDescent="0.2">
      <c r="A39" s="134" t="s">
        <v>304</v>
      </c>
      <c r="B39" s="144"/>
      <c r="C39" s="144"/>
      <c r="D39" s="144"/>
      <c r="E39" s="144"/>
      <c r="F39" s="142"/>
      <c r="G39" s="146"/>
      <c r="H39" s="146"/>
      <c r="I39" s="146"/>
      <c r="J39" s="142"/>
      <c r="K39" s="142"/>
      <c r="L39" s="142"/>
      <c r="M39" s="146"/>
      <c r="N39" s="143"/>
      <c r="O39" s="143"/>
      <c r="P39" s="152"/>
      <c r="Q39" s="149"/>
      <c r="R39" s="142"/>
      <c r="S39" s="143"/>
      <c r="T39" s="143"/>
    </row>
    <row r="40" spans="1:20" ht="35.450000000000003" customHeight="1" x14ac:dyDescent="0.2">
      <c r="A40" s="134" t="s">
        <v>305</v>
      </c>
      <c r="B40" s="144"/>
      <c r="C40" s="144"/>
      <c r="D40" s="144"/>
      <c r="E40" s="144"/>
      <c r="F40" s="142"/>
      <c r="G40" s="146"/>
      <c r="H40" s="146"/>
      <c r="I40" s="146"/>
      <c r="J40" s="142"/>
      <c r="K40" s="142"/>
      <c r="L40" s="142"/>
      <c r="M40" s="146"/>
      <c r="N40" s="143"/>
      <c r="O40" s="143"/>
      <c r="P40" s="152"/>
      <c r="Q40" s="149"/>
      <c r="R40" s="142"/>
      <c r="S40" s="143"/>
      <c r="T40" s="143"/>
    </row>
    <row r="41" spans="1:20" ht="35.450000000000003" customHeight="1" x14ac:dyDescent="0.2">
      <c r="A41" s="134" t="s">
        <v>306</v>
      </c>
      <c r="B41" s="144"/>
      <c r="C41" s="144"/>
      <c r="D41" s="144"/>
      <c r="E41" s="144"/>
      <c r="F41" s="142"/>
      <c r="G41" s="146"/>
      <c r="H41" s="146"/>
      <c r="I41" s="146"/>
      <c r="J41" s="142"/>
      <c r="K41" s="142"/>
      <c r="L41" s="142"/>
      <c r="M41" s="146"/>
      <c r="N41" s="143"/>
      <c r="O41" s="143"/>
      <c r="P41" s="152"/>
      <c r="Q41" s="149"/>
      <c r="R41" s="142"/>
      <c r="S41" s="143"/>
      <c r="T41" s="143"/>
    </row>
    <row r="42" spans="1:20" ht="35.450000000000003" customHeight="1" x14ac:dyDescent="0.2">
      <c r="A42" s="134" t="s">
        <v>307</v>
      </c>
      <c r="B42" s="144"/>
      <c r="C42" s="144"/>
      <c r="D42" s="144"/>
      <c r="E42" s="144"/>
      <c r="F42" s="142"/>
      <c r="G42" s="146"/>
      <c r="H42" s="146"/>
      <c r="I42" s="146"/>
      <c r="J42" s="142"/>
      <c r="K42" s="142"/>
      <c r="L42" s="142"/>
      <c r="M42" s="146"/>
      <c r="N42" s="143"/>
      <c r="O42" s="143"/>
      <c r="P42" s="152"/>
      <c r="Q42" s="149"/>
      <c r="R42" s="142"/>
      <c r="S42" s="143"/>
      <c r="T42" s="143"/>
    </row>
    <row r="43" spans="1:20" ht="35.450000000000003" customHeight="1" x14ac:dyDescent="0.2">
      <c r="A43" s="134" t="s">
        <v>308</v>
      </c>
      <c r="B43" s="144"/>
      <c r="C43" s="144"/>
      <c r="D43" s="144"/>
      <c r="E43" s="144"/>
      <c r="F43" s="142"/>
      <c r="G43" s="146"/>
      <c r="H43" s="146"/>
      <c r="I43" s="146"/>
      <c r="J43" s="142"/>
      <c r="K43" s="142"/>
      <c r="L43" s="142"/>
      <c r="M43" s="146"/>
      <c r="N43" s="143"/>
      <c r="O43" s="143"/>
      <c r="P43" s="152"/>
      <c r="Q43" s="149"/>
      <c r="R43" s="142"/>
      <c r="S43" s="143"/>
      <c r="T43" s="143"/>
    </row>
    <row r="44" spans="1:20" ht="35.450000000000003" customHeight="1" x14ac:dyDescent="0.2">
      <c r="A44" s="134" t="s">
        <v>309</v>
      </c>
      <c r="B44" s="144"/>
      <c r="C44" s="144"/>
      <c r="D44" s="144"/>
      <c r="E44" s="144"/>
      <c r="F44" s="142"/>
      <c r="G44" s="146"/>
      <c r="H44" s="146"/>
      <c r="I44" s="146"/>
      <c r="J44" s="142"/>
      <c r="K44" s="142"/>
      <c r="L44" s="142"/>
      <c r="M44" s="146"/>
      <c r="N44" s="143"/>
      <c r="O44" s="143"/>
      <c r="P44" s="152"/>
      <c r="Q44" s="149"/>
      <c r="R44" s="142"/>
      <c r="S44" s="143"/>
      <c r="T44" s="143"/>
    </row>
    <row r="45" spans="1:20" ht="35.450000000000003" customHeight="1" x14ac:dyDescent="0.2">
      <c r="A45" s="134" t="s">
        <v>310</v>
      </c>
      <c r="B45" s="144"/>
      <c r="C45" s="144"/>
      <c r="D45" s="144"/>
      <c r="E45" s="144"/>
      <c r="F45" s="142"/>
      <c r="G45" s="146"/>
      <c r="H45" s="146"/>
      <c r="I45" s="146"/>
      <c r="J45" s="142"/>
      <c r="K45" s="142"/>
      <c r="L45" s="142"/>
      <c r="M45" s="146"/>
      <c r="N45" s="143"/>
      <c r="O45" s="143"/>
      <c r="P45" s="152"/>
      <c r="Q45" s="149"/>
      <c r="R45" s="142"/>
      <c r="S45" s="143"/>
      <c r="T45" s="143"/>
    </row>
    <row r="46" spans="1:20" ht="35.450000000000003" customHeight="1" x14ac:dyDescent="0.2">
      <c r="A46" s="134" t="s">
        <v>54</v>
      </c>
      <c r="B46" s="144"/>
      <c r="C46" s="144"/>
      <c r="D46" s="144"/>
      <c r="E46" s="144"/>
      <c r="F46" s="142"/>
      <c r="G46" s="146"/>
      <c r="H46" s="146"/>
      <c r="I46" s="146"/>
      <c r="J46" s="142"/>
      <c r="K46" s="142"/>
      <c r="L46" s="142"/>
      <c r="M46" s="146"/>
      <c r="N46" s="143"/>
      <c r="O46" s="143"/>
      <c r="P46" s="152"/>
      <c r="Q46" s="149"/>
      <c r="R46" s="142"/>
      <c r="S46" s="143"/>
      <c r="T46" s="143"/>
    </row>
    <row r="47" spans="1:20" ht="35.450000000000003" customHeight="1" x14ac:dyDescent="0.2">
      <c r="A47" s="134" t="s">
        <v>311</v>
      </c>
      <c r="B47" s="144"/>
      <c r="C47" s="144"/>
      <c r="D47" s="144"/>
      <c r="E47" s="144"/>
      <c r="F47" s="156"/>
      <c r="G47" s="146"/>
      <c r="H47" s="146"/>
      <c r="I47" s="146"/>
      <c r="J47" s="142"/>
      <c r="K47" s="142"/>
      <c r="L47" s="142"/>
      <c r="M47" s="146"/>
      <c r="N47" s="147"/>
      <c r="O47" s="147"/>
      <c r="P47" s="152"/>
      <c r="Q47" s="149"/>
      <c r="R47" s="142"/>
      <c r="S47" s="143"/>
      <c r="T47" s="143"/>
    </row>
    <row r="48" spans="1:20" ht="35.450000000000003" customHeight="1" x14ac:dyDescent="0.2">
      <c r="A48" s="134" t="s">
        <v>312</v>
      </c>
      <c r="B48" s="144"/>
      <c r="C48" s="144"/>
      <c r="D48" s="144"/>
      <c r="E48" s="144"/>
      <c r="F48" s="156"/>
      <c r="G48" s="146"/>
      <c r="H48" s="146"/>
      <c r="I48" s="146"/>
      <c r="J48" s="142"/>
      <c r="K48" s="142"/>
      <c r="L48" s="142"/>
      <c r="M48" s="146"/>
      <c r="N48" s="147"/>
      <c r="O48" s="147"/>
      <c r="P48" s="151"/>
      <c r="Q48" s="149"/>
      <c r="R48" s="142"/>
      <c r="S48" s="143"/>
      <c r="T48" s="143"/>
    </row>
    <row r="49" spans="1:20" ht="35.450000000000003" customHeight="1" x14ac:dyDescent="0.2">
      <c r="A49" s="134" t="s">
        <v>313</v>
      </c>
      <c r="B49" s="144"/>
      <c r="C49" s="144"/>
      <c r="D49" s="144"/>
      <c r="E49" s="144"/>
      <c r="F49" s="156"/>
      <c r="G49" s="146"/>
      <c r="H49" s="146"/>
      <c r="I49" s="146"/>
      <c r="J49" s="142"/>
      <c r="K49" s="142"/>
      <c r="L49" s="142"/>
      <c r="M49" s="146"/>
      <c r="N49" s="147"/>
      <c r="O49" s="147"/>
      <c r="P49" s="151"/>
      <c r="Q49" s="149"/>
      <c r="R49" s="142"/>
      <c r="S49" s="143"/>
      <c r="T49" s="143"/>
    </row>
    <row r="50" spans="1:20" ht="35.450000000000003" customHeight="1" x14ac:dyDescent="0.2">
      <c r="A50" s="134" t="s">
        <v>314</v>
      </c>
      <c r="B50" s="144"/>
      <c r="C50" s="144"/>
      <c r="D50" s="144"/>
      <c r="E50" s="144"/>
      <c r="F50" s="156"/>
      <c r="G50" s="146"/>
      <c r="H50" s="146"/>
      <c r="I50" s="146"/>
      <c r="J50" s="142"/>
      <c r="K50" s="142"/>
      <c r="L50" s="142"/>
      <c r="M50" s="146"/>
      <c r="N50" s="147"/>
      <c r="O50" s="147"/>
      <c r="P50" s="151"/>
      <c r="Q50" s="149"/>
      <c r="R50" s="142"/>
      <c r="S50" s="143"/>
      <c r="T50" s="143"/>
    </row>
    <row r="51" spans="1:20" ht="35.450000000000003" customHeight="1" x14ac:dyDescent="0.2">
      <c r="A51" s="134" t="s">
        <v>315</v>
      </c>
      <c r="B51" s="144"/>
      <c r="C51" s="144"/>
      <c r="D51" s="144"/>
      <c r="E51" s="144"/>
      <c r="F51" s="142"/>
      <c r="G51" s="146"/>
      <c r="H51" s="146"/>
      <c r="I51" s="146"/>
      <c r="J51" s="142"/>
      <c r="K51" s="142"/>
      <c r="L51" s="142"/>
      <c r="M51" s="146"/>
      <c r="N51" s="147"/>
      <c r="O51" s="147"/>
      <c r="P51" s="151"/>
      <c r="Q51" s="149"/>
      <c r="R51" s="142"/>
      <c r="S51" s="143"/>
      <c r="T51" s="143"/>
    </row>
    <row r="52" spans="1:20" ht="35.450000000000003" customHeight="1" x14ac:dyDescent="0.2">
      <c r="A52" s="134" t="s">
        <v>316</v>
      </c>
      <c r="B52" s="144"/>
      <c r="C52" s="144"/>
      <c r="D52" s="144"/>
      <c r="E52" s="144"/>
      <c r="F52" s="142"/>
      <c r="G52" s="146"/>
      <c r="H52" s="146"/>
      <c r="I52" s="146"/>
      <c r="J52" s="142"/>
      <c r="K52" s="142"/>
      <c r="L52" s="142"/>
      <c r="M52" s="146"/>
      <c r="N52" s="147"/>
      <c r="O52" s="147"/>
      <c r="P52" s="151"/>
      <c r="Q52" s="149"/>
      <c r="R52" s="142"/>
      <c r="S52" s="143"/>
      <c r="T52" s="143"/>
    </row>
    <row r="53" spans="1:20" ht="35.450000000000003" customHeight="1" x14ac:dyDescent="0.2">
      <c r="A53" s="134" t="s">
        <v>317</v>
      </c>
      <c r="B53" s="144"/>
      <c r="C53" s="144"/>
      <c r="D53" s="144"/>
      <c r="E53" s="144"/>
      <c r="F53" s="142"/>
      <c r="G53" s="146"/>
      <c r="H53" s="146"/>
      <c r="I53" s="146"/>
      <c r="J53" s="142"/>
      <c r="K53" s="142"/>
      <c r="L53" s="142"/>
      <c r="M53" s="146"/>
      <c r="N53" s="147"/>
      <c r="O53" s="147"/>
      <c r="P53" s="151"/>
      <c r="Q53" s="149"/>
      <c r="R53" s="142"/>
      <c r="S53" s="143"/>
      <c r="T53" s="143"/>
    </row>
    <row r="54" spans="1:20" ht="35.450000000000003" customHeight="1" x14ac:dyDescent="0.2">
      <c r="A54" s="134" t="s">
        <v>318</v>
      </c>
      <c r="B54" s="144"/>
      <c r="C54" s="144"/>
      <c r="D54" s="144"/>
      <c r="E54" s="144"/>
      <c r="F54" s="156"/>
      <c r="G54" s="146"/>
      <c r="H54" s="146"/>
      <c r="I54" s="146"/>
      <c r="J54" s="142"/>
      <c r="K54" s="142"/>
      <c r="L54" s="142"/>
      <c r="M54" s="146"/>
      <c r="N54" s="147"/>
      <c r="O54" s="147"/>
      <c r="P54" s="151"/>
      <c r="Q54" s="149"/>
      <c r="R54" s="142"/>
      <c r="S54" s="143"/>
      <c r="T54" s="143"/>
    </row>
    <row r="55" spans="1:20" ht="35.450000000000003" customHeight="1" x14ac:dyDescent="0.2">
      <c r="A55" s="134" t="s">
        <v>319</v>
      </c>
      <c r="B55" s="144"/>
      <c r="C55" s="144"/>
      <c r="D55" s="144"/>
      <c r="E55" s="144"/>
      <c r="F55" s="142"/>
      <c r="G55" s="146"/>
      <c r="H55" s="146"/>
      <c r="I55" s="146"/>
      <c r="J55" s="142"/>
      <c r="K55" s="142"/>
      <c r="L55" s="142"/>
      <c r="M55" s="146"/>
      <c r="N55" s="143"/>
      <c r="O55" s="143"/>
      <c r="P55" s="151"/>
      <c r="Q55" s="149"/>
      <c r="R55" s="142"/>
      <c r="S55" s="143"/>
      <c r="T55" s="143"/>
    </row>
    <row r="56" spans="1:20" ht="35.450000000000003" customHeight="1" x14ac:dyDescent="0.2">
      <c r="A56" s="134" t="s">
        <v>320</v>
      </c>
      <c r="B56" s="144"/>
      <c r="C56" s="144"/>
      <c r="D56" s="144"/>
      <c r="E56" s="144"/>
      <c r="F56" s="142"/>
      <c r="G56" s="146"/>
      <c r="H56" s="146"/>
      <c r="I56" s="146"/>
      <c r="J56" s="142"/>
      <c r="K56" s="142"/>
      <c r="L56" s="142"/>
      <c r="M56" s="146"/>
      <c r="N56" s="147"/>
      <c r="O56" s="147"/>
      <c r="P56" s="148"/>
      <c r="Q56" s="149"/>
      <c r="R56" s="142"/>
      <c r="S56" s="143"/>
      <c r="T56" s="143"/>
    </row>
    <row r="57" spans="1:20" ht="35.450000000000003" customHeight="1" x14ac:dyDescent="0.2">
      <c r="A57" s="134" t="s">
        <v>321</v>
      </c>
      <c r="B57" s="144"/>
      <c r="C57" s="144"/>
      <c r="D57" s="144"/>
      <c r="E57" s="144"/>
      <c r="F57" s="142"/>
      <c r="G57" s="146"/>
      <c r="H57" s="146"/>
      <c r="I57" s="146"/>
      <c r="J57" s="142"/>
      <c r="K57" s="142"/>
      <c r="L57" s="142"/>
      <c r="M57" s="146"/>
      <c r="N57" s="147"/>
      <c r="O57" s="147"/>
      <c r="P57" s="148"/>
      <c r="Q57" s="149"/>
      <c r="R57" s="142"/>
      <c r="S57" s="143"/>
      <c r="T57" s="143"/>
    </row>
    <row r="58" spans="1:20" ht="35.450000000000003" customHeight="1" x14ac:dyDescent="0.2">
      <c r="A58" s="134" t="s">
        <v>322</v>
      </c>
      <c r="B58" s="144"/>
      <c r="C58" s="144"/>
      <c r="D58" s="144"/>
      <c r="E58" s="144"/>
      <c r="F58" s="142"/>
      <c r="G58" s="146"/>
      <c r="H58" s="146"/>
      <c r="I58" s="146"/>
      <c r="J58" s="142"/>
      <c r="K58" s="142"/>
      <c r="L58" s="142"/>
      <c r="M58" s="146"/>
      <c r="N58" s="147"/>
      <c r="O58" s="147"/>
      <c r="P58" s="148"/>
      <c r="Q58" s="149"/>
      <c r="R58" s="142"/>
      <c r="S58" s="143"/>
      <c r="T58" s="143"/>
    </row>
    <row r="59" spans="1:20" ht="35.450000000000003" customHeight="1" x14ac:dyDescent="0.2">
      <c r="A59" s="134" t="s">
        <v>323</v>
      </c>
      <c r="B59" s="144"/>
      <c r="C59" s="144"/>
      <c r="D59" s="144"/>
      <c r="E59" s="144"/>
      <c r="F59" s="142"/>
      <c r="G59" s="146"/>
      <c r="H59" s="146"/>
      <c r="I59" s="146"/>
      <c r="J59" s="142"/>
      <c r="K59" s="142"/>
      <c r="L59" s="142"/>
      <c r="M59" s="146"/>
      <c r="N59" s="147"/>
      <c r="O59" s="147"/>
      <c r="P59" s="148"/>
      <c r="Q59" s="149"/>
      <c r="R59" s="142"/>
      <c r="S59" s="143"/>
      <c r="T59" s="143"/>
    </row>
    <row r="60" spans="1:20" ht="35.450000000000003" customHeight="1" x14ac:dyDescent="0.2">
      <c r="A60" s="134" t="s">
        <v>324</v>
      </c>
      <c r="B60" s="144"/>
      <c r="C60" s="144"/>
      <c r="D60" s="144"/>
      <c r="E60" s="144"/>
      <c r="F60" s="142"/>
      <c r="G60" s="146"/>
      <c r="H60" s="146"/>
      <c r="I60" s="146"/>
      <c r="J60" s="142"/>
      <c r="K60" s="142"/>
      <c r="L60" s="142"/>
      <c r="M60" s="146"/>
      <c r="N60" s="147"/>
      <c r="O60" s="147"/>
      <c r="P60" s="148"/>
      <c r="Q60" s="149"/>
      <c r="R60" s="142"/>
      <c r="S60" s="143"/>
      <c r="T60" s="143"/>
    </row>
    <row r="61" spans="1:20" ht="35.450000000000003" customHeight="1" x14ac:dyDescent="0.2">
      <c r="A61" s="134" t="s">
        <v>325</v>
      </c>
      <c r="B61" s="144"/>
      <c r="C61" s="144"/>
      <c r="D61" s="144"/>
      <c r="E61" s="144"/>
      <c r="F61" s="142"/>
      <c r="G61" s="146"/>
      <c r="H61" s="146"/>
      <c r="I61" s="146"/>
      <c r="J61" s="142"/>
      <c r="K61" s="142"/>
      <c r="L61" s="142"/>
      <c r="M61" s="146"/>
      <c r="N61" s="147"/>
      <c r="O61" s="147"/>
      <c r="P61" s="148"/>
      <c r="Q61" s="149"/>
      <c r="R61" s="142"/>
      <c r="S61" s="143"/>
      <c r="T61" s="143"/>
    </row>
    <row r="62" spans="1:20" ht="35.450000000000003" customHeight="1" x14ac:dyDescent="0.2">
      <c r="A62" s="134" t="s">
        <v>326</v>
      </c>
      <c r="B62" s="144"/>
      <c r="C62" s="144"/>
      <c r="D62" s="144"/>
      <c r="E62" s="144"/>
      <c r="F62" s="142"/>
      <c r="G62" s="146"/>
      <c r="H62" s="146"/>
      <c r="I62" s="146"/>
      <c r="J62" s="142"/>
      <c r="K62" s="142"/>
      <c r="L62" s="142"/>
      <c r="M62" s="146"/>
      <c r="N62" s="147"/>
      <c r="O62" s="147"/>
      <c r="P62" s="148"/>
      <c r="Q62" s="149"/>
      <c r="R62" s="142"/>
      <c r="S62" s="143"/>
      <c r="T62" s="143"/>
    </row>
    <row r="63" spans="1:20" ht="35.450000000000003" customHeight="1" x14ac:dyDescent="0.2">
      <c r="A63" s="134" t="s">
        <v>327</v>
      </c>
      <c r="B63" s="144"/>
      <c r="C63" s="144"/>
      <c r="D63" s="144"/>
      <c r="E63" s="144"/>
      <c r="F63" s="142"/>
      <c r="G63" s="146"/>
      <c r="H63" s="146"/>
      <c r="I63" s="146"/>
      <c r="J63" s="142"/>
      <c r="K63" s="142"/>
      <c r="L63" s="142"/>
      <c r="M63" s="146"/>
      <c r="N63" s="147"/>
      <c r="O63" s="147"/>
      <c r="P63" s="148"/>
      <c r="Q63" s="149"/>
      <c r="R63" s="142"/>
      <c r="S63" s="143"/>
      <c r="T63" s="143"/>
    </row>
    <row r="64" spans="1:20" ht="35.450000000000003" customHeight="1" x14ac:dyDescent="0.2">
      <c r="A64" s="134" t="s">
        <v>328</v>
      </c>
      <c r="B64" s="144"/>
      <c r="C64" s="144"/>
      <c r="D64" s="144"/>
      <c r="E64" s="144"/>
      <c r="F64" s="142"/>
      <c r="G64" s="146"/>
      <c r="H64" s="146"/>
      <c r="I64" s="146"/>
      <c r="J64" s="142"/>
      <c r="K64" s="142"/>
      <c r="L64" s="142"/>
      <c r="M64" s="146"/>
      <c r="N64" s="147"/>
      <c r="O64" s="147"/>
      <c r="P64" s="148"/>
      <c r="Q64" s="149"/>
      <c r="R64" s="142"/>
      <c r="S64" s="143"/>
      <c r="T64" s="143"/>
    </row>
    <row r="65" spans="1:20" ht="35.450000000000003" customHeight="1" x14ac:dyDescent="0.2">
      <c r="A65" s="134" t="s">
        <v>329</v>
      </c>
      <c r="B65" s="144"/>
      <c r="C65" s="144"/>
      <c r="D65" s="144"/>
      <c r="E65" s="144"/>
      <c r="F65" s="142"/>
      <c r="G65" s="146"/>
      <c r="H65" s="146"/>
      <c r="I65" s="146"/>
      <c r="J65" s="142"/>
      <c r="K65" s="142"/>
      <c r="L65" s="142"/>
      <c r="M65" s="146"/>
      <c r="N65" s="147"/>
      <c r="O65" s="147"/>
      <c r="P65" s="148"/>
      <c r="Q65" s="149"/>
      <c r="R65" s="142"/>
      <c r="S65" s="143"/>
      <c r="T65" s="143"/>
    </row>
    <row r="66" spans="1:20" ht="35.450000000000003" customHeight="1" x14ac:dyDescent="0.2"/>
    <row r="67" spans="1:20" ht="35.450000000000003" customHeight="1" x14ac:dyDescent="0.2"/>
    <row r="68" spans="1:20" ht="35.450000000000003" customHeight="1" x14ac:dyDescent="0.2"/>
    <row r="69" spans="1:20" ht="35.450000000000003" customHeight="1" x14ac:dyDescent="0.2"/>
    <row r="70" spans="1:20" ht="35.450000000000003" customHeight="1" x14ac:dyDescent="0.2"/>
    <row r="71" spans="1:20" ht="35.450000000000003" customHeight="1" x14ac:dyDescent="0.2"/>
    <row r="72" spans="1:20" ht="35.450000000000003" customHeight="1" x14ac:dyDescent="0.2"/>
    <row r="73" spans="1:20" ht="35.450000000000003" customHeight="1" x14ac:dyDescent="0.2"/>
    <row r="74" spans="1:20" ht="35.450000000000003" customHeight="1" x14ac:dyDescent="0.2"/>
    <row r="75" spans="1:20" ht="35.450000000000003" customHeight="1" x14ac:dyDescent="0.2"/>
    <row r="76" spans="1:20" ht="35.450000000000003" customHeight="1" x14ac:dyDescent="0.2"/>
    <row r="77" spans="1:20" ht="35.450000000000003" customHeight="1" x14ac:dyDescent="0.2"/>
    <row r="78" spans="1:20" ht="35.450000000000003" customHeight="1" x14ac:dyDescent="0.2"/>
    <row r="79" spans="1:20" ht="35.450000000000003" customHeight="1" x14ac:dyDescent="0.2"/>
    <row r="80" spans="1:20" ht="35.450000000000003" customHeight="1" x14ac:dyDescent="0.2"/>
    <row r="81" ht="35.450000000000003" customHeight="1" x14ac:dyDescent="0.2"/>
    <row r="82" ht="35.450000000000003" customHeight="1" x14ac:dyDescent="0.2"/>
    <row r="83" ht="35.450000000000003" customHeight="1" x14ac:dyDescent="0.2"/>
    <row r="84" ht="35.450000000000003" customHeight="1" x14ac:dyDescent="0.2"/>
    <row r="85" ht="35.450000000000003" customHeight="1" x14ac:dyDescent="0.2"/>
    <row r="86" ht="35.450000000000003" customHeight="1" x14ac:dyDescent="0.2"/>
    <row r="87" ht="35.450000000000003" customHeight="1" x14ac:dyDescent="0.2"/>
    <row r="88" ht="35.450000000000003" customHeight="1" x14ac:dyDescent="0.2"/>
    <row r="89" ht="35.450000000000003" customHeight="1" x14ac:dyDescent="0.2"/>
    <row r="90" ht="35.450000000000003" customHeight="1" x14ac:dyDescent="0.2"/>
    <row r="91" ht="35.450000000000003" customHeight="1" x14ac:dyDescent="0.2"/>
    <row r="92" ht="35.450000000000003" customHeight="1" x14ac:dyDescent="0.2"/>
    <row r="93" ht="35.450000000000003" customHeight="1" x14ac:dyDescent="0.2"/>
    <row r="94" ht="35.450000000000003" customHeight="1" x14ac:dyDescent="0.2"/>
    <row r="95" ht="35.450000000000003" customHeight="1" x14ac:dyDescent="0.2"/>
    <row r="96" ht="35.450000000000003" customHeight="1" x14ac:dyDescent="0.2"/>
    <row r="97" ht="35.450000000000003" customHeight="1" x14ac:dyDescent="0.2"/>
    <row r="98" ht="35.450000000000003" customHeight="1" x14ac:dyDescent="0.2"/>
    <row r="99" ht="35.450000000000003" customHeight="1" x14ac:dyDescent="0.2"/>
    <row r="100" ht="35.450000000000003" customHeight="1" x14ac:dyDescent="0.2"/>
    <row r="101" ht="35.450000000000003" customHeight="1" x14ac:dyDescent="0.2"/>
    <row r="102" ht="35.450000000000003" customHeight="1" x14ac:dyDescent="0.2"/>
    <row r="103" ht="35.450000000000003" customHeight="1" x14ac:dyDescent="0.2"/>
    <row r="104" ht="35.450000000000003" customHeight="1" x14ac:dyDescent="0.2"/>
    <row r="105" ht="35.450000000000003" customHeight="1" x14ac:dyDescent="0.2"/>
    <row r="106" ht="35.450000000000003" customHeight="1" x14ac:dyDescent="0.2"/>
    <row r="107" ht="35.450000000000003" customHeight="1" x14ac:dyDescent="0.2"/>
    <row r="108" ht="35.450000000000003" customHeight="1" x14ac:dyDescent="0.2"/>
    <row r="109" ht="35.450000000000003" customHeight="1" x14ac:dyDescent="0.2"/>
    <row r="110" ht="35.450000000000003" customHeight="1" x14ac:dyDescent="0.2"/>
    <row r="111" ht="35.450000000000003" customHeight="1" x14ac:dyDescent="0.2"/>
    <row r="112" ht="35.450000000000003" customHeight="1" x14ac:dyDescent="0.2"/>
    <row r="113" ht="35.450000000000003" customHeight="1" x14ac:dyDescent="0.2"/>
    <row r="114" ht="35.450000000000003" customHeight="1" x14ac:dyDescent="0.2"/>
    <row r="115" ht="35.450000000000003" customHeight="1" x14ac:dyDescent="0.2"/>
    <row r="116" ht="35.450000000000003" customHeight="1" x14ac:dyDescent="0.2"/>
    <row r="117" ht="35.450000000000003" customHeight="1" x14ac:dyDescent="0.2"/>
    <row r="118" ht="35.450000000000003" customHeight="1" x14ac:dyDescent="0.2"/>
    <row r="119" ht="35.450000000000003" customHeight="1" x14ac:dyDescent="0.2"/>
    <row r="120" ht="35.450000000000003" customHeight="1" x14ac:dyDescent="0.2"/>
    <row r="121" ht="35.450000000000003" customHeight="1" x14ac:dyDescent="0.2"/>
    <row r="122" ht="35.450000000000003" customHeight="1" x14ac:dyDescent="0.2"/>
    <row r="123" ht="35.450000000000003" customHeight="1" x14ac:dyDescent="0.2"/>
    <row r="124" ht="35.450000000000003" customHeight="1" x14ac:dyDescent="0.2"/>
    <row r="125" ht="35.450000000000003" customHeight="1" x14ac:dyDescent="0.2"/>
    <row r="126" ht="35.450000000000003" customHeight="1" x14ac:dyDescent="0.2"/>
    <row r="127" ht="35.450000000000003" customHeight="1" x14ac:dyDescent="0.2"/>
    <row r="128" ht="35.450000000000003" customHeight="1" x14ac:dyDescent="0.2"/>
    <row r="129" ht="35.450000000000003" customHeight="1" x14ac:dyDescent="0.2"/>
    <row r="130" ht="35.450000000000003" customHeight="1" x14ac:dyDescent="0.2"/>
    <row r="131" ht="35.450000000000003" customHeight="1" x14ac:dyDescent="0.2"/>
    <row r="132" ht="35.450000000000003" customHeight="1" x14ac:dyDescent="0.2"/>
    <row r="133" ht="35.450000000000003" customHeight="1" x14ac:dyDescent="0.2"/>
    <row r="134" ht="35.450000000000003" customHeight="1" x14ac:dyDescent="0.2"/>
    <row r="135" ht="35.450000000000003" customHeight="1" x14ac:dyDescent="0.2"/>
    <row r="136" ht="35.450000000000003" customHeight="1" x14ac:dyDescent="0.2"/>
    <row r="137" ht="35.450000000000003" customHeight="1" x14ac:dyDescent="0.2"/>
    <row r="138" ht="35.450000000000003" customHeight="1" x14ac:dyDescent="0.2"/>
    <row r="139" ht="35.450000000000003" customHeight="1" x14ac:dyDescent="0.2"/>
    <row r="140" ht="35.450000000000003" customHeight="1" x14ac:dyDescent="0.2"/>
    <row r="141" ht="35.450000000000003" customHeight="1" x14ac:dyDescent="0.2"/>
    <row r="142" ht="35.450000000000003" customHeight="1" x14ac:dyDescent="0.2"/>
    <row r="143" ht="35.450000000000003" customHeight="1" x14ac:dyDescent="0.2"/>
    <row r="144" ht="35.450000000000003" customHeight="1" x14ac:dyDescent="0.2"/>
    <row r="145" ht="35.450000000000003" customHeight="1" x14ac:dyDescent="0.2"/>
    <row r="146" ht="35.450000000000003" customHeight="1" x14ac:dyDescent="0.2"/>
    <row r="147" ht="35.450000000000003" customHeight="1" x14ac:dyDescent="0.2"/>
    <row r="148" ht="35.450000000000003" customHeight="1" x14ac:dyDescent="0.2"/>
    <row r="149" ht="35.450000000000003" customHeight="1" x14ac:dyDescent="0.2"/>
    <row r="150" ht="35.450000000000003" customHeight="1" x14ac:dyDescent="0.2"/>
    <row r="151" ht="35.450000000000003" customHeight="1" x14ac:dyDescent="0.2"/>
    <row r="152" ht="35.450000000000003" customHeight="1" x14ac:dyDescent="0.2"/>
    <row r="153" ht="35.450000000000003" customHeight="1" x14ac:dyDescent="0.2"/>
    <row r="154" ht="35.450000000000003" customHeight="1" x14ac:dyDescent="0.2"/>
    <row r="155" ht="35.450000000000003" customHeight="1" x14ac:dyDescent="0.2"/>
    <row r="156" ht="35.450000000000003" customHeight="1" x14ac:dyDescent="0.2"/>
    <row r="157" ht="35.450000000000003" customHeight="1" x14ac:dyDescent="0.2"/>
    <row r="158" ht="35.450000000000003" customHeight="1" x14ac:dyDescent="0.2"/>
    <row r="159" ht="35.450000000000003" customHeight="1" x14ac:dyDescent="0.2"/>
    <row r="160" ht="35.450000000000003" customHeight="1" x14ac:dyDescent="0.2"/>
    <row r="161" ht="35.450000000000003" customHeight="1" x14ac:dyDescent="0.2"/>
    <row r="162" ht="35.450000000000003" customHeight="1" x14ac:dyDescent="0.2"/>
    <row r="163" ht="35.450000000000003" customHeight="1" x14ac:dyDescent="0.2"/>
    <row r="164" ht="35.450000000000003" customHeight="1" x14ac:dyDescent="0.2"/>
    <row r="165" ht="35.450000000000003" customHeight="1" x14ac:dyDescent="0.2"/>
    <row r="166" ht="35.450000000000003" customHeight="1" x14ac:dyDescent="0.2"/>
    <row r="167" ht="35.450000000000003" customHeight="1" x14ac:dyDescent="0.2"/>
    <row r="168" ht="35.450000000000003" customHeight="1" x14ac:dyDescent="0.2"/>
    <row r="169" ht="35.450000000000003" customHeight="1" x14ac:dyDescent="0.2"/>
    <row r="170" ht="35.450000000000003" customHeight="1" x14ac:dyDescent="0.2"/>
    <row r="171" ht="35.450000000000003" customHeight="1" x14ac:dyDescent="0.2"/>
    <row r="172" ht="35.450000000000003" customHeight="1" x14ac:dyDescent="0.2"/>
    <row r="173" ht="35.450000000000003" customHeight="1" x14ac:dyDescent="0.2"/>
    <row r="174" ht="35.450000000000003" customHeight="1" x14ac:dyDescent="0.2"/>
    <row r="175" ht="35.450000000000003" customHeight="1" x14ac:dyDescent="0.2"/>
    <row r="176" ht="35.450000000000003" customHeight="1" x14ac:dyDescent="0.2"/>
    <row r="177" ht="35.450000000000003" customHeight="1" x14ac:dyDescent="0.2"/>
    <row r="178" ht="35.450000000000003" customHeight="1" x14ac:dyDescent="0.2"/>
    <row r="179" ht="35.450000000000003" customHeight="1" x14ac:dyDescent="0.2"/>
    <row r="180" ht="35.450000000000003" customHeight="1" x14ac:dyDescent="0.2"/>
    <row r="181" ht="35.450000000000003" customHeight="1" x14ac:dyDescent="0.2"/>
    <row r="182" ht="35.450000000000003" customHeight="1" x14ac:dyDescent="0.2"/>
    <row r="183" ht="35.450000000000003" customHeight="1" x14ac:dyDescent="0.2"/>
    <row r="184" ht="35.450000000000003" customHeight="1" x14ac:dyDescent="0.2"/>
    <row r="185" ht="35.450000000000003" customHeight="1" x14ac:dyDescent="0.2"/>
    <row r="186" ht="35.450000000000003" customHeight="1" x14ac:dyDescent="0.2"/>
    <row r="187" ht="35.450000000000003" customHeight="1" x14ac:dyDescent="0.2"/>
    <row r="188" ht="35.450000000000003" customHeight="1" x14ac:dyDescent="0.2"/>
    <row r="189" ht="35.450000000000003" customHeight="1" x14ac:dyDescent="0.2"/>
    <row r="190" ht="35.450000000000003" customHeight="1" x14ac:dyDescent="0.2"/>
    <row r="191" ht="35.450000000000003" customHeight="1" x14ac:dyDescent="0.2"/>
    <row r="192" ht="35.450000000000003" customHeight="1" x14ac:dyDescent="0.2"/>
    <row r="193" ht="35.450000000000003" customHeight="1" x14ac:dyDescent="0.2"/>
    <row r="194" ht="35.450000000000003" customHeight="1" x14ac:dyDescent="0.2"/>
    <row r="195" ht="35.450000000000003" customHeight="1" x14ac:dyDescent="0.2"/>
    <row r="196" ht="35.450000000000003" customHeight="1" x14ac:dyDescent="0.2"/>
    <row r="197" ht="35.450000000000003" customHeight="1" x14ac:dyDescent="0.2"/>
    <row r="198" ht="35.450000000000003" customHeight="1" x14ac:dyDescent="0.2"/>
    <row r="199" ht="35.450000000000003" customHeight="1" x14ac:dyDescent="0.2"/>
    <row r="200" ht="35.450000000000003" customHeight="1" x14ac:dyDescent="0.2"/>
    <row r="201" ht="35.450000000000003" customHeight="1" x14ac:dyDescent="0.2"/>
    <row r="202" ht="35.450000000000003" customHeight="1" x14ac:dyDescent="0.2"/>
    <row r="203" ht="35.450000000000003" customHeight="1" x14ac:dyDescent="0.2"/>
    <row r="204" ht="35.450000000000003" customHeight="1" x14ac:dyDescent="0.2"/>
    <row r="205" ht="35.450000000000003" customHeight="1" x14ac:dyDescent="0.2"/>
    <row r="206" ht="35.450000000000003" customHeight="1" x14ac:dyDescent="0.2"/>
    <row r="207" ht="35.450000000000003" customHeight="1" x14ac:dyDescent="0.2"/>
    <row r="208" ht="35.450000000000003" customHeight="1" x14ac:dyDescent="0.2"/>
    <row r="209" ht="35.450000000000003" customHeight="1" x14ac:dyDescent="0.2"/>
    <row r="210" ht="35.450000000000003" customHeight="1" x14ac:dyDescent="0.2"/>
    <row r="211" ht="35.450000000000003" customHeight="1" x14ac:dyDescent="0.2"/>
    <row r="212" ht="35.450000000000003" customHeight="1" x14ac:dyDescent="0.2"/>
    <row r="213" ht="35.450000000000003" customHeight="1" x14ac:dyDescent="0.2"/>
    <row r="214" ht="35.450000000000003" customHeight="1" x14ac:dyDescent="0.2"/>
    <row r="215" ht="35.450000000000003" customHeight="1" x14ac:dyDescent="0.2"/>
    <row r="216" ht="35.450000000000003" customHeight="1" x14ac:dyDescent="0.2"/>
    <row r="217" ht="35.450000000000003" customHeight="1" x14ac:dyDescent="0.2"/>
    <row r="218" ht="35.450000000000003" customHeight="1" x14ac:dyDescent="0.2"/>
    <row r="219" ht="35.450000000000003" customHeight="1" x14ac:dyDescent="0.2"/>
    <row r="220" ht="35.450000000000003" customHeight="1" x14ac:dyDescent="0.2"/>
    <row r="221" ht="35.450000000000003" customHeight="1" x14ac:dyDescent="0.2"/>
    <row r="222" ht="35.450000000000003" customHeight="1" x14ac:dyDescent="0.2"/>
    <row r="223" ht="35.450000000000003" customHeight="1" x14ac:dyDescent="0.2"/>
    <row r="224" ht="35.450000000000003" customHeight="1" x14ac:dyDescent="0.2"/>
    <row r="225" ht="35.450000000000003" customHeight="1" x14ac:dyDescent="0.2"/>
    <row r="226" ht="35.450000000000003" customHeight="1" x14ac:dyDescent="0.2"/>
    <row r="227" ht="35.450000000000003" customHeight="1" x14ac:dyDescent="0.2"/>
    <row r="228" ht="35.450000000000003" customHeight="1" x14ac:dyDescent="0.2"/>
    <row r="229" ht="35.450000000000003" customHeight="1" x14ac:dyDescent="0.2"/>
    <row r="230" ht="35.450000000000003" customHeight="1" x14ac:dyDescent="0.2"/>
    <row r="231" ht="35.450000000000003" customHeight="1" x14ac:dyDescent="0.2"/>
    <row r="232" ht="35.450000000000003" customHeight="1" x14ac:dyDescent="0.2"/>
    <row r="233" ht="35.450000000000003" customHeight="1" x14ac:dyDescent="0.2"/>
    <row r="234" ht="35.450000000000003" customHeight="1" x14ac:dyDescent="0.2"/>
    <row r="235" ht="35.450000000000003" customHeight="1" x14ac:dyDescent="0.2"/>
    <row r="236" ht="35.450000000000003" customHeight="1" x14ac:dyDescent="0.2"/>
    <row r="237" ht="35.450000000000003" customHeight="1" x14ac:dyDescent="0.2"/>
    <row r="238" ht="35.450000000000003" customHeight="1" x14ac:dyDescent="0.2"/>
    <row r="239" ht="35.450000000000003" customHeight="1" x14ac:dyDescent="0.2"/>
    <row r="240" ht="35.450000000000003" customHeight="1" x14ac:dyDescent="0.2"/>
    <row r="241" ht="35.450000000000003" customHeight="1" x14ac:dyDescent="0.2"/>
    <row r="242" ht="35.450000000000003" customHeight="1" x14ac:dyDescent="0.2"/>
    <row r="243" ht="35.450000000000003" customHeight="1" x14ac:dyDescent="0.2"/>
    <row r="244" ht="35.450000000000003" customHeight="1" x14ac:dyDescent="0.2"/>
    <row r="245" ht="35.450000000000003" customHeight="1" x14ac:dyDescent="0.2"/>
    <row r="246" ht="35.450000000000003" customHeight="1" x14ac:dyDescent="0.2"/>
    <row r="247" ht="35.450000000000003" customHeight="1" x14ac:dyDescent="0.2"/>
    <row r="248" ht="35.450000000000003" customHeight="1" x14ac:dyDescent="0.2"/>
    <row r="249" ht="35.450000000000003" customHeight="1" x14ac:dyDescent="0.2"/>
    <row r="250" ht="35.450000000000003" customHeight="1" x14ac:dyDescent="0.2"/>
    <row r="251" ht="35.450000000000003" customHeight="1" x14ac:dyDescent="0.2"/>
    <row r="252" ht="35.450000000000003" customHeight="1" x14ac:dyDescent="0.2"/>
    <row r="253" ht="35.450000000000003" customHeight="1" x14ac:dyDescent="0.2"/>
    <row r="254" ht="35.450000000000003" customHeight="1" x14ac:dyDescent="0.2"/>
    <row r="255" ht="35.450000000000003" customHeight="1" x14ac:dyDescent="0.2"/>
    <row r="256" ht="35.450000000000003" customHeight="1" x14ac:dyDescent="0.2"/>
    <row r="257" ht="35.450000000000003" customHeight="1" x14ac:dyDescent="0.2"/>
    <row r="258" ht="35.450000000000003" customHeight="1" x14ac:dyDescent="0.2"/>
    <row r="259" ht="35.450000000000003" customHeight="1" x14ac:dyDescent="0.2"/>
    <row r="260" ht="35.450000000000003" customHeight="1" x14ac:dyDescent="0.2"/>
    <row r="261" ht="35.450000000000003" customHeight="1" x14ac:dyDescent="0.2"/>
    <row r="262" ht="35.450000000000003" customHeight="1" x14ac:dyDescent="0.2"/>
    <row r="263" ht="35.450000000000003" customHeight="1" x14ac:dyDescent="0.2"/>
    <row r="264" ht="35.450000000000003" customHeight="1" x14ac:dyDescent="0.2"/>
    <row r="265" ht="35.450000000000003" customHeight="1" x14ac:dyDescent="0.2"/>
    <row r="266" ht="35.450000000000003" customHeight="1" x14ac:dyDescent="0.2"/>
    <row r="267" ht="35.450000000000003" customHeight="1" x14ac:dyDescent="0.2"/>
    <row r="268" ht="35.450000000000003" customHeight="1" x14ac:dyDescent="0.2"/>
    <row r="269" ht="35.450000000000003" customHeight="1" x14ac:dyDescent="0.2"/>
    <row r="270" ht="35.450000000000003" customHeight="1" x14ac:dyDescent="0.2"/>
    <row r="271" ht="35.450000000000003" customHeight="1" x14ac:dyDescent="0.2"/>
    <row r="272" ht="35.450000000000003" customHeight="1" x14ac:dyDescent="0.2"/>
    <row r="273" ht="35.450000000000003" customHeight="1" x14ac:dyDescent="0.2"/>
    <row r="274" ht="35.450000000000003" customHeight="1" x14ac:dyDescent="0.2"/>
    <row r="275" ht="35.450000000000003" customHeight="1" x14ac:dyDescent="0.2"/>
    <row r="276" ht="35.450000000000003" customHeight="1" x14ac:dyDescent="0.2"/>
    <row r="277" ht="35.450000000000003" customHeight="1" x14ac:dyDescent="0.2"/>
    <row r="278" ht="35.450000000000003" customHeight="1" x14ac:dyDescent="0.2"/>
    <row r="279" ht="35.450000000000003" customHeight="1" x14ac:dyDescent="0.2"/>
    <row r="280" ht="35.450000000000003" customHeight="1" x14ac:dyDescent="0.2"/>
    <row r="281" ht="35.450000000000003" customHeight="1" x14ac:dyDescent="0.2"/>
    <row r="282" ht="35.450000000000003" customHeight="1" x14ac:dyDescent="0.2"/>
    <row r="283" ht="35.450000000000003" customHeight="1" x14ac:dyDescent="0.2"/>
    <row r="284" ht="35.450000000000003" customHeight="1" x14ac:dyDescent="0.2"/>
    <row r="285" ht="35.450000000000003" customHeight="1" x14ac:dyDescent="0.2"/>
    <row r="286" ht="35.450000000000003" customHeight="1" x14ac:dyDescent="0.2"/>
    <row r="287" ht="35.450000000000003" customHeight="1" x14ac:dyDescent="0.2"/>
    <row r="288" ht="35.450000000000003" customHeight="1" x14ac:dyDescent="0.2"/>
    <row r="289" ht="35.450000000000003" customHeight="1" x14ac:dyDescent="0.2"/>
    <row r="290" ht="35.450000000000003" customHeight="1" x14ac:dyDescent="0.2"/>
    <row r="291" ht="35.450000000000003" customHeight="1" x14ac:dyDescent="0.2"/>
    <row r="292" ht="35.450000000000003" customHeight="1" x14ac:dyDescent="0.2"/>
    <row r="293" ht="35.450000000000003" customHeight="1" x14ac:dyDescent="0.2"/>
    <row r="294" ht="35.450000000000003" customHeight="1" x14ac:dyDescent="0.2"/>
    <row r="295" ht="35.450000000000003" customHeight="1" x14ac:dyDescent="0.2"/>
    <row r="296" ht="35.450000000000003" customHeight="1" x14ac:dyDescent="0.2"/>
    <row r="297" ht="35.450000000000003" customHeight="1" x14ac:dyDescent="0.2"/>
    <row r="298" ht="35.450000000000003" customHeight="1" x14ac:dyDescent="0.2"/>
    <row r="299" ht="35.450000000000003" customHeight="1" x14ac:dyDescent="0.2"/>
    <row r="300" ht="35.450000000000003" customHeight="1" x14ac:dyDescent="0.2"/>
    <row r="301" ht="35.450000000000003" customHeight="1" x14ac:dyDescent="0.2"/>
    <row r="302" ht="35.450000000000003" customHeight="1" x14ac:dyDescent="0.2"/>
    <row r="303" ht="35.450000000000003" customHeight="1" x14ac:dyDescent="0.2"/>
    <row r="304" ht="35.450000000000003" customHeight="1" x14ac:dyDescent="0.2"/>
    <row r="305" ht="35.450000000000003" customHeight="1" x14ac:dyDescent="0.2"/>
    <row r="306" ht="35.450000000000003" customHeight="1" x14ac:dyDescent="0.2"/>
    <row r="307" ht="35.450000000000003" customHeight="1" x14ac:dyDescent="0.2"/>
    <row r="308" ht="35.450000000000003" customHeight="1" x14ac:dyDescent="0.2"/>
    <row r="309" ht="35.450000000000003" customHeight="1" x14ac:dyDescent="0.2"/>
    <row r="310" ht="35.450000000000003" customHeight="1" x14ac:dyDescent="0.2"/>
    <row r="311" ht="35.450000000000003" customHeight="1" x14ac:dyDescent="0.2"/>
    <row r="312" ht="35.450000000000003" customHeight="1" x14ac:dyDescent="0.2"/>
    <row r="313" ht="35.450000000000003" customHeight="1" x14ac:dyDescent="0.2"/>
    <row r="314" ht="35.450000000000003" customHeight="1" x14ac:dyDescent="0.2"/>
    <row r="315" ht="35.450000000000003" customHeight="1" x14ac:dyDescent="0.2"/>
    <row r="316" ht="35.450000000000003" customHeight="1" x14ac:dyDescent="0.2"/>
    <row r="317" ht="35.450000000000003" customHeight="1" x14ac:dyDescent="0.2"/>
    <row r="318" ht="35.450000000000003" customHeight="1" x14ac:dyDescent="0.2"/>
    <row r="319" ht="35.450000000000003" customHeight="1" x14ac:dyDescent="0.2"/>
    <row r="320" ht="35.450000000000003" customHeight="1" x14ac:dyDescent="0.2"/>
    <row r="321" ht="35.450000000000003" customHeight="1" x14ac:dyDescent="0.2"/>
    <row r="322" ht="35.450000000000003" customHeight="1" x14ac:dyDescent="0.2"/>
    <row r="323" ht="35.450000000000003" customHeight="1" x14ac:dyDescent="0.2"/>
    <row r="324" ht="35.450000000000003" customHeight="1" x14ac:dyDescent="0.2"/>
    <row r="325" ht="35.450000000000003" customHeight="1" x14ac:dyDescent="0.2"/>
    <row r="326" ht="35.450000000000003" customHeight="1" x14ac:dyDescent="0.2"/>
    <row r="327" ht="35.450000000000003" customHeight="1" x14ac:dyDescent="0.2"/>
    <row r="328" ht="35.450000000000003" customHeight="1" x14ac:dyDescent="0.2"/>
    <row r="329" ht="35.450000000000003" customHeight="1" x14ac:dyDescent="0.2"/>
    <row r="330" ht="35.450000000000003" customHeight="1" x14ac:dyDescent="0.2"/>
    <row r="331" ht="35.450000000000003" customHeight="1" x14ac:dyDescent="0.2"/>
    <row r="332" ht="35.450000000000003" customHeight="1" x14ac:dyDescent="0.2"/>
    <row r="333" ht="35.450000000000003" customHeight="1" x14ac:dyDescent="0.2"/>
    <row r="334" ht="35.450000000000003" customHeight="1" x14ac:dyDescent="0.2"/>
    <row r="335" ht="35.450000000000003" customHeight="1" x14ac:dyDescent="0.2"/>
    <row r="336" ht="35.450000000000003" customHeight="1" x14ac:dyDescent="0.2"/>
    <row r="337" ht="35.450000000000003" customHeight="1" x14ac:dyDescent="0.2"/>
    <row r="338" ht="35.450000000000003" customHeight="1" x14ac:dyDescent="0.2"/>
    <row r="339" ht="35.450000000000003" customHeight="1" x14ac:dyDescent="0.2"/>
    <row r="340" ht="35.450000000000003" customHeight="1" x14ac:dyDescent="0.2"/>
    <row r="341" ht="35.450000000000003" customHeight="1" x14ac:dyDescent="0.2"/>
    <row r="342" ht="35.450000000000003" customHeight="1" x14ac:dyDescent="0.2"/>
    <row r="343" ht="35.450000000000003" customHeight="1" x14ac:dyDescent="0.2"/>
    <row r="344" ht="35.450000000000003" customHeight="1" x14ac:dyDescent="0.2"/>
    <row r="345" ht="35.450000000000003" customHeight="1" x14ac:dyDescent="0.2"/>
    <row r="346" ht="35.450000000000003" customHeight="1" x14ac:dyDescent="0.2"/>
    <row r="347" ht="35.450000000000003" customHeight="1" x14ac:dyDescent="0.2"/>
    <row r="348" ht="35.450000000000003" customHeight="1" x14ac:dyDescent="0.2"/>
    <row r="349" ht="35.450000000000003" customHeight="1" x14ac:dyDescent="0.2"/>
    <row r="350" ht="35.450000000000003" customHeight="1" x14ac:dyDescent="0.2"/>
    <row r="351" ht="35.450000000000003" customHeight="1" x14ac:dyDescent="0.2"/>
    <row r="352" ht="35.450000000000003" customHeight="1" x14ac:dyDescent="0.2"/>
    <row r="353" ht="35.450000000000003" customHeight="1" x14ac:dyDescent="0.2"/>
    <row r="354" ht="35.450000000000003" customHeight="1" x14ac:dyDescent="0.2"/>
    <row r="355" ht="35.450000000000003" customHeight="1" x14ac:dyDescent="0.2"/>
    <row r="356" ht="35.450000000000003" customHeight="1" x14ac:dyDescent="0.2"/>
    <row r="357" ht="35.450000000000003" customHeight="1" x14ac:dyDescent="0.2"/>
    <row r="358" ht="35.450000000000003" customHeight="1" x14ac:dyDescent="0.2"/>
    <row r="359" ht="35.450000000000003" customHeight="1" x14ac:dyDescent="0.2"/>
    <row r="360" ht="35.450000000000003" customHeight="1" x14ac:dyDescent="0.2"/>
    <row r="361" ht="35.450000000000003" customHeight="1" x14ac:dyDescent="0.2"/>
    <row r="362" ht="35.450000000000003" customHeight="1" x14ac:dyDescent="0.2"/>
    <row r="363" ht="35.450000000000003" customHeight="1" x14ac:dyDescent="0.2"/>
    <row r="364" ht="35.450000000000003" customHeight="1" x14ac:dyDescent="0.2"/>
    <row r="365" ht="35.450000000000003" customHeight="1" x14ac:dyDescent="0.2"/>
    <row r="366" ht="35.450000000000003" customHeight="1" x14ac:dyDescent="0.2"/>
    <row r="367" ht="35.450000000000003" customHeight="1" x14ac:dyDescent="0.2"/>
    <row r="368" ht="35.450000000000003" customHeight="1" x14ac:dyDescent="0.2"/>
    <row r="369" ht="35.450000000000003" customHeight="1" x14ac:dyDescent="0.2"/>
    <row r="370" ht="35.450000000000003" customHeight="1" x14ac:dyDescent="0.2"/>
    <row r="371" ht="35.450000000000003" customHeight="1" x14ac:dyDescent="0.2"/>
    <row r="372" ht="35.450000000000003" customHeight="1" x14ac:dyDescent="0.2"/>
    <row r="373" ht="35.450000000000003" customHeight="1" x14ac:dyDescent="0.2"/>
    <row r="374" ht="35.450000000000003" customHeight="1" x14ac:dyDescent="0.2"/>
    <row r="375" ht="35.450000000000003" customHeight="1" x14ac:dyDescent="0.2"/>
    <row r="376" ht="35.450000000000003" customHeight="1" x14ac:dyDescent="0.2"/>
    <row r="377" ht="35.450000000000003" customHeight="1" x14ac:dyDescent="0.2"/>
    <row r="378" ht="35.450000000000003" customHeight="1" x14ac:dyDescent="0.2"/>
    <row r="379" ht="35.450000000000003" customHeight="1" x14ac:dyDescent="0.2"/>
    <row r="380" ht="35.450000000000003" customHeight="1" x14ac:dyDescent="0.2"/>
    <row r="381" ht="35.450000000000003" customHeight="1" x14ac:dyDescent="0.2"/>
    <row r="382" ht="35.450000000000003" customHeight="1" x14ac:dyDescent="0.2"/>
    <row r="383" ht="35.450000000000003" customHeight="1" x14ac:dyDescent="0.2"/>
    <row r="384" ht="35.450000000000003" customHeight="1" x14ac:dyDescent="0.2"/>
    <row r="385" ht="35.450000000000003" customHeight="1" x14ac:dyDescent="0.2"/>
    <row r="386" ht="35.450000000000003" customHeight="1" x14ac:dyDescent="0.2"/>
    <row r="387" ht="35.450000000000003" customHeight="1" x14ac:dyDescent="0.2"/>
    <row r="388" ht="35.450000000000003" customHeight="1" x14ac:dyDescent="0.2"/>
    <row r="389" ht="35.450000000000003" customHeight="1" x14ac:dyDescent="0.2"/>
    <row r="390" ht="35.450000000000003" customHeight="1" x14ac:dyDescent="0.2"/>
    <row r="391" ht="35.450000000000003" customHeight="1" x14ac:dyDescent="0.2"/>
    <row r="392" ht="35.450000000000003" customHeight="1" x14ac:dyDescent="0.2"/>
    <row r="393" ht="35.450000000000003" customHeight="1" x14ac:dyDescent="0.2"/>
    <row r="394" ht="35.450000000000003" customHeight="1" x14ac:dyDescent="0.2"/>
    <row r="395" ht="35.450000000000003" customHeight="1" x14ac:dyDescent="0.2"/>
    <row r="396" ht="35.450000000000003" customHeight="1" x14ac:dyDescent="0.2"/>
    <row r="397" ht="35.450000000000003" customHeight="1" x14ac:dyDescent="0.2"/>
    <row r="398" ht="35.450000000000003" customHeight="1" x14ac:dyDescent="0.2"/>
    <row r="399" ht="35.450000000000003" customHeight="1" x14ac:dyDescent="0.2"/>
    <row r="400" ht="35.450000000000003" customHeight="1" x14ac:dyDescent="0.2"/>
    <row r="401" ht="35.450000000000003" customHeight="1" x14ac:dyDescent="0.2"/>
    <row r="402" ht="35.450000000000003" customHeight="1" x14ac:dyDescent="0.2"/>
    <row r="403" ht="35.450000000000003" customHeight="1" x14ac:dyDescent="0.2"/>
    <row r="404" ht="35.450000000000003" customHeight="1" x14ac:dyDescent="0.2"/>
    <row r="405" ht="35.450000000000003" customHeight="1" x14ac:dyDescent="0.2"/>
    <row r="406" ht="35.450000000000003" customHeight="1" x14ac:dyDescent="0.2"/>
    <row r="407" ht="35.450000000000003" customHeight="1" x14ac:dyDescent="0.2"/>
    <row r="408" ht="35.450000000000003" customHeight="1" x14ac:dyDescent="0.2"/>
    <row r="409" ht="35.450000000000003" customHeight="1" x14ac:dyDescent="0.2"/>
    <row r="410" ht="35.450000000000003" customHeight="1" x14ac:dyDescent="0.2"/>
    <row r="411" ht="35.450000000000003" customHeight="1" x14ac:dyDescent="0.2"/>
    <row r="412" ht="35.450000000000003" customHeight="1" x14ac:dyDescent="0.2"/>
    <row r="413" ht="35.450000000000003" customHeight="1" x14ac:dyDescent="0.2"/>
    <row r="414" ht="35.450000000000003" customHeight="1" x14ac:dyDescent="0.2"/>
    <row r="415" ht="35.450000000000003" customHeight="1" x14ac:dyDescent="0.2"/>
    <row r="416" ht="35.450000000000003" customHeight="1" x14ac:dyDescent="0.2"/>
    <row r="417" ht="35.450000000000003" customHeight="1" x14ac:dyDescent="0.2"/>
    <row r="418" ht="35.450000000000003" customHeight="1" x14ac:dyDescent="0.2"/>
    <row r="419" ht="35.450000000000003" customHeight="1" x14ac:dyDescent="0.2"/>
    <row r="420" ht="35.450000000000003" customHeight="1" x14ac:dyDescent="0.2"/>
    <row r="421" ht="35.450000000000003" customHeight="1" x14ac:dyDescent="0.2"/>
    <row r="422" ht="35.450000000000003" customHeight="1" x14ac:dyDescent="0.2"/>
    <row r="423" ht="35.450000000000003" customHeight="1" x14ac:dyDescent="0.2"/>
    <row r="424" ht="35.450000000000003" customHeight="1" x14ac:dyDescent="0.2"/>
    <row r="425" ht="35.450000000000003" customHeight="1" x14ac:dyDescent="0.2"/>
    <row r="426" ht="35.450000000000003" customHeight="1" x14ac:dyDescent="0.2"/>
    <row r="427" ht="35.450000000000003" customHeight="1" x14ac:dyDescent="0.2"/>
    <row r="428" ht="35.450000000000003" customHeight="1" x14ac:dyDescent="0.2"/>
    <row r="429" ht="35.450000000000003" customHeight="1" x14ac:dyDescent="0.2"/>
    <row r="430" ht="35.450000000000003" customHeight="1" x14ac:dyDescent="0.2"/>
    <row r="431" ht="35.450000000000003" customHeight="1" x14ac:dyDescent="0.2"/>
    <row r="432" ht="35.450000000000003" customHeight="1" x14ac:dyDescent="0.2"/>
    <row r="433" ht="35.450000000000003" customHeight="1" x14ac:dyDescent="0.2"/>
    <row r="434" ht="35.450000000000003" customHeight="1" x14ac:dyDescent="0.2"/>
    <row r="435" ht="35.450000000000003" customHeight="1" x14ac:dyDescent="0.2"/>
    <row r="436" ht="35.450000000000003" customHeight="1" x14ac:dyDescent="0.2"/>
    <row r="437" ht="35.450000000000003" customHeight="1" x14ac:dyDescent="0.2"/>
    <row r="438" ht="35.450000000000003" customHeight="1" x14ac:dyDescent="0.2"/>
    <row r="439" ht="35.450000000000003" customHeight="1" x14ac:dyDescent="0.2"/>
    <row r="440" ht="35.450000000000003" customHeight="1" x14ac:dyDescent="0.2"/>
    <row r="441" ht="35.450000000000003" customHeight="1" x14ac:dyDescent="0.2"/>
    <row r="442" ht="35.450000000000003" customHeight="1" x14ac:dyDescent="0.2"/>
    <row r="443" ht="35.450000000000003" customHeight="1" x14ac:dyDescent="0.2"/>
    <row r="444" ht="35.450000000000003" customHeight="1" x14ac:dyDescent="0.2"/>
    <row r="445" ht="35.450000000000003" customHeight="1" x14ac:dyDescent="0.2"/>
    <row r="446" ht="35.450000000000003" customHeight="1" x14ac:dyDescent="0.2"/>
    <row r="447" ht="35.450000000000003" customHeight="1" x14ac:dyDescent="0.2"/>
    <row r="448" ht="35.450000000000003" customHeight="1" x14ac:dyDescent="0.2"/>
    <row r="449" ht="35.450000000000003" customHeight="1" x14ac:dyDescent="0.2"/>
    <row r="450" ht="35.450000000000003" customHeight="1" x14ac:dyDescent="0.2"/>
    <row r="451" ht="35.450000000000003" customHeight="1" x14ac:dyDescent="0.2"/>
    <row r="452" ht="35.450000000000003" customHeight="1" x14ac:dyDescent="0.2"/>
    <row r="453" ht="35.450000000000003" customHeight="1" x14ac:dyDescent="0.2"/>
    <row r="454" ht="35.450000000000003" customHeight="1" x14ac:dyDescent="0.2"/>
    <row r="455" ht="35.450000000000003" customHeight="1" x14ac:dyDescent="0.2"/>
    <row r="456" ht="35.450000000000003" customHeight="1" x14ac:dyDescent="0.2"/>
    <row r="457" ht="35.450000000000003" customHeight="1" x14ac:dyDescent="0.2"/>
    <row r="458" ht="35.450000000000003" customHeight="1" x14ac:dyDescent="0.2"/>
    <row r="459" ht="35.450000000000003" customHeight="1" x14ac:dyDescent="0.2"/>
    <row r="460" ht="35.450000000000003" customHeight="1" x14ac:dyDescent="0.2"/>
    <row r="461" ht="35.450000000000003" customHeight="1" x14ac:dyDescent="0.2"/>
    <row r="462" ht="35.450000000000003" customHeight="1" x14ac:dyDescent="0.2"/>
    <row r="463" ht="35.450000000000003" customHeight="1" x14ac:dyDescent="0.2"/>
    <row r="464" ht="35.450000000000003" customHeight="1" x14ac:dyDescent="0.2"/>
    <row r="465" ht="35.450000000000003" customHeight="1" x14ac:dyDescent="0.2"/>
    <row r="466" ht="35.450000000000003" customHeight="1" x14ac:dyDescent="0.2"/>
    <row r="467" ht="35.450000000000003" customHeight="1" x14ac:dyDescent="0.2"/>
    <row r="468" ht="35.450000000000003" customHeight="1" x14ac:dyDescent="0.2"/>
    <row r="469" ht="35.450000000000003" customHeight="1" x14ac:dyDescent="0.2"/>
    <row r="470" ht="35.450000000000003" customHeight="1" x14ac:dyDescent="0.2"/>
    <row r="471" ht="35.450000000000003" customHeight="1" x14ac:dyDescent="0.2"/>
    <row r="472" ht="35.450000000000003" customHeight="1" x14ac:dyDescent="0.2"/>
    <row r="473" ht="35.450000000000003" customHeight="1" x14ac:dyDescent="0.2"/>
    <row r="474" ht="35.450000000000003" customHeight="1" x14ac:dyDescent="0.2"/>
    <row r="475" ht="35.450000000000003" customHeight="1" x14ac:dyDescent="0.2"/>
    <row r="476" ht="35.450000000000003" customHeight="1" x14ac:dyDescent="0.2"/>
    <row r="477" ht="35.450000000000003" customHeight="1" x14ac:dyDescent="0.2"/>
    <row r="478" ht="35.450000000000003" customHeight="1" x14ac:dyDescent="0.2"/>
    <row r="479" ht="35.450000000000003" customHeight="1" x14ac:dyDescent="0.2"/>
    <row r="480" ht="35.450000000000003" customHeight="1" x14ac:dyDescent="0.2"/>
    <row r="481" ht="35.450000000000003" customHeight="1" x14ac:dyDescent="0.2"/>
    <row r="482" ht="35.450000000000003" customHeight="1" x14ac:dyDescent="0.2"/>
    <row r="483" ht="35.450000000000003" customHeight="1" x14ac:dyDescent="0.2"/>
    <row r="484" ht="35.450000000000003" customHeight="1" x14ac:dyDescent="0.2"/>
    <row r="485" ht="35.450000000000003" customHeight="1" x14ac:dyDescent="0.2"/>
    <row r="486" ht="35.450000000000003" customHeight="1" x14ac:dyDescent="0.2"/>
    <row r="487" ht="35.450000000000003" customHeight="1" x14ac:dyDescent="0.2"/>
    <row r="488" ht="35.450000000000003" customHeight="1" x14ac:dyDescent="0.2"/>
    <row r="489" ht="35.450000000000003" customHeight="1" x14ac:dyDescent="0.2"/>
    <row r="490" ht="35.450000000000003" customHeight="1" x14ac:dyDescent="0.2"/>
    <row r="491" ht="35.450000000000003" customHeight="1" x14ac:dyDescent="0.2"/>
    <row r="492" ht="35.450000000000003" customHeight="1" x14ac:dyDescent="0.2"/>
    <row r="493" ht="35.450000000000003" customHeight="1" x14ac:dyDescent="0.2"/>
    <row r="494" ht="35.450000000000003" customHeight="1" x14ac:dyDescent="0.2"/>
    <row r="495" ht="35.450000000000003" customHeight="1" x14ac:dyDescent="0.2"/>
    <row r="496" ht="35.450000000000003" customHeight="1" x14ac:dyDescent="0.2"/>
    <row r="497" ht="35.450000000000003" customHeight="1" x14ac:dyDescent="0.2"/>
    <row r="498" ht="35.450000000000003" customHeight="1" x14ac:dyDescent="0.2"/>
    <row r="499" ht="35.450000000000003" customHeight="1" x14ac:dyDescent="0.2"/>
    <row r="500" ht="35.450000000000003" customHeight="1" x14ac:dyDescent="0.2"/>
    <row r="501" ht="35.450000000000003" customHeight="1" x14ac:dyDescent="0.2"/>
    <row r="502" ht="35.450000000000003" customHeight="1" x14ac:dyDescent="0.2"/>
    <row r="503" ht="35.450000000000003" customHeight="1" x14ac:dyDescent="0.2"/>
    <row r="504" ht="35.450000000000003" customHeight="1" x14ac:dyDescent="0.2"/>
    <row r="505" ht="35.450000000000003" customHeight="1" x14ac:dyDescent="0.2"/>
    <row r="506" ht="35.450000000000003" customHeight="1" x14ac:dyDescent="0.2"/>
    <row r="507" ht="35.450000000000003" customHeight="1" x14ac:dyDescent="0.2"/>
    <row r="508" ht="35.450000000000003" customHeight="1" x14ac:dyDescent="0.2"/>
    <row r="509" ht="35.450000000000003" customHeight="1" x14ac:dyDescent="0.2"/>
    <row r="510" ht="35.450000000000003" customHeight="1" x14ac:dyDescent="0.2"/>
    <row r="511" ht="35.450000000000003" customHeight="1" x14ac:dyDescent="0.2"/>
    <row r="512" ht="35.450000000000003" customHeight="1" x14ac:dyDescent="0.2"/>
    <row r="513" ht="35.450000000000003" customHeight="1" x14ac:dyDescent="0.2"/>
    <row r="514" ht="35.450000000000003" customHeight="1" x14ac:dyDescent="0.2"/>
    <row r="515" ht="35.450000000000003" customHeight="1" x14ac:dyDescent="0.2"/>
    <row r="516" ht="35.450000000000003" customHeight="1" x14ac:dyDescent="0.2"/>
    <row r="517" ht="35.450000000000003" customHeight="1" x14ac:dyDescent="0.2"/>
    <row r="518" ht="35.450000000000003" customHeight="1" x14ac:dyDescent="0.2"/>
    <row r="519" ht="35.450000000000003" customHeight="1" x14ac:dyDescent="0.2"/>
    <row r="520" ht="35.450000000000003" customHeight="1" x14ac:dyDescent="0.2"/>
    <row r="521" ht="35.450000000000003" customHeight="1" x14ac:dyDescent="0.2"/>
    <row r="522" ht="35.450000000000003" customHeight="1" x14ac:dyDescent="0.2"/>
    <row r="523" ht="35.450000000000003" customHeight="1" x14ac:dyDescent="0.2"/>
    <row r="524" ht="35.450000000000003" customHeight="1" x14ac:dyDescent="0.2"/>
    <row r="525" ht="35.450000000000003" customHeight="1" x14ac:dyDescent="0.2"/>
    <row r="526" ht="35.450000000000003" customHeight="1" x14ac:dyDescent="0.2"/>
    <row r="527" ht="35.450000000000003" customHeight="1" x14ac:dyDescent="0.2"/>
  </sheetData>
  <mergeCells count="90">
    <mergeCell ref="P3:P5"/>
    <mergeCell ref="N2:O2"/>
    <mergeCell ref="N3:O3"/>
    <mergeCell ref="B7:J7"/>
    <mergeCell ref="S1:T1"/>
    <mergeCell ref="S2:T2"/>
    <mergeCell ref="Q3:Q5"/>
    <mergeCell ref="R3:R5"/>
    <mergeCell ref="S3:T5"/>
    <mergeCell ref="J11:J12"/>
    <mergeCell ref="G11:G12"/>
    <mergeCell ref="I1:P1"/>
    <mergeCell ref="K2:M2"/>
    <mergeCell ref="I2:J4"/>
    <mergeCell ref="I5:J5"/>
    <mergeCell ref="P7:T7"/>
    <mergeCell ref="N7:O7"/>
    <mergeCell ref="L11:M11"/>
    <mergeCell ref="R11:R12"/>
    <mergeCell ref="P11:P12"/>
    <mergeCell ref="Q11:Q12"/>
    <mergeCell ref="S11:T11"/>
    <mergeCell ref="K3:M3"/>
    <mergeCell ref="K4:M4"/>
    <mergeCell ref="K5:M5"/>
    <mergeCell ref="B15:E15"/>
    <mergeCell ref="B16:E16"/>
    <mergeCell ref="B17:E17"/>
    <mergeCell ref="N4:O4"/>
    <mergeCell ref="N5:O5"/>
    <mergeCell ref="B13:E13"/>
    <mergeCell ref="B14:E14"/>
    <mergeCell ref="N11:N12"/>
    <mergeCell ref="O11:O12"/>
    <mergeCell ref="A1:B5"/>
    <mergeCell ref="B11:E12"/>
    <mergeCell ref="L7:M7"/>
    <mergeCell ref="A10:R10"/>
    <mergeCell ref="A11:A12"/>
    <mergeCell ref="F11:F12"/>
    <mergeCell ref="K11:K12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34:E34"/>
    <mergeCell ref="B35:E35"/>
    <mergeCell ref="B36:E36"/>
    <mergeCell ref="B37:E37"/>
    <mergeCell ref="B28:E28"/>
    <mergeCell ref="B29:E29"/>
    <mergeCell ref="B30:E30"/>
    <mergeCell ref="B31:E31"/>
    <mergeCell ref="B32:E32"/>
    <mergeCell ref="B48:E48"/>
    <mergeCell ref="B49:E49"/>
    <mergeCell ref="B50:E50"/>
    <mergeCell ref="A6:T6"/>
    <mergeCell ref="B51:E51"/>
    <mergeCell ref="B43:E43"/>
    <mergeCell ref="B44:E44"/>
    <mergeCell ref="B45:E45"/>
    <mergeCell ref="B46:E46"/>
    <mergeCell ref="B47:E47"/>
    <mergeCell ref="B38:E38"/>
    <mergeCell ref="B39:E39"/>
    <mergeCell ref="B40:E40"/>
    <mergeCell ref="B41:E41"/>
    <mergeCell ref="B42:E42"/>
    <mergeCell ref="B33:E33"/>
    <mergeCell ref="B57:E57"/>
    <mergeCell ref="B59:E59"/>
    <mergeCell ref="B60:E60"/>
    <mergeCell ref="B61:E61"/>
    <mergeCell ref="B52:E52"/>
    <mergeCell ref="B53:E53"/>
    <mergeCell ref="B54:E54"/>
    <mergeCell ref="B55:E55"/>
    <mergeCell ref="B56:E56"/>
    <mergeCell ref="B62:E62"/>
    <mergeCell ref="B63:E63"/>
    <mergeCell ref="B64:E64"/>
    <mergeCell ref="B65:E65"/>
    <mergeCell ref="B58:E58"/>
  </mergeCells>
  <phoneticPr fontId="14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2" fitToHeight="0" orientation="landscape" r:id="rId1"/>
  <headerFooter>
    <oddFooter>Pagina &amp;P di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514BF8-6582-4271-BFA2-36D3394C5964}">
          <x14:formula1>
            <xm:f>Elenchi!$A$1:$A$3</xm:f>
          </x14:formula1>
          <xm:sqref>H5:I5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ED1A-B26F-46EF-B80E-2C6E82669233}">
  <sheetPr>
    <pageSetUpPr fitToPage="1"/>
  </sheetPr>
  <dimension ref="A1:T527"/>
  <sheetViews>
    <sheetView showZeros="0" showWhiteSpace="0" view="pageBreakPreview" zoomScale="70" zoomScaleNormal="40" zoomScaleSheetLayoutView="70" workbookViewId="0">
      <pane ySplit="12" topLeftCell="A59" activePane="bottomLeft" state="frozen"/>
      <selection pane="bottomLeft" activeCell="G67" sqref="G67"/>
    </sheetView>
  </sheetViews>
  <sheetFormatPr defaultColWidth="9.140625" defaultRowHeight="12.75" x14ac:dyDescent="0.2"/>
  <cols>
    <col min="1" max="1" width="8.85546875" style="1" customWidth="1"/>
    <col min="2" max="5" width="11.7109375" style="1" customWidth="1"/>
    <col min="6" max="7" width="24.5703125" style="1" customWidth="1"/>
    <col min="8" max="8" width="8.140625" style="1" customWidth="1"/>
    <col min="9" max="9" width="40.7109375" style="1" customWidth="1"/>
    <col min="10" max="10" width="12.5703125" style="1" customWidth="1"/>
    <col min="11" max="11" width="20" style="1" customWidth="1"/>
    <col min="12" max="12" width="9.140625" style="1" customWidth="1"/>
    <col min="13" max="13" width="9.28515625" style="1" customWidth="1"/>
    <col min="14" max="15" width="15.5703125" style="1" customWidth="1"/>
    <col min="16" max="16" width="20.85546875" style="9" customWidth="1"/>
    <col min="17" max="17" width="24.140625" style="1" bestFit="1" customWidth="1"/>
    <col min="18" max="18" width="29.5703125" style="1" bestFit="1" customWidth="1"/>
    <col min="19" max="19" width="15.28515625" style="1" customWidth="1"/>
    <col min="20" max="20" width="17.85546875" style="1" customWidth="1"/>
    <col min="21" max="16384" width="9.140625" style="1"/>
  </cols>
  <sheetData>
    <row r="1" spans="1:20" ht="24.95" customHeight="1" thickBot="1" x14ac:dyDescent="0.25">
      <c r="A1" s="45"/>
      <c r="B1" s="46"/>
      <c r="C1" s="10"/>
      <c r="D1" s="10"/>
      <c r="E1" s="10"/>
      <c r="F1" s="10"/>
      <c r="G1" s="10"/>
      <c r="H1" s="10"/>
      <c r="I1" s="56" t="s">
        <v>288</v>
      </c>
      <c r="J1" s="57"/>
      <c r="K1" s="57"/>
      <c r="L1" s="57"/>
      <c r="M1" s="57"/>
      <c r="N1" s="57"/>
      <c r="O1" s="57"/>
      <c r="P1" s="57"/>
      <c r="Q1" s="39" t="str">
        <f>I5</f>
        <v>LEED</v>
      </c>
      <c r="R1" s="38"/>
      <c r="S1" s="85" t="s">
        <v>350</v>
      </c>
      <c r="T1" s="86"/>
    </row>
    <row r="2" spans="1:20" ht="21" customHeight="1" x14ac:dyDescent="0.2">
      <c r="A2" s="47"/>
      <c r="B2" s="48"/>
      <c r="C2" s="11"/>
      <c r="D2" s="11"/>
      <c r="E2" s="11"/>
      <c r="F2" s="11"/>
      <c r="G2" s="11"/>
      <c r="H2" s="11"/>
      <c r="I2" s="60" t="s">
        <v>347</v>
      </c>
      <c r="J2" s="61"/>
      <c r="K2" s="58" t="s">
        <v>0</v>
      </c>
      <c r="L2" s="59"/>
      <c r="M2" s="59"/>
      <c r="N2" s="78" t="s">
        <v>300</v>
      </c>
      <c r="O2" s="79"/>
      <c r="P2" s="37" t="s">
        <v>9</v>
      </c>
      <c r="Q2" s="15" t="s">
        <v>10</v>
      </c>
      <c r="R2" s="15" t="s">
        <v>10</v>
      </c>
      <c r="S2" s="87" t="s">
        <v>291</v>
      </c>
      <c r="T2" s="88"/>
    </row>
    <row r="3" spans="1:20" ht="17.45" customHeight="1" x14ac:dyDescent="0.2">
      <c r="A3" s="47"/>
      <c r="B3" s="48"/>
      <c r="C3" s="11"/>
      <c r="D3" s="11"/>
      <c r="E3" s="11"/>
      <c r="F3" s="11"/>
      <c r="G3" s="11"/>
      <c r="H3" s="11"/>
      <c r="I3" s="62"/>
      <c r="J3" s="63"/>
      <c r="K3" s="71" t="s">
        <v>1</v>
      </c>
      <c r="L3" s="72"/>
      <c r="M3" s="72"/>
      <c r="N3" s="80">
        <v>45447</v>
      </c>
      <c r="O3" s="81"/>
      <c r="P3" s="96" t="s">
        <v>344</v>
      </c>
      <c r="Q3" s="99" t="s">
        <v>345</v>
      </c>
      <c r="R3" s="89" t="s">
        <v>287</v>
      </c>
      <c r="S3" s="92" t="s">
        <v>287</v>
      </c>
      <c r="T3" s="93"/>
    </row>
    <row r="4" spans="1:20" ht="17.45" customHeight="1" x14ac:dyDescent="0.2">
      <c r="A4" s="47"/>
      <c r="B4" s="48"/>
      <c r="C4" s="11"/>
      <c r="D4" s="11"/>
      <c r="E4" s="11"/>
      <c r="F4" s="11"/>
      <c r="G4" s="11"/>
      <c r="H4" s="11"/>
      <c r="I4" s="62"/>
      <c r="J4" s="63"/>
      <c r="K4" s="71" t="s">
        <v>23</v>
      </c>
      <c r="L4" s="72"/>
      <c r="M4" s="72"/>
      <c r="N4" s="41" t="s">
        <v>342</v>
      </c>
      <c r="O4" s="42"/>
      <c r="P4" s="97"/>
      <c r="Q4" s="100"/>
      <c r="R4" s="90"/>
      <c r="S4" s="92"/>
      <c r="T4" s="93"/>
    </row>
    <row r="5" spans="1:20" ht="17.45" customHeight="1" thickBot="1" x14ac:dyDescent="0.3">
      <c r="A5" s="49"/>
      <c r="B5" s="50"/>
      <c r="C5" s="12"/>
      <c r="D5" s="12"/>
      <c r="E5" s="12"/>
      <c r="F5" s="12"/>
      <c r="G5" s="12"/>
      <c r="H5" s="12"/>
      <c r="I5" s="64" t="s">
        <v>341</v>
      </c>
      <c r="J5" s="65"/>
      <c r="K5" s="73" t="s">
        <v>2</v>
      </c>
      <c r="L5" s="74"/>
      <c r="M5" s="74"/>
      <c r="N5" s="43" t="s">
        <v>343</v>
      </c>
      <c r="O5" s="44"/>
      <c r="P5" s="98"/>
      <c r="Q5" s="101"/>
      <c r="R5" s="91"/>
      <c r="S5" s="94"/>
      <c r="T5" s="95"/>
    </row>
    <row r="6" spans="1:20" ht="9.9499999999999993" customHeight="1" thickBo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30" customHeight="1" thickBot="1" x14ac:dyDescent="0.25">
      <c r="A7" s="14" t="s">
        <v>27</v>
      </c>
      <c r="B7" s="82" t="str">
        <f ca="1">MID(CELL("FILENAME",B97),FIND("[",CELL("FILENAME",B97))+1,FIND("]",CELL("FILENAME",B97))-FIND("[",CELL("FILENAME",B97))-6)</f>
        <v>M.4.3.C_TMS_RDA_LEED (Richieste D'Acquisto)_02</v>
      </c>
      <c r="C7" s="83"/>
      <c r="D7" s="83"/>
      <c r="E7" s="83"/>
      <c r="F7" s="83"/>
      <c r="G7" s="83"/>
      <c r="H7" s="83"/>
      <c r="I7" s="83"/>
      <c r="J7" s="84"/>
      <c r="K7" s="16" t="s">
        <v>28</v>
      </c>
      <c r="L7" s="51" t="s">
        <v>301</v>
      </c>
      <c r="M7" s="52"/>
      <c r="N7" s="69" t="s">
        <v>289</v>
      </c>
      <c r="O7" s="70"/>
      <c r="P7" s="66" t="s">
        <v>333</v>
      </c>
      <c r="Q7" s="67"/>
      <c r="R7" s="67"/>
      <c r="S7" s="67"/>
      <c r="T7" s="68"/>
    </row>
    <row r="8" spans="1:20" ht="9.9499999999999993" customHeight="1" x14ac:dyDescent="0.2">
      <c r="A8" s="2"/>
      <c r="B8" s="3"/>
      <c r="C8" s="3"/>
      <c r="D8" s="3"/>
      <c r="E8" s="3"/>
      <c r="F8" s="4"/>
      <c r="G8" s="5"/>
      <c r="H8" s="5"/>
      <c r="I8" s="5"/>
      <c r="J8" s="3"/>
      <c r="K8" s="4"/>
      <c r="L8" s="4"/>
      <c r="M8" s="4"/>
      <c r="N8" s="5"/>
      <c r="O8" s="5"/>
      <c r="P8" s="6"/>
      <c r="Q8" s="6"/>
      <c r="R8" s="6"/>
      <c r="S8" s="7"/>
    </row>
    <row r="9" spans="1:20" ht="9.9499999999999993" customHeight="1" x14ac:dyDescent="0.2">
      <c r="A9" s="3"/>
      <c r="B9" s="3"/>
      <c r="C9" s="3"/>
      <c r="D9" s="3"/>
      <c r="E9" s="3"/>
      <c r="F9" s="4"/>
      <c r="G9" s="5"/>
      <c r="H9" s="5"/>
      <c r="I9" s="5"/>
      <c r="J9" s="3"/>
      <c r="K9" s="4"/>
      <c r="L9" s="4"/>
      <c r="M9" s="4"/>
      <c r="N9" s="5"/>
      <c r="O9" s="5"/>
      <c r="P9" s="6"/>
      <c r="Q9" s="6"/>
      <c r="R9" s="6"/>
      <c r="S9" s="7"/>
    </row>
    <row r="10" spans="1:20" ht="13.5" thickBot="1" x14ac:dyDescent="0.25">
      <c r="A10" s="53" t="s">
        <v>24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5"/>
      <c r="S10" s="13" t="s">
        <v>25</v>
      </c>
      <c r="T10" s="13" t="s">
        <v>26</v>
      </c>
    </row>
    <row r="11" spans="1:20" s="8" customFormat="1" ht="26.25" customHeight="1" x14ac:dyDescent="0.25">
      <c r="A11" s="104" t="s">
        <v>8</v>
      </c>
      <c r="B11" s="105" t="s">
        <v>3</v>
      </c>
      <c r="C11" s="106"/>
      <c r="D11" s="106"/>
      <c r="E11" s="107"/>
      <c r="F11" s="108" t="s">
        <v>290</v>
      </c>
      <c r="G11" s="108" t="s">
        <v>352</v>
      </c>
      <c r="H11" s="109" t="s">
        <v>52</v>
      </c>
      <c r="I11" s="110" t="s">
        <v>348</v>
      </c>
      <c r="J11" s="111" t="s">
        <v>46</v>
      </c>
      <c r="K11" s="112" t="s">
        <v>4</v>
      </c>
      <c r="L11" s="113" t="s">
        <v>50</v>
      </c>
      <c r="M11" s="114"/>
      <c r="N11" s="112" t="s">
        <v>45</v>
      </c>
      <c r="O11" s="115" t="s">
        <v>49</v>
      </c>
      <c r="P11" s="116" t="s">
        <v>12</v>
      </c>
      <c r="Q11" s="116" t="s">
        <v>13</v>
      </c>
      <c r="R11" s="117" t="s">
        <v>5</v>
      </c>
      <c r="S11" s="117" t="s">
        <v>6</v>
      </c>
      <c r="T11" s="118"/>
    </row>
    <row r="12" spans="1:20" s="8" customFormat="1" ht="20.100000000000001" customHeight="1" thickBot="1" x14ac:dyDescent="0.25">
      <c r="A12" s="119"/>
      <c r="B12" s="120"/>
      <c r="C12" s="121"/>
      <c r="D12" s="121"/>
      <c r="E12" s="122"/>
      <c r="F12" s="123"/>
      <c r="G12" s="123"/>
      <c r="H12" s="124" t="s">
        <v>51</v>
      </c>
      <c r="I12" s="125" t="s">
        <v>349</v>
      </c>
      <c r="J12" s="126"/>
      <c r="K12" s="127"/>
      <c r="L12" s="128" t="s">
        <v>47</v>
      </c>
      <c r="M12" s="128" t="s">
        <v>48</v>
      </c>
      <c r="N12" s="127"/>
      <c r="O12" s="129"/>
      <c r="P12" s="130"/>
      <c r="Q12" s="130"/>
      <c r="R12" s="131"/>
      <c r="S12" s="132" t="s">
        <v>11</v>
      </c>
      <c r="T12" s="133" t="s">
        <v>7</v>
      </c>
    </row>
    <row r="13" spans="1:20" s="17" customFormat="1" ht="35.450000000000003" customHeight="1" x14ac:dyDescent="0.2">
      <c r="A13" s="134" t="s">
        <v>14</v>
      </c>
      <c r="B13" s="102" t="s">
        <v>334</v>
      </c>
      <c r="C13" s="103"/>
      <c r="D13" s="103"/>
      <c r="E13" s="103"/>
      <c r="F13" s="135" t="s">
        <v>332</v>
      </c>
      <c r="G13" s="136">
        <v>650</v>
      </c>
      <c r="H13" s="137" t="s">
        <v>303</v>
      </c>
      <c r="I13" s="137"/>
      <c r="J13" s="137">
        <v>44</v>
      </c>
      <c r="K13" s="135"/>
      <c r="L13" s="135">
        <v>60</v>
      </c>
      <c r="M13" s="137">
        <v>100</v>
      </c>
      <c r="N13" s="138" t="s">
        <v>302</v>
      </c>
      <c r="O13" s="139">
        <f>L13*M13/1000000</f>
        <v>6.0000000000000001E-3</v>
      </c>
      <c r="P13" s="157" t="str">
        <f>P3</f>
        <v>07/06/2024</v>
      </c>
      <c r="Q13" s="141"/>
      <c r="R13" s="142" t="s">
        <v>330</v>
      </c>
      <c r="S13" s="143"/>
      <c r="T13" s="143"/>
    </row>
    <row r="14" spans="1:20" s="17" customFormat="1" ht="35.450000000000003" customHeight="1" x14ac:dyDescent="0.2">
      <c r="A14" s="134" t="s">
        <v>15</v>
      </c>
      <c r="B14" s="144" t="s">
        <v>335</v>
      </c>
      <c r="C14" s="144"/>
      <c r="D14" s="144"/>
      <c r="E14" s="144"/>
      <c r="F14" s="142" t="s">
        <v>331</v>
      </c>
      <c r="G14" s="145">
        <v>150</v>
      </c>
      <c r="H14" s="146" t="s">
        <v>303</v>
      </c>
      <c r="I14" s="146"/>
      <c r="J14" s="146">
        <v>44</v>
      </c>
      <c r="K14" s="142"/>
      <c r="L14" s="142">
        <v>60</v>
      </c>
      <c r="M14" s="146">
        <v>165</v>
      </c>
      <c r="N14" s="147" t="s">
        <v>302</v>
      </c>
      <c r="O14" s="143">
        <f>L14*M14/1000000</f>
        <v>9.9000000000000008E-3</v>
      </c>
      <c r="P14" s="158" t="str">
        <f>Q3</f>
        <v>20/06/2024</v>
      </c>
      <c r="Q14" s="149"/>
      <c r="R14" s="142" t="s">
        <v>330</v>
      </c>
      <c r="S14" s="143"/>
      <c r="T14" s="143"/>
    </row>
    <row r="15" spans="1:20" s="17" customFormat="1" ht="35.450000000000003" customHeight="1" x14ac:dyDescent="0.2">
      <c r="A15" s="134" t="s">
        <v>16</v>
      </c>
      <c r="B15" s="144"/>
      <c r="C15" s="144"/>
      <c r="D15" s="144"/>
      <c r="E15" s="144"/>
      <c r="F15" s="142"/>
      <c r="G15" s="145"/>
      <c r="H15" s="146"/>
      <c r="I15" s="146"/>
      <c r="J15" s="142"/>
      <c r="K15" s="142"/>
      <c r="L15" s="142"/>
      <c r="M15" s="146"/>
      <c r="N15" s="147"/>
      <c r="O15" s="143"/>
      <c r="P15" s="143"/>
      <c r="Q15" s="149"/>
      <c r="R15" s="142"/>
      <c r="S15" s="143"/>
      <c r="T15" s="143"/>
    </row>
    <row r="16" spans="1:20" s="17" customFormat="1" ht="35.450000000000003" customHeight="1" x14ac:dyDescent="0.2">
      <c r="A16" s="134" t="s">
        <v>17</v>
      </c>
      <c r="B16" s="144"/>
      <c r="C16" s="144"/>
      <c r="D16" s="144"/>
      <c r="E16" s="144"/>
      <c r="F16" s="142"/>
      <c r="G16" s="145"/>
      <c r="H16" s="146"/>
      <c r="I16" s="146"/>
      <c r="J16" s="142"/>
      <c r="K16" s="142"/>
      <c r="L16" s="142"/>
      <c r="M16" s="146"/>
      <c r="N16" s="147"/>
      <c r="O16" s="143"/>
      <c r="P16" s="148"/>
      <c r="Q16" s="150"/>
      <c r="R16" s="142"/>
      <c r="S16" s="143"/>
      <c r="T16" s="143"/>
    </row>
    <row r="17" spans="1:20" s="17" customFormat="1" ht="35.450000000000003" customHeight="1" x14ac:dyDescent="0.2">
      <c r="A17" s="134" t="s">
        <v>18</v>
      </c>
      <c r="B17" s="144"/>
      <c r="C17" s="144"/>
      <c r="D17" s="144"/>
      <c r="E17" s="144"/>
      <c r="F17" s="142"/>
      <c r="G17" s="145"/>
      <c r="H17" s="146"/>
      <c r="I17" s="146"/>
      <c r="J17" s="142"/>
      <c r="K17" s="142"/>
      <c r="L17" s="142"/>
      <c r="M17" s="146"/>
      <c r="N17" s="147"/>
      <c r="O17" s="143"/>
      <c r="P17" s="148"/>
      <c r="Q17" s="150"/>
      <c r="R17" s="142"/>
      <c r="S17" s="143"/>
      <c r="T17" s="143"/>
    </row>
    <row r="18" spans="1:20" s="17" customFormat="1" ht="35.450000000000003" customHeight="1" x14ac:dyDescent="0.2">
      <c r="A18" s="134" t="s">
        <v>29</v>
      </c>
      <c r="B18" s="144"/>
      <c r="C18" s="144"/>
      <c r="D18" s="144"/>
      <c r="E18" s="144"/>
      <c r="F18" s="142"/>
      <c r="G18" s="145"/>
      <c r="H18" s="146"/>
      <c r="I18" s="146"/>
      <c r="J18" s="142"/>
      <c r="K18" s="142"/>
      <c r="L18" s="142"/>
      <c r="M18" s="146"/>
      <c r="N18" s="147"/>
      <c r="O18" s="143"/>
      <c r="P18" s="148"/>
      <c r="Q18" s="150"/>
      <c r="R18" s="142"/>
      <c r="S18" s="143"/>
      <c r="T18" s="143"/>
    </row>
    <row r="19" spans="1:20" s="17" customFormat="1" ht="35.450000000000003" customHeight="1" x14ac:dyDescent="0.2">
      <c r="A19" s="134" t="s">
        <v>30</v>
      </c>
      <c r="B19" s="144"/>
      <c r="C19" s="144"/>
      <c r="D19" s="144"/>
      <c r="E19" s="144"/>
      <c r="F19" s="142"/>
      <c r="G19" s="145"/>
      <c r="H19" s="146"/>
      <c r="I19" s="146"/>
      <c r="J19" s="142"/>
      <c r="K19" s="142"/>
      <c r="L19" s="142"/>
      <c r="M19" s="146"/>
      <c r="N19" s="147"/>
      <c r="O19" s="143"/>
      <c r="P19" s="148"/>
      <c r="Q19" s="150"/>
      <c r="R19" s="142"/>
      <c r="S19" s="143"/>
      <c r="T19" s="143"/>
    </row>
    <row r="20" spans="1:20" s="17" customFormat="1" ht="35.450000000000003" customHeight="1" x14ac:dyDescent="0.2">
      <c r="A20" s="134" t="s">
        <v>31</v>
      </c>
      <c r="B20" s="144"/>
      <c r="C20" s="144"/>
      <c r="D20" s="144"/>
      <c r="E20" s="144"/>
      <c r="F20" s="142"/>
      <c r="G20" s="145"/>
      <c r="H20" s="146"/>
      <c r="I20" s="146"/>
      <c r="J20" s="142"/>
      <c r="K20" s="142"/>
      <c r="L20" s="142"/>
      <c r="M20" s="146"/>
      <c r="N20" s="147"/>
      <c r="O20" s="143"/>
      <c r="P20" s="148"/>
      <c r="Q20" s="150"/>
      <c r="R20" s="142"/>
      <c r="S20" s="143"/>
      <c r="T20" s="143"/>
    </row>
    <row r="21" spans="1:20" ht="35.450000000000003" customHeight="1" x14ac:dyDescent="0.2">
      <c r="A21" s="134" t="s">
        <v>32</v>
      </c>
      <c r="B21" s="144"/>
      <c r="C21" s="144"/>
      <c r="D21" s="144"/>
      <c r="E21" s="144"/>
      <c r="F21" s="142"/>
      <c r="G21" s="146"/>
      <c r="H21" s="146"/>
      <c r="I21" s="146"/>
      <c r="J21" s="142"/>
      <c r="K21" s="142"/>
      <c r="L21" s="142"/>
      <c r="M21" s="146"/>
      <c r="N21" s="147"/>
      <c r="O21" s="143"/>
      <c r="P21" s="148"/>
      <c r="Q21" s="150"/>
      <c r="R21" s="142"/>
      <c r="S21" s="143"/>
      <c r="T21" s="143"/>
    </row>
    <row r="22" spans="1:20" ht="35.450000000000003" customHeight="1" x14ac:dyDescent="0.2">
      <c r="A22" s="134" t="s">
        <v>33</v>
      </c>
      <c r="B22" s="144"/>
      <c r="C22" s="144"/>
      <c r="D22" s="144"/>
      <c r="E22" s="144"/>
      <c r="F22" s="142"/>
      <c r="G22" s="146"/>
      <c r="H22" s="146"/>
      <c r="I22" s="146"/>
      <c r="J22" s="142"/>
      <c r="K22" s="142"/>
      <c r="L22" s="142"/>
      <c r="M22" s="146"/>
      <c r="N22" s="147"/>
      <c r="O22" s="143"/>
      <c r="P22" s="151"/>
      <c r="Q22" s="150"/>
      <c r="R22" s="142"/>
      <c r="S22" s="143"/>
      <c r="T22" s="143"/>
    </row>
    <row r="23" spans="1:20" ht="35.450000000000003" customHeight="1" x14ac:dyDescent="0.2">
      <c r="A23" s="134" t="s">
        <v>34</v>
      </c>
      <c r="B23" s="144"/>
      <c r="C23" s="144"/>
      <c r="D23" s="144"/>
      <c r="E23" s="144"/>
      <c r="F23" s="142"/>
      <c r="G23" s="146"/>
      <c r="H23" s="146"/>
      <c r="I23" s="146"/>
      <c r="J23" s="142"/>
      <c r="K23" s="142"/>
      <c r="L23" s="142"/>
      <c r="M23" s="146"/>
      <c r="N23" s="147"/>
      <c r="O23" s="143"/>
      <c r="P23" s="151"/>
      <c r="Q23" s="150"/>
      <c r="R23" s="142"/>
      <c r="S23" s="143"/>
      <c r="T23" s="143"/>
    </row>
    <row r="24" spans="1:20" ht="35.450000000000003" customHeight="1" x14ac:dyDescent="0.2">
      <c r="A24" s="134" t="s">
        <v>35</v>
      </c>
      <c r="B24" s="144"/>
      <c r="C24" s="144"/>
      <c r="D24" s="144"/>
      <c r="E24" s="144"/>
      <c r="F24" s="142"/>
      <c r="G24" s="146"/>
      <c r="H24" s="146"/>
      <c r="I24" s="146"/>
      <c r="J24" s="142"/>
      <c r="K24" s="142"/>
      <c r="L24" s="142"/>
      <c r="M24" s="146"/>
      <c r="N24" s="147"/>
      <c r="O24" s="143"/>
      <c r="P24" s="151"/>
      <c r="Q24" s="150"/>
      <c r="R24" s="142"/>
      <c r="S24" s="143"/>
      <c r="T24" s="143"/>
    </row>
    <row r="25" spans="1:20" ht="35.450000000000003" customHeight="1" x14ac:dyDescent="0.2">
      <c r="A25" s="134" t="s">
        <v>36</v>
      </c>
      <c r="B25" s="144"/>
      <c r="C25" s="144"/>
      <c r="D25" s="144"/>
      <c r="E25" s="144"/>
      <c r="F25" s="142"/>
      <c r="G25" s="146"/>
      <c r="H25" s="146"/>
      <c r="I25" s="146"/>
      <c r="J25" s="142"/>
      <c r="K25" s="142"/>
      <c r="L25" s="142"/>
      <c r="M25" s="146"/>
      <c r="N25" s="147"/>
      <c r="O25" s="143"/>
      <c r="P25" s="151"/>
      <c r="Q25" s="150"/>
      <c r="R25" s="142"/>
      <c r="S25" s="143"/>
      <c r="T25" s="143"/>
    </row>
    <row r="26" spans="1:20" ht="35.450000000000003" customHeight="1" x14ac:dyDescent="0.2">
      <c r="A26" s="134" t="s">
        <v>37</v>
      </c>
      <c r="B26" s="144"/>
      <c r="C26" s="144"/>
      <c r="D26" s="144"/>
      <c r="E26" s="144"/>
      <c r="F26" s="142"/>
      <c r="G26" s="146"/>
      <c r="H26" s="146"/>
      <c r="I26" s="146"/>
      <c r="J26" s="142"/>
      <c r="K26" s="142"/>
      <c r="L26" s="142"/>
      <c r="M26" s="146"/>
      <c r="N26" s="143"/>
      <c r="O26" s="143"/>
      <c r="P26" s="152"/>
      <c r="Q26" s="149"/>
      <c r="R26" s="142"/>
      <c r="S26" s="143"/>
      <c r="T26" s="143"/>
    </row>
    <row r="27" spans="1:20" ht="35.450000000000003" customHeight="1" x14ac:dyDescent="0.2">
      <c r="A27" s="134" t="s">
        <v>19</v>
      </c>
      <c r="B27" s="144"/>
      <c r="C27" s="144"/>
      <c r="D27" s="144"/>
      <c r="E27" s="144"/>
      <c r="F27" s="142"/>
      <c r="G27" s="146"/>
      <c r="H27" s="146"/>
      <c r="I27" s="146"/>
      <c r="J27" s="142"/>
      <c r="K27" s="142"/>
      <c r="L27" s="142"/>
      <c r="M27" s="146"/>
      <c r="N27" s="143"/>
      <c r="O27" s="143"/>
      <c r="P27" s="152"/>
      <c r="Q27" s="149"/>
      <c r="R27" s="142"/>
      <c r="S27" s="143"/>
      <c r="T27" s="143"/>
    </row>
    <row r="28" spans="1:20" ht="35.450000000000003" customHeight="1" x14ac:dyDescent="0.2">
      <c r="A28" s="134" t="s">
        <v>20</v>
      </c>
      <c r="B28" s="144"/>
      <c r="C28" s="144"/>
      <c r="D28" s="144"/>
      <c r="E28" s="144"/>
      <c r="F28" s="142"/>
      <c r="G28" s="146"/>
      <c r="H28" s="146"/>
      <c r="I28" s="146"/>
      <c r="J28" s="142"/>
      <c r="K28" s="142"/>
      <c r="L28" s="142"/>
      <c r="M28" s="146"/>
      <c r="N28" s="143"/>
      <c r="O28" s="143"/>
      <c r="P28" s="152"/>
      <c r="Q28" s="149"/>
      <c r="R28" s="142"/>
      <c r="S28" s="143"/>
      <c r="T28" s="143"/>
    </row>
    <row r="29" spans="1:20" ht="35.450000000000003" customHeight="1" x14ac:dyDescent="0.2">
      <c r="A29" s="134" t="s">
        <v>21</v>
      </c>
      <c r="B29" s="144"/>
      <c r="C29" s="144"/>
      <c r="D29" s="144"/>
      <c r="E29" s="144"/>
      <c r="F29" s="142"/>
      <c r="G29" s="146"/>
      <c r="H29" s="146"/>
      <c r="I29" s="146"/>
      <c r="J29" s="142"/>
      <c r="K29" s="142"/>
      <c r="L29" s="142"/>
      <c r="M29" s="146"/>
      <c r="N29" s="143"/>
      <c r="O29" s="143"/>
      <c r="P29" s="152"/>
      <c r="Q29" s="149"/>
      <c r="R29" s="142"/>
      <c r="S29" s="143"/>
      <c r="T29" s="143"/>
    </row>
    <row r="30" spans="1:20" ht="35.450000000000003" customHeight="1" x14ac:dyDescent="0.2">
      <c r="A30" s="134" t="s">
        <v>22</v>
      </c>
      <c r="B30" s="144"/>
      <c r="C30" s="144"/>
      <c r="D30" s="144"/>
      <c r="E30" s="144"/>
      <c r="F30" s="142"/>
      <c r="G30" s="146"/>
      <c r="H30" s="146"/>
      <c r="I30" s="146"/>
      <c r="J30" s="146"/>
      <c r="K30" s="153"/>
      <c r="L30" s="154"/>
      <c r="M30" s="146"/>
      <c r="N30" s="143"/>
      <c r="O30" s="143"/>
      <c r="P30" s="152"/>
      <c r="Q30" s="149"/>
      <c r="R30" s="142"/>
      <c r="S30" s="143"/>
      <c r="T30" s="143"/>
    </row>
    <row r="31" spans="1:20" ht="35.450000000000003" customHeight="1" x14ac:dyDescent="0.2">
      <c r="A31" s="134" t="s">
        <v>38</v>
      </c>
      <c r="B31" s="144"/>
      <c r="C31" s="144"/>
      <c r="D31" s="144"/>
      <c r="E31" s="144"/>
      <c r="F31" s="142"/>
      <c r="G31" s="146"/>
      <c r="H31" s="146"/>
      <c r="I31" s="146"/>
      <c r="J31" s="146"/>
      <c r="K31" s="155"/>
      <c r="L31" s="146"/>
      <c r="M31" s="146"/>
      <c r="N31" s="143"/>
      <c r="O31" s="143"/>
      <c r="P31" s="152"/>
      <c r="Q31" s="149"/>
      <c r="R31" s="142"/>
      <c r="S31" s="143"/>
      <c r="T31" s="143"/>
    </row>
    <row r="32" spans="1:20" ht="35.450000000000003" customHeight="1" x14ac:dyDescent="0.2">
      <c r="A32" s="134" t="s">
        <v>39</v>
      </c>
      <c r="B32" s="144"/>
      <c r="C32" s="144"/>
      <c r="D32" s="144"/>
      <c r="E32" s="144"/>
      <c r="F32" s="142"/>
      <c r="G32" s="146"/>
      <c r="H32" s="146"/>
      <c r="I32" s="146"/>
      <c r="J32" s="142"/>
      <c r="K32" s="142"/>
      <c r="L32" s="142"/>
      <c r="M32" s="146"/>
      <c r="N32" s="143"/>
      <c r="O32" s="143"/>
      <c r="P32" s="152"/>
      <c r="Q32" s="149"/>
      <c r="R32" s="142"/>
      <c r="S32" s="143"/>
      <c r="T32" s="143"/>
    </row>
    <row r="33" spans="1:20" ht="35.450000000000003" customHeight="1" x14ac:dyDescent="0.2">
      <c r="A33" s="134" t="s">
        <v>40</v>
      </c>
      <c r="B33" s="144"/>
      <c r="C33" s="144"/>
      <c r="D33" s="144"/>
      <c r="E33" s="144"/>
      <c r="F33" s="142"/>
      <c r="G33" s="146"/>
      <c r="H33" s="146"/>
      <c r="I33" s="146"/>
      <c r="J33" s="142"/>
      <c r="K33" s="142"/>
      <c r="L33" s="142"/>
      <c r="M33" s="146"/>
      <c r="N33" s="143"/>
      <c r="O33" s="143"/>
      <c r="P33" s="152"/>
      <c r="Q33" s="149"/>
      <c r="R33" s="142"/>
      <c r="S33" s="143"/>
      <c r="T33" s="143"/>
    </row>
    <row r="34" spans="1:20" ht="35.450000000000003" customHeight="1" x14ac:dyDescent="0.2">
      <c r="A34" s="134" t="s">
        <v>41</v>
      </c>
      <c r="B34" s="144"/>
      <c r="C34" s="144"/>
      <c r="D34" s="144"/>
      <c r="E34" s="144"/>
      <c r="F34" s="142"/>
      <c r="G34" s="146"/>
      <c r="H34" s="146"/>
      <c r="I34" s="146"/>
      <c r="J34" s="142"/>
      <c r="K34" s="142"/>
      <c r="L34" s="142"/>
      <c r="M34" s="146"/>
      <c r="N34" s="143"/>
      <c r="O34" s="143"/>
      <c r="P34" s="152"/>
      <c r="Q34" s="149"/>
      <c r="R34" s="142"/>
      <c r="S34" s="143"/>
      <c r="T34" s="143"/>
    </row>
    <row r="35" spans="1:20" ht="35.450000000000003" customHeight="1" x14ac:dyDescent="0.2">
      <c r="A35" s="134" t="s">
        <v>42</v>
      </c>
      <c r="B35" s="144"/>
      <c r="C35" s="144"/>
      <c r="D35" s="144"/>
      <c r="E35" s="144"/>
      <c r="F35" s="142"/>
      <c r="G35" s="146"/>
      <c r="H35" s="146"/>
      <c r="I35" s="146"/>
      <c r="J35" s="142"/>
      <c r="K35" s="142"/>
      <c r="L35" s="142"/>
      <c r="M35" s="146"/>
      <c r="N35" s="143"/>
      <c r="O35" s="143"/>
      <c r="P35" s="152"/>
      <c r="Q35" s="149"/>
      <c r="R35" s="142"/>
      <c r="S35" s="143"/>
      <c r="T35" s="143"/>
    </row>
    <row r="36" spans="1:20" ht="35.450000000000003" customHeight="1" x14ac:dyDescent="0.2">
      <c r="A36" s="134" t="s">
        <v>43</v>
      </c>
      <c r="B36" s="144"/>
      <c r="C36" s="144"/>
      <c r="D36" s="144"/>
      <c r="E36" s="144"/>
      <c r="F36" s="142"/>
      <c r="G36" s="146"/>
      <c r="H36" s="146"/>
      <c r="I36" s="146"/>
      <c r="J36" s="142"/>
      <c r="K36" s="142"/>
      <c r="L36" s="142"/>
      <c r="M36" s="146"/>
      <c r="N36" s="143"/>
      <c r="O36" s="143"/>
      <c r="P36" s="152"/>
      <c r="Q36" s="149"/>
      <c r="R36" s="142"/>
      <c r="S36" s="143"/>
      <c r="T36" s="143"/>
    </row>
    <row r="37" spans="1:20" ht="35.450000000000003" customHeight="1" x14ac:dyDescent="0.2">
      <c r="A37" s="134" t="s">
        <v>44</v>
      </c>
      <c r="B37" s="144"/>
      <c r="C37" s="144"/>
      <c r="D37" s="144"/>
      <c r="E37" s="144"/>
      <c r="F37" s="142"/>
      <c r="G37" s="146"/>
      <c r="H37" s="146"/>
      <c r="I37" s="146"/>
      <c r="J37" s="142"/>
      <c r="K37" s="142"/>
      <c r="L37" s="142"/>
      <c r="M37" s="146"/>
      <c r="N37" s="143"/>
      <c r="O37" s="143"/>
      <c r="P37" s="152"/>
      <c r="Q37" s="149"/>
      <c r="R37" s="142"/>
      <c r="S37" s="143"/>
      <c r="T37" s="143"/>
    </row>
    <row r="38" spans="1:20" ht="35.450000000000003" customHeight="1" x14ac:dyDescent="0.2">
      <c r="A38" s="134" t="s">
        <v>53</v>
      </c>
      <c r="B38" s="144"/>
      <c r="C38" s="144"/>
      <c r="D38" s="144"/>
      <c r="E38" s="144"/>
      <c r="F38" s="142"/>
      <c r="G38" s="146"/>
      <c r="H38" s="146"/>
      <c r="I38" s="146"/>
      <c r="J38" s="142"/>
      <c r="K38" s="142"/>
      <c r="L38" s="142"/>
      <c r="M38" s="146"/>
      <c r="N38" s="143"/>
      <c r="O38" s="143"/>
      <c r="P38" s="152"/>
      <c r="Q38" s="149"/>
      <c r="R38" s="142"/>
      <c r="S38" s="143"/>
      <c r="T38" s="143"/>
    </row>
    <row r="39" spans="1:20" ht="35.450000000000003" customHeight="1" x14ac:dyDescent="0.2">
      <c r="A39" s="134" t="s">
        <v>304</v>
      </c>
      <c r="B39" s="144"/>
      <c r="C39" s="144"/>
      <c r="D39" s="144"/>
      <c r="E39" s="144"/>
      <c r="F39" s="142"/>
      <c r="G39" s="146"/>
      <c r="H39" s="146"/>
      <c r="I39" s="146"/>
      <c r="J39" s="142"/>
      <c r="K39" s="142"/>
      <c r="L39" s="142"/>
      <c r="M39" s="146"/>
      <c r="N39" s="143"/>
      <c r="O39" s="143"/>
      <c r="P39" s="152"/>
      <c r="Q39" s="149"/>
      <c r="R39" s="142"/>
      <c r="S39" s="143"/>
      <c r="T39" s="143"/>
    </row>
    <row r="40" spans="1:20" ht="35.450000000000003" customHeight="1" x14ac:dyDescent="0.2">
      <c r="A40" s="134" t="s">
        <v>305</v>
      </c>
      <c r="B40" s="144"/>
      <c r="C40" s="144"/>
      <c r="D40" s="144"/>
      <c r="E40" s="144"/>
      <c r="F40" s="142"/>
      <c r="G40" s="146"/>
      <c r="H40" s="146"/>
      <c r="I40" s="146"/>
      <c r="J40" s="142"/>
      <c r="K40" s="142"/>
      <c r="L40" s="142"/>
      <c r="M40" s="146"/>
      <c r="N40" s="143"/>
      <c r="O40" s="143"/>
      <c r="P40" s="152"/>
      <c r="Q40" s="149"/>
      <c r="R40" s="142"/>
      <c r="S40" s="143"/>
      <c r="T40" s="143"/>
    </row>
    <row r="41" spans="1:20" ht="35.450000000000003" customHeight="1" x14ac:dyDescent="0.2">
      <c r="A41" s="134" t="s">
        <v>306</v>
      </c>
      <c r="B41" s="144"/>
      <c r="C41" s="144"/>
      <c r="D41" s="144"/>
      <c r="E41" s="144"/>
      <c r="F41" s="142"/>
      <c r="G41" s="146"/>
      <c r="H41" s="146"/>
      <c r="I41" s="146"/>
      <c r="J41" s="142"/>
      <c r="K41" s="142"/>
      <c r="L41" s="142"/>
      <c r="M41" s="146"/>
      <c r="N41" s="143"/>
      <c r="O41" s="143"/>
      <c r="P41" s="152"/>
      <c r="Q41" s="149"/>
      <c r="R41" s="142"/>
      <c r="S41" s="143"/>
      <c r="T41" s="143"/>
    </row>
    <row r="42" spans="1:20" ht="35.450000000000003" customHeight="1" x14ac:dyDescent="0.2">
      <c r="A42" s="134" t="s">
        <v>307</v>
      </c>
      <c r="B42" s="144"/>
      <c r="C42" s="144"/>
      <c r="D42" s="144"/>
      <c r="E42" s="144"/>
      <c r="F42" s="142"/>
      <c r="G42" s="146"/>
      <c r="H42" s="146"/>
      <c r="I42" s="146"/>
      <c r="J42" s="142"/>
      <c r="K42" s="142"/>
      <c r="L42" s="142"/>
      <c r="M42" s="146"/>
      <c r="N42" s="143"/>
      <c r="O42" s="143"/>
      <c r="P42" s="152"/>
      <c r="Q42" s="149"/>
      <c r="R42" s="142"/>
      <c r="S42" s="143"/>
      <c r="T42" s="143"/>
    </row>
    <row r="43" spans="1:20" ht="35.450000000000003" customHeight="1" x14ac:dyDescent="0.2">
      <c r="A43" s="134" t="s">
        <v>308</v>
      </c>
      <c r="B43" s="144"/>
      <c r="C43" s="144"/>
      <c r="D43" s="144"/>
      <c r="E43" s="144"/>
      <c r="F43" s="142"/>
      <c r="G43" s="146"/>
      <c r="H43" s="146"/>
      <c r="I43" s="146"/>
      <c r="J43" s="142"/>
      <c r="K43" s="142"/>
      <c r="L43" s="142"/>
      <c r="M43" s="146"/>
      <c r="N43" s="143"/>
      <c r="O43" s="143"/>
      <c r="P43" s="152"/>
      <c r="Q43" s="149"/>
      <c r="R43" s="142"/>
      <c r="S43" s="143"/>
      <c r="T43" s="143"/>
    </row>
    <row r="44" spans="1:20" ht="35.450000000000003" customHeight="1" x14ac:dyDescent="0.2">
      <c r="A44" s="134" t="s">
        <v>309</v>
      </c>
      <c r="B44" s="144"/>
      <c r="C44" s="144"/>
      <c r="D44" s="144"/>
      <c r="E44" s="144"/>
      <c r="F44" s="142"/>
      <c r="G44" s="146"/>
      <c r="H44" s="146"/>
      <c r="I44" s="146"/>
      <c r="J44" s="142"/>
      <c r="K44" s="142"/>
      <c r="L44" s="142"/>
      <c r="M44" s="146"/>
      <c r="N44" s="143"/>
      <c r="O44" s="143"/>
      <c r="P44" s="152"/>
      <c r="Q44" s="149"/>
      <c r="R44" s="142"/>
      <c r="S44" s="143"/>
      <c r="T44" s="143"/>
    </row>
    <row r="45" spans="1:20" ht="35.450000000000003" customHeight="1" x14ac:dyDescent="0.2">
      <c r="A45" s="134" t="s">
        <v>310</v>
      </c>
      <c r="B45" s="144"/>
      <c r="C45" s="144"/>
      <c r="D45" s="144"/>
      <c r="E45" s="144"/>
      <c r="F45" s="142"/>
      <c r="G45" s="146"/>
      <c r="H45" s="146"/>
      <c r="I45" s="146"/>
      <c r="J45" s="142"/>
      <c r="K45" s="142"/>
      <c r="L45" s="142"/>
      <c r="M45" s="146"/>
      <c r="N45" s="143"/>
      <c r="O45" s="143"/>
      <c r="P45" s="152"/>
      <c r="Q45" s="149"/>
      <c r="R45" s="142"/>
      <c r="S45" s="143"/>
      <c r="T45" s="143"/>
    </row>
    <row r="46" spans="1:20" ht="35.450000000000003" customHeight="1" x14ac:dyDescent="0.2">
      <c r="A46" s="134" t="s">
        <v>54</v>
      </c>
      <c r="B46" s="144"/>
      <c r="C46" s="144"/>
      <c r="D46" s="144"/>
      <c r="E46" s="144"/>
      <c r="F46" s="142"/>
      <c r="G46" s="146"/>
      <c r="H46" s="146"/>
      <c r="I46" s="146"/>
      <c r="J46" s="142"/>
      <c r="K46" s="142"/>
      <c r="L46" s="142"/>
      <c r="M46" s="146"/>
      <c r="N46" s="143"/>
      <c r="O46" s="143"/>
      <c r="P46" s="152"/>
      <c r="Q46" s="149"/>
      <c r="R46" s="142"/>
      <c r="S46" s="143"/>
      <c r="T46" s="143"/>
    </row>
    <row r="47" spans="1:20" ht="35.450000000000003" customHeight="1" x14ac:dyDescent="0.2">
      <c r="A47" s="134" t="s">
        <v>311</v>
      </c>
      <c r="B47" s="144"/>
      <c r="C47" s="144"/>
      <c r="D47" s="144"/>
      <c r="E47" s="144"/>
      <c r="F47" s="156"/>
      <c r="G47" s="146"/>
      <c r="H47" s="146"/>
      <c r="I47" s="146"/>
      <c r="J47" s="142"/>
      <c r="K47" s="142"/>
      <c r="L47" s="142"/>
      <c r="M47" s="146"/>
      <c r="N47" s="147"/>
      <c r="O47" s="147"/>
      <c r="P47" s="152"/>
      <c r="Q47" s="149"/>
      <c r="R47" s="142"/>
      <c r="S47" s="143"/>
      <c r="T47" s="143"/>
    </row>
    <row r="48" spans="1:20" ht="35.450000000000003" customHeight="1" x14ac:dyDescent="0.2">
      <c r="A48" s="134" t="s">
        <v>312</v>
      </c>
      <c r="B48" s="144"/>
      <c r="C48" s="144"/>
      <c r="D48" s="144"/>
      <c r="E48" s="144"/>
      <c r="F48" s="156"/>
      <c r="G48" s="146"/>
      <c r="H48" s="146"/>
      <c r="I48" s="146"/>
      <c r="J48" s="142"/>
      <c r="K48" s="142"/>
      <c r="L48" s="142"/>
      <c r="M48" s="146"/>
      <c r="N48" s="147"/>
      <c r="O48" s="147"/>
      <c r="P48" s="151"/>
      <c r="Q48" s="149"/>
      <c r="R48" s="142"/>
      <c r="S48" s="143"/>
      <c r="T48" s="143"/>
    </row>
    <row r="49" spans="1:20" ht="35.450000000000003" customHeight="1" x14ac:dyDescent="0.2">
      <c r="A49" s="134" t="s">
        <v>313</v>
      </c>
      <c r="B49" s="144"/>
      <c r="C49" s="144"/>
      <c r="D49" s="144"/>
      <c r="E49" s="144"/>
      <c r="F49" s="156"/>
      <c r="G49" s="146"/>
      <c r="H49" s="146"/>
      <c r="I49" s="146"/>
      <c r="J49" s="142"/>
      <c r="K49" s="142"/>
      <c r="L49" s="142"/>
      <c r="M49" s="146"/>
      <c r="N49" s="147"/>
      <c r="O49" s="147"/>
      <c r="P49" s="151"/>
      <c r="Q49" s="149"/>
      <c r="R49" s="142"/>
      <c r="S49" s="143"/>
      <c r="T49" s="143"/>
    </row>
    <row r="50" spans="1:20" ht="35.450000000000003" customHeight="1" x14ac:dyDescent="0.2">
      <c r="A50" s="134" t="s">
        <v>314</v>
      </c>
      <c r="B50" s="144"/>
      <c r="C50" s="144"/>
      <c r="D50" s="144"/>
      <c r="E50" s="144"/>
      <c r="F50" s="156"/>
      <c r="G50" s="146"/>
      <c r="H50" s="146"/>
      <c r="I50" s="146"/>
      <c r="J50" s="142"/>
      <c r="K50" s="142"/>
      <c r="L50" s="142"/>
      <c r="M50" s="146"/>
      <c r="N50" s="147"/>
      <c r="O50" s="147"/>
      <c r="P50" s="151"/>
      <c r="Q50" s="149"/>
      <c r="R50" s="142"/>
      <c r="S50" s="143"/>
      <c r="T50" s="143"/>
    </row>
    <row r="51" spans="1:20" ht="35.450000000000003" customHeight="1" x14ac:dyDescent="0.2">
      <c r="A51" s="134" t="s">
        <v>315</v>
      </c>
      <c r="B51" s="144"/>
      <c r="C51" s="144"/>
      <c r="D51" s="144"/>
      <c r="E51" s="144"/>
      <c r="F51" s="142"/>
      <c r="G51" s="146"/>
      <c r="H51" s="146"/>
      <c r="I51" s="146"/>
      <c r="J51" s="142"/>
      <c r="K51" s="142"/>
      <c r="L51" s="142"/>
      <c r="M51" s="146"/>
      <c r="N51" s="147"/>
      <c r="O51" s="147"/>
      <c r="P51" s="151"/>
      <c r="Q51" s="149"/>
      <c r="R51" s="142"/>
      <c r="S51" s="143"/>
      <c r="T51" s="143"/>
    </row>
    <row r="52" spans="1:20" ht="35.450000000000003" customHeight="1" x14ac:dyDescent="0.2">
      <c r="A52" s="134" t="s">
        <v>316</v>
      </c>
      <c r="B52" s="144"/>
      <c r="C52" s="144"/>
      <c r="D52" s="144"/>
      <c r="E52" s="144"/>
      <c r="F52" s="142"/>
      <c r="G52" s="146"/>
      <c r="H52" s="146"/>
      <c r="I52" s="146"/>
      <c r="J52" s="142"/>
      <c r="K52" s="142"/>
      <c r="L52" s="142"/>
      <c r="M52" s="146"/>
      <c r="N52" s="147"/>
      <c r="O52" s="147"/>
      <c r="P52" s="151"/>
      <c r="Q52" s="149"/>
      <c r="R52" s="142"/>
      <c r="S52" s="143"/>
      <c r="T52" s="143"/>
    </row>
    <row r="53" spans="1:20" ht="35.450000000000003" customHeight="1" x14ac:dyDescent="0.2">
      <c r="A53" s="134" t="s">
        <v>317</v>
      </c>
      <c r="B53" s="144"/>
      <c r="C53" s="144"/>
      <c r="D53" s="144"/>
      <c r="E53" s="144"/>
      <c r="F53" s="142"/>
      <c r="G53" s="146"/>
      <c r="H53" s="146"/>
      <c r="I53" s="146"/>
      <c r="J53" s="142"/>
      <c r="K53" s="142"/>
      <c r="L53" s="142"/>
      <c r="M53" s="146"/>
      <c r="N53" s="147"/>
      <c r="O53" s="147"/>
      <c r="P53" s="151"/>
      <c r="Q53" s="149"/>
      <c r="R53" s="142"/>
      <c r="S53" s="143"/>
      <c r="T53" s="143"/>
    </row>
    <row r="54" spans="1:20" ht="35.450000000000003" customHeight="1" x14ac:dyDescent="0.2">
      <c r="A54" s="134" t="s">
        <v>318</v>
      </c>
      <c r="B54" s="144"/>
      <c r="C54" s="144"/>
      <c r="D54" s="144"/>
      <c r="E54" s="144"/>
      <c r="F54" s="156"/>
      <c r="G54" s="146"/>
      <c r="H54" s="146"/>
      <c r="I54" s="146"/>
      <c r="J54" s="142"/>
      <c r="K54" s="142"/>
      <c r="L54" s="142"/>
      <c r="M54" s="146"/>
      <c r="N54" s="147"/>
      <c r="O54" s="147"/>
      <c r="P54" s="151"/>
      <c r="Q54" s="149"/>
      <c r="R54" s="142"/>
      <c r="S54" s="143"/>
      <c r="T54" s="143"/>
    </row>
    <row r="55" spans="1:20" ht="35.450000000000003" customHeight="1" x14ac:dyDescent="0.2">
      <c r="A55" s="134" t="s">
        <v>319</v>
      </c>
      <c r="B55" s="144"/>
      <c r="C55" s="144"/>
      <c r="D55" s="144"/>
      <c r="E55" s="144"/>
      <c r="F55" s="142"/>
      <c r="G55" s="146"/>
      <c r="H55" s="146"/>
      <c r="I55" s="146"/>
      <c r="J55" s="142"/>
      <c r="K55" s="142"/>
      <c r="L55" s="142"/>
      <c r="M55" s="146"/>
      <c r="N55" s="143"/>
      <c r="O55" s="143"/>
      <c r="P55" s="151"/>
      <c r="Q55" s="149"/>
      <c r="R55" s="142"/>
      <c r="S55" s="143"/>
      <c r="T55" s="143"/>
    </row>
    <row r="56" spans="1:20" ht="35.450000000000003" customHeight="1" x14ac:dyDescent="0.2">
      <c r="A56" s="134" t="s">
        <v>320</v>
      </c>
      <c r="B56" s="144"/>
      <c r="C56" s="144"/>
      <c r="D56" s="144"/>
      <c r="E56" s="144"/>
      <c r="F56" s="142"/>
      <c r="G56" s="146"/>
      <c r="H56" s="146"/>
      <c r="I56" s="146"/>
      <c r="J56" s="142"/>
      <c r="K56" s="142"/>
      <c r="L56" s="142"/>
      <c r="M56" s="146"/>
      <c r="N56" s="147"/>
      <c r="O56" s="147"/>
      <c r="P56" s="148"/>
      <c r="Q56" s="149"/>
      <c r="R56" s="142"/>
      <c r="S56" s="143"/>
      <c r="T56" s="143"/>
    </row>
    <row r="57" spans="1:20" ht="35.450000000000003" customHeight="1" x14ac:dyDescent="0.2">
      <c r="A57" s="134" t="s">
        <v>321</v>
      </c>
      <c r="B57" s="144"/>
      <c r="C57" s="144"/>
      <c r="D57" s="144"/>
      <c r="E57" s="144"/>
      <c r="F57" s="142"/>
      <c r="G57" s="146"/>
      <c r="H57" s="146"/>
      <c r="I57" s="146"/>
      <c r="J57" s="142"/>
      <c r="K57" s="142"/>
      <c r="L57" s="142"/>
      <c r="M57" s="146"/>
      <c r="N57" s="147"/>
      <c r="O57" s="147"/>
      <c r="P57" s="148"/>
      <c r="Q57" s="149"/>
      <c r="R57" s="142"/>
      <c r="S57" s="143"/>
      <c r="T57" s="143"/>
    </row>
    <row r="58" spans="1:20" ht="35.450000000000003" customHeight="1" x14ac:dyDescent="0.2">
      <c r="A58" s="134" t="s">
        <v>322</v>
      </c>
      <c r="B58" s="144"/>
      <c r="C58" s="144"/>
      <c r="D58" s="144"/>
      <c r="E58" s="144"/>
      <c r="F58" s="142"/>
      <c r="G58" s="146"/>
      <c r="H58" s="146"/>
      <c r="I58" s="146"/>
      <c r="J58" s="142"/>
      <c r="K58" s="142"/>
      <c r="L58" s="142"/>
      <c r="M58" s="146"/>
      <c r="N58" s="147"/>
      <c r="O58" s="147"/>
      <c r="P58" s="148"/>
      <c r="Q58" s="149"/>
      <c r="R58" s="142"/>
      <c r="S58" s="143"/>
      <c r="T58" s="143"/>
    </row>
    <row r="59" spans="1:20" ht="35.450000000000003" customHeight="1" x14ac:dyDescent="0.2">
      <c r="A59" s="134" t="s">
        <v>323</v>
      </c>
      <c r="B59" s="144"/>
      <c r="C59" s="144"/>
      <c r="D59" s="144"/>
      <c r="E59" s="144"/>
      <c r="F59" s="142"/>
      <c r="G59" s="146"/>
      <c r="H59" s="146"/>
      <c r="I59" s="146"/>
      <c r="J59" s="142"/>
      <c r="K59" s="142"/>
      <c r="L59" s="142"/>
      <c r="M59" s="146"/>
      <c r="N59" s="147"/>
      <c r="O59" s="147"/>
      <c r="P59" s="148"/>
      <c r="Q59" s="149"/>
      <c r="R59" s="142"/>
      <c r="S59" s="143"/>
      <c r="T59" s="143"/>
    </row>
    <row r="60" spans="1:20" ht="35.450000000000003" customHeight="1" x14ac:dyDescent="0.2">
      <c r="A60" s="134" t="s">
        <v>324</v>
      </c>
      <c r="B60" s="144"/>
      <c r="C60" s="144"/>
      <c r="D60" s="144"/>
      <c r="E60" s="144"/>
      <c r="F60" s="142"/>
      <c r="G60" s="146"/>
      <c r="H60" s="146"/>
      <c r="I60" s="146"/>
      <c r="J60" s="142"/>
      <c r="K60" s="142"/>
      <c r="L60" s="142"/>
      <c r="M60" s="146"/>
      <c r="N60" s="147"/>
      <c r="O60" s="147"/>
      <c r="P60" s="148"/>
      <c r="Q60" s="149"/>
      <c r="R60" s="142"/>
      <c r="S60" s="143"/>
      <c r="T60" s="143"/>
    </row>
    <row r="61" spans="1:20" ht="35.450000000000003" customHeight="1" x14ac:dyDescent="0.2">
      <c r="A61" s="134" t="s">
        <v>325</v>
      </c>
      <c r="B61" s="144"/>
      <c r="C61" s="144"/>
      <c r="D61" s="144"/>
      <c r="E61" s="144"/>
      <c r="F61" s="142"/>
      <c r="G61" s="146"/>
      <c r="H61" s="146"/>
      <c r="I61" s="146"/>
      <c r="J61" s="142"/>
      <c r="K61" s="142"/>
      <c r="L61" s="142"/>
      <c r="M61" s="146"/>
      <c r="N61" s="147"/>
      <c r="O61" s="147"/>
      <c r="P61" s="148"/>
      <c r="Q61" s="149"/>
      <c r="R61" s="142"/>
      <c r="S61" s="143"/>
      <c r="T61" s="143"/>
    </row>
    <row r="62" spans="1:20" ht="35.450000000000003" customHeight="1" x14ac:dyDescent="0.2">
      <c r="A62" s="134" t="s">
        <v>326</v>
      </c>
      <c r="B62" s="144"/>
      <c r="C62" s="144"/>
      <c r="D62" s="144"/>
      <c r="E62" s="144"/>
      <c r="F62" s="142"/>
      <c r="G62" s="146"/>
      <c r="H62" s="146"/>
      <c r="I62" s="146"/>
      <c r="J62" s="142"/>
      <c r="K62" s="142"/>
      <c r="L62" s="142"/>
      <c r="M62" s="146"/>
      <c r="N62" s="147"/>
      <c r="O62" s="147"/>
      <c r="P62" s="148"/>
      <c r="Q62" s="149"/>
      <c r="R62" s="142"/>
      <c r="S62" s="143"/>
      <c r="T62" s="143"/>
    </row>
    <row r="63" spans="1:20" ht="35.450000000000003" customHeight="1" x14ac:dyDescent="0.2">
      <c r="A63" s="134" t="s">
        <v>327</v>
      </c>
      <c r="B63" s="144"/>
      <c r="C63" s="144"/>
      <c r="D63" s="144"/>
      <c r="E63" s="144"/>
      <c r="F63" s="142"/>
      <c r="G63" s="146"/>
      <c r="H63" s="146"/>
      <c r="I63" s="146"/>
      <c r="J63" s="142"/>
      <c r="K63" s="142"/>
      <c r="L63" s="142"/>
      <c r="M63" s="146"/>
      <c r="N63" s="147"/>
      <c r="O63" s="147"/>
      <c r="P63" s="148"/>
      <c r="Q63" s="149"/>
      <c r="R63" s="142"/>
      <c r="S63" s="143"/>
      <c r="T63" s="143"/>
    </row>
    <row r="64" spans="1:20" ht="35.450000000000003" customHeight="1" x14ac:dyDescent="0.2">
      <c r="A64" s="134" t="s">
        <v>328</v>
      </c>
      <c r="B64" s="144"/>
      <c r="C64" s="144"/>
      <c r="D64" s="144"/>
      <c r="E64" s="144"/>
      <c r="F64" s="142"/>
      <c r="G64" s="146"/>
      <c r="H64" s="146"/>
      <c r="I64" s="146"/>
      <c r="J64" s="142"/>
      <c r="K64" s="142"/>
      <c r="L64" s="142"/>
      <c r="M64" s="146"/>
      <c r="N64" s="147"/>
      <c r="O64" s="147"/>
      <c r="P64" s="148"/>
      <c r="Q64" s="149"/>
      <c r="R64" s="142"/>
      <c r="S64" s="143"/>
      <c r="T64" s="143"/>
    </row>
    <row r="65" spans="1:20" ht="35.450000000000003" customHeight="1" x14ac:dyDescent="0.2">
      <c r="A65" s="134" t="s">
        <v>329</v>
      </c>
      <c r="B65" s="144"/>
      <c r="C65" s="144"/>
      <c r="D65" s="144"/>
      <c r="E65" s="144"/>
      <c r="F65" s="142"/>
      <c r="G65" s="146"/>
      <c r="H65" s="146"/>
      <c r="I65" s="146"/>
      <c r="J65" s="142"/>
      <c r="K65" s="142"/>
      <c r="L65" s="142"/>
      <c r="M65" s="146"/>
      <c r="N65" s="147"/>
      <c r="O65" s="147"/>
      <c r="P65" s="148"/>
      <c r="Q65" s="149"/>
      <c r="R65" s="142"/>
      <c r="S65" s="143"/>
      <c r="T65" s="143"/>
    </row>
    <row r="66" spans="1:20" ht="35.450000000000003" customHeight="1" x14ac:dyDescent="0.2"/>
    <row r="67" spans="1:20" ht="35.450000000000003" customHeight="1" x14ac:dyDescent="0.2"/>
    <row r="68" spans="1:20" ht="35.450000000000003" customHeight="1" x14ac:dyDescent="0.2"/>
    <row r="69" spans="1:20" ht="35.450000000000003" customHeight="1" x14ac:dyDescent="0.2"/>
    <row r="70" spans="1:20" ht="35.450000000000003" customHeight="1" x14ac:dyDescent="0.2"/>
    <row r="71" spans="1:20" ht="35.450000000000003" customHeight="1" x14ac:dyDescent="0.2"/>
    <row r="72" spans="1:20" ht="35.450000000000003" customHeight="1" x14ac:dyDescent="0.2"/>
    <row r="73" spans="1:20" ht="35.450000000000003" customHeight="1" x14ac:dyDescent="0.2"/>
    <row r="74" spans="1:20" ht="35.450000000000003" customHeight="1" x14ac:dyDescent="0.2"/>
    <row r="75" spans="1:20" ht="35.450000000000003" customHeight="1" x14ac:dyDescent="0.2"/>
    <row r="76" spans="1:20" ht="35.450000000000003" customHeight="1" x14ac:dyDescent="0.2"/>
    <row r="77" spans="1:20" ht="35.450000000000003" customHeight="1" x14ac:dyDescent="0.2"/>
    <row r="78" spans="1:20" ht="35.450000000000003" customHeight="1" x14ac:dyDescent="0.2"/>
    <row r="79" spans="1:20" ht="35.450000000000003" customHeight="1" x14ac:dyDescent="0.2"/>
    <row r="80" spans="1:20" ht="35.450000000000003" customHeight="1" x14ac:dyDescent="0.2"/>
    <row r="81" ht="35.450000000000003" customHeight="1" x14ac:dyDescent="0.2"/>
    <row r="82" ht="35.450000000000003" customHeight="1" x14ac:dyDescent="0.2"/>
    <row r="83" ht="35.450000000000003" customHeight="1" x14ac:dyDescent="0.2"/>
    <row r="84" ht="35.450000000000003" customHeight="1" x14ac:dyDescent="0.2"/>
    <row r="85" ht="35.450000000000003" customHeight="1" x14ac:dyDescent="0.2"/>
    <row r="86" ht="35.450000000000003" customHeight="1" x14ac:dyDescent="0.2"/>
    <row r="87" ht="35.450000000000003" customHeight="1" x14ac:dyDescent="0.2"/>
    <row r="88" ht="35.450000000000003" customHeight="1" x14ac:dyDescent="0.2"/>
    <row r="89" ht="35.450000000000003" customHeight="1" x14ac:dyDescent="0.2"/>
    <row r="90" ht="35.450000000000003" customHeight="1" x14ac:dyDescent="0.2"/>
    <row r="91" ht="35.450000000000003" customHeight="1" x14ac:dyDescent="0.2"/>
    <row r="92" ht="35.450000000000003" customHeight="1" x14ac:dyDescent="0.2"/>
    <row r="93" ht="35.450000000000003" customHeight="1" x14ac:dyDescent="0.2"/>
    <row r="94" ht="35.450000000000003" customHeight="1" x14ac:dyDescent="0.2"/>
    <row r="95" ht="35.450000000000003" customHeight="1" x14ac:dyDescent="0.2"/>
    <row r="96" ht="35.450000000000003" customHeight="1" x14ac:dyDescent="0.2"/>
    <row r="97" ht="35.450000000000003" customHeight="1" x14ac:dyDescent="0.2"/>
    <row r="98" ht="35.450000000000003" customHeight="1" x14ac:dyDescent="0.2"/>
    <row r="99" ht="35.450000000000003" customHeight="1" x14ac:dyDescent="0.2"/>
    <row r="100" ht="35.450000000000003" customHeight="1" x14ac:dyDescent="0.2"/>
    <row r="101" ht="35.450000000000003" customHeight="1" x14ac:dyDescent="0.2"/>
    <row r="102" ht="35.450000000000003" customHeight="1" x14ac:dyDescent="0.2"/>
    <row r="103" ht="35.450000000000003" customHeight="1" x14ac:dyDescent="0.2"/>
    <row r="104" ht="35.450000000000003" customHeight="1" x14ac:dyDescent="0.2"/>
    <row r="105" ht="35.450000000000003" customHeight="1" x14ac:dyDescent="0.2"/>
    <row r="106" ht="35.450000000000003" customHeight="1" x14ac:dyDescent="0.2"/>
    <row r="107" ht="35.450000000000003" customHeight="1" x14ac:dyDescent="0.2"/>
    <row r="108" ht="35.450000000000003" customHeight="1" x14ac:dyDescent="0.2"/>
    <row r="109" ht="35.450000000000003" customHeight="1" x14ac:dyDescent="0.2"/>
    <row r="110" ht="35.450000000000003" customHeight="1" x14ac:dyDescent="0.2"/>
    <row r="111" ht="35.450000000000003" customHeight="1" x14ac:dyDescent="0.2"/>
    <row r="112" ht="35.450000000000003" customHeight="1" x14ac:dyDescent="0.2"/>
    <row r="113" ht="35.450000000000003" customHeight="1" x14ac:dyDescent="0.2"/>
    <row r="114" ht="35.450000000000003" customHeight="1" x14ac:dyDescent="0.2"/>
    <row r="115" ht="35.450000000000003" customHeight="1" x14ac:dyDescent="0.2"/>
    <row r="116" ht="35.450000000000003" customHeight="1" x14ac:dyDescent="0.2"/>
    <row r="117" ht="35.450000000000003" customHeight="1" x14ac:dyDescent="0.2"/>
    <row r="118" ht="35.450000000000003" customHeight="1" x14ac:dyDescent="0.2"/>
    <row r="119" ht="35.450000000000003" customHeight="1" x14ac:dyDescent="0.2"/>
    <row r="120" ht="35.450000000000003" customHeight="1" x14ac:dyDescent="0.2"/>
    <row r="121" ht="35.450000000000003" customHeight="1" x14ac:dyDescent="0.2"/>
    <row r="122" ht="35.450000000000003" customHeight="1" x14ac:dyDescent="0.2"/>
    <row r="123" ht="35.450000000000003" customHeight="1" x14ac:dyDescent="0.2"/>
    <row r="124" ht="35.450000000000003" customHeight="1" x14ac:dyDescent="0.2"/>
    <row r="125" ht="35.450000000000003" customHeight="1" x14ac:dyDescent="0.2"/>
    <row r="126" ht="35.450000000000003" customHeight="1" x14ac:dyDescent="0.2"/>
    <row r="127" ht="35.450000000000003" customHeight="1" x14ac:dyDescent="0.2"/>
    <row r="128" ht="35.450000000000003" customHeight="1" x14ac:dyDescent="0.2"/>
    <row r="129" ht="35.450000000000003" customHeight="1" x14ac:dyDescent="0.2"/>
    <row r="130" ht="35.450000000000003" customHeight="1" x14ac:dyDescent="0.2"/>
    <row r="131" ht="35.450000000000003" customHeight="1" x14ac:dyDescent="0.2"/>
    <row r="132" ht="35.450000000000003" customHeight="1" x14ac:dyDescent="0.2"/>
    <row r="133" ht="35.450000000000003" customHeight="1" x14ac:dyDescent="0.2"/>
    <row r="134" ht="35.450000000000003" customHeight="1" x14ac:dyDescent="0.2"/>
    <row r="135" ht="35.450000000000003" customHeight="1" x14ac:dyDescent="0.2"/>
    <row r="136" ht="35.450000000000003" customHeight="1" x14ac:dyDescent="0.2"/>
    <row r="137" ht="35.450000000000003" customHeight="1" x14ac:dyDescent="0.2"/>
    <row r="138" ht="35.450000000000003" customHeight="1" x14ac:dyDescent="0.2"/>
    <row r="139" ht="35.450000000000003" customHeight="1" x14ac:dyDescent="0.2"/>
    <row r="140" ht="35.450000000000003" customHeight="1" x14ac:dyDescent="0.2"/>
    <row r="141" ht="35.450000000000003" customHeight="1" x14ac:dyDescent="0.2"/>
    <row r="142" ht="35.450000000000003" customHeight="1" x14ac:dyDescent="0.2"/>
    <row r="143" ht="35.450000000000003" customHeight="1" x14ac:dyDescent="0.2"/>
    <row r="144" ht="35.450000000000003" customHeight="1" x14ac:dyDescent="0.2"/>
    <row r="145" ht="35.450000000000003" customHeight="1" x14ac:dyDescent="0.2"/>
    <row r="146" ht="35.450000000000003" customHeight="1" x14ac:dyDescent="0.2"/>
    <row r="147" ht="35.450000000000003" customHeight="1" x14ac:dyDescent="0.2"/>
    <row r="148" ht="35.450000000000003" customHeight="1" x14ac:dyDescent="0.2"/>
    <row r="149" ht="35.450000000000003" customHeight="1" x14ac:dyDescent="0.2"/>
    <row r="150" ht="35.450000000000003" customHeight="1" x14ac:dyDescent="0.2"/>
    <row r="151" ht="35.450000000000003" customHeight="1" x14ac:dyDescent="0.2"/>
    <row r="152" ht="35.450000000000003" customHeight="1" x14ac:dyDescent="0.2"/>
    <row r="153" ht="35.450000000000003" customHeight="1" x14ac:dyDescent="0.2"/>
    <row r="154" ht="35.450000000000003" customHeight="1" x14ac:dyDescent="0.2"/>
    <row r="155" ht="35.450000000000003" customHeight="1" x14ac:dyDescent="0.2"/>
    <row r="156" ht="35.450000000000003" customHeight="1" x14ac:dyDescent="0.2"/>
    <row r="157" ht="35.450000000000003" customHeight="1" x14ac:dyDescent="0.2"/>
    <row r="158" ht="35.450000000000003" customHeight="1" x14ac:dyDescent="0.2"/>
    <row r="159" ht="35.450000000000003" customHeight="1" x14ac:dyDescent="0.2"/>
    <row r="160" ht="35.450000000000003" customHeight="1" x14ac:dyDescent="0.2"/>
    <row r="161" ht="35.450000000000003" customHeight="1" x14ac:dyDescent="0.2"/>
    <row r="162" ht="35.450000000000003" customHeight="1" x14ac:dyDescent="0.2"/>
    <row r="163" ht="35.450000000000003" customHeight="1" x14ac:dyDescent="0.2"/>
    <row r="164" ht="35.450000000000003" customHeight="1" x14ac:dyDescent="0.2"/>
    <row r="165" ht="35.450000000000003" customHeight="1" x14ac:dyDescent="0.2"/>
    <row r="166" ht="35.450000000000003" customHeight="1" x14ac:dyDescent="0.2"/>
    <row r="167" ht="35.450000000000003" customHeight="1" x14ac:dyDescent="0.2"/>
    <row r="168" ht="35.450000000000003" customHeight="1" x14ac:dyDescent="0.2"/>
    <row r="169" ht="35.450000000000003" customHeight="1" x14ac:dyDescent="0.2"/>
    <row r="170" ht="35.450000000000003" customHeight="1" x14ac:dyDescent="0.2"/>
    <row r="171" ht="35.450000000000003" customHeight="1" x14ac:dyDescent="0.2"/>
    <row r="172" ht="35.450000000000003" customHeight="1" x14ac:dyDescent="0.2"/>
    <row r="173" ht="35.450000000000003" customHeight="1" x14ac:dyDescent="0.2"/>
    <row r="174" ht="35.450000000000003" customHeight="1" x14ac:dyDescent="0.2"/>
    <row r="175" ht="35.450000000000003" customHeight="1" x14ac:dyDescent="0.2"/>
    <row r="176" ht="35.450000000000003" customHeight="1" x14ac:dyDescent="0.2"/>
    <row r="177" ht="35.450000000000003" customHeight="1" x14ac:dyDescent="0.2"/>
    <row r="178" ht="35.450000000000003" customHeight="1" x14ac:dyDescent="0.2"/>
    <row r="179" ht="35.450000000000003" customHeight="1" x14ac:dyDescent="0.2"/>
    <row r="180" ht="35.450000000000003" customHeight="1" x14ac:dyDescent="0.2"/>
    <row r="181" ht="35.450000000000003" customHeight="1" x14ac:dyDescent="0.2"/>
    <row r="182" ht="35.450000000000003" customHeight="1" x14ac:dyDescent="0.2"/>
    <row r="183" ht="35.450000000000003" customHeight="1" x14ac:dyDescent="0.2"/>
    <row r="184" ht="35.450000000000003" customHeight="1" x14ac:dyDescent="0.2"/>
    <row r="185" ht="35.450000000000003" customHeight="1" x14ac:dyDescent="0.2"/>
    <row r="186" ht="35.450000000000003" customHeight="1" x14ac:dyDescent="0.2"/>
    <row r="187" ht="35.450000000000003" customHeight="1" x14ac:dyDescent="0.2"/>
    <row r="188" ht="35.450000000000003" customHeight="1" x14ac:dyDescent="0.2"/>
    <row r="189" ht="35.450000000000003" customHeight="1" x14ac:dyDescent="0.2"/>
    <row r="190" ht="35.450000000000003" customHeight="1" x14ac:dyDescent="0.2"/>
    <row r="191" ht="35.450000000000003" customHeight="1" x14ac:dyDescent="0.2"/>
    <row r="192" ht="35.450000000000003" customHeight="1" x14ac:dyDescent="0.2"/>
    <row r="193" ht="35.450000000000003" customHeight="1" x14ac:dyDescent="0.2"/>
    <row r="194" ht="35.450000000000003" customHeight="1" x14ac:dyDescent="0.2"/>
    <row r="195" ht="35.450000000000003" customHeight="1" x14ac:dyDescent="0.2"/>
    <row r="196" ht="35.450000000000003" customHeight="1" x14ac:dyDescent="0.2"/>
    <row r="197" ht="35.450000000000003" customHeight="1" x14ac:dyDescent="0.2"/>
    <row r="198" ht="35.450000000000003" customHeight="1" x14ac:dyDescent="0.2"/>
    <row r="199" ht="35.450000000000003" customHeight="1" x14ac:dyDescent="0.2"/>
    <row r="200" ht="35.450000000000003" customHeight="1" x14ac:dyDescent="0.2"/>
    <row r="201" ht="35.450000000000003" customHeight="1" x14ac:dyDescent="0.2"/>
    <row r="202" ht="35.450000000000003" customHeight="1" x14ac:dyDescent="0.2"/>
    <row r="203" ht="35.450000000000003" customHeight="1" x14ac:dyDescent="0.2"/>
    <row r="204" ht="35.450000000000003" customHeight="1" x14ac:dyDescent="0.2"/>
    <row r="205" ht="35.450000000000003" customHeight="1" x14ac:dyDescent="0.2"/>
    <row r="206" ht="35.450000000000003" customHeight="1" x14ac:dyDescent="0.2"/>
    <row r="207" ht="35.450000000000003" customHeight="1" x14ac:dyDescent="0.2"/>
    <row r="208" ht="35.450000000000003" customHeight="1" x14ac:dyDescent="0.2"/>
    <row r="209" ht="35.450000000000003" customHeight="1" x14ac:dyDescent="0.2"/>
    <row r="210" ht="35.450000000000003" customHeight="1" x14ac:dyDescent="0.2"/>
    <row r="211" ht="35.450000000000003" customHeight="1" x14ac:dyDescent="0.2"/>
    <row r="212" ht="35.450000000000003" customHeight="1" x14ac:dyDescent="0.2"/>
    <row r="213" ht="35.450000000000003" customHeight="1" x14ac:dyDescent="0.2"/>
    <row r="214" ht="35.450000000000003" customHeight="1" x14ac:dyDescent="0.2"/>
    <row r="215" ht="35.450000000000003" customHeight="1" x14ac:dyDescent="0.2"/>
    <row r="216" ht="35.450000000000003" customHeight="1" x14ac:dyDescent="0.2"/>
    <row r="217" ht="35.450000000000003" customHeight="1" x14ac:dyDescent="0.2"/>
    <row r="218" ht="35.450000000000003" customHeight="1" x14ac:dyDescent="0.2"/>
    <row r="219" ht="35.450000000000003" customHeight="1" x14ac:dyDescent="0.2"/>
    <row r="220" ht="35.450000000000003" customHeight="1" x14ac:dyDescent="0.2"/>
    <row r="221" ht="35.450000000000003" customHeight="1" x14ac:dyDescent="0.2"/>
    <row r="222" ht="35.450000000000003" customHeight="1" x14ac:dyDescent="0.2"/>
    <row r="223" ht="35.450000000000003" customHeight="1" x14ac:dyDescent="0.2"/>
    <row r="224" ht="35.450000000000003" customHeight="1" x14ac:dyDescent="0.2"/>
    <row r="225" ht="35.450000000000003" customHeight="1" x14ac:dyDescent="0.2"/>
    <row r="226" ht="35.450000000000003" customHeight="1" x14ac:dyDescent="0.2"/>
    <row r="227" ht="35.450000000000003" customHeight="1" x14ac:dyDescent="0.2"/>
    <row r="228" ht="35.450000000000003" customHeight="1" x14ac:dyDescent="0.2"/>
    <row r="229" ht="35.450000000000003" customHeight="1" x14ac:dyDescent="0.2"/>
    <row r="230" ht="35.450000000000003" customHeight="1" x14ac:dyDescent="0.2"/>
    <row r="231" ht="35.450000000000003" customHeight="1" x14ac:dyDescent="0.2"/>
    <row r="232" ht="35.450000000000003" customHeight="1" x14ac:dyDescent="0.2"/>
    <row r="233" ht="35.450000000000003" customHeight="1" x14ac:dyDescent="0.2"/>
    <row r="234" ht="35.450000000000003" customHeight="1" x14ac:dyDescent="0.2"/>
    <row r="235" ht="35.450000000000003" customHeight="1" x14ac:dyDescent="0.2"/>
    <row r="236" ht="35.450000000000003" customHeight="1" x14ac:dyDescent="0.2"/>
    <row r="237" ht="35.450000000000003" customHeight="1" x14ac:dyDescent="0.2"/>
    <row r="238" ht="35.450000000000003" customHeight="1" x14ac:dyDescent="0.2"/>
    <row r="239" ht="35.450000000000003" customHeight="1" x14ac:dyDescent="0.2"/>
    <row r="240" ht="35.450000000000003" customHeight="1" x14ac:dyDescent="0.2"/>
    <row r="241" ht="35.450000000000003" customHeight="1" x14ac:dyDescent="0.2"/>
    <row r="242" ht="35.450000000000003" customHeight="1" x14ac:dyDescent="0.2"/>
    <row r="243" ht="35.450000000000003" customHeight="1" x14ac:dyDescent="0.2"/>
    <row r="244" ht="35.450000000000003" customHeight="1" x14ac:dyDescent="0.2"/>
    <row r="245" ht="35.450000000000003" customHeight="1" x14ac:dyDescent="0.2"/>
    <row r="246" ht="35.450000000000003" customHeight="1" x14ac:dyDescent="0.2"/>
    <row r="247" ht="35.450000000000003" customHeight="1" x14ac:dyDescent="0.2"/>
    <row r="248" ht="35.450000000000003" customHeight="1" x14ac:dyDescent="0.2"/>
    <row r="249" ht="35.450000000000003" customHeight="1" x14ac:dyDescent="0.2"/>
    <row r="250" ht="35.450000000000003" customHeight="1" x14ac:dyDescent="0.2"/>
    <row r="251" ht="35.450000000000003" customHeight="1" x14ac:dyDescent="0.2"/>
    <row r="252" ht="35.450000000000003" customHeight="1" x14ac:dyDescent="0.2"/>
    <row r="253" ht="35.450000000000003" customHeight="1" x14ac:dyDescent="0.2"/>
    <row r="254" ht="35.450000000000003" customHeight="1" x14ac:dyDescent="0.2"/>
    <row r="255" ht="35.450000000000003" customHeight="1" x14ac:dyDescent="0.2"/>
    <row r="256" ht="35.450000000000003" customHeight="1" x14ac:dyDescent="0.2"/>
    <row r="257" ht="35.450000000000003" customHeight="1" x14ac:dyDescent="0.2"/>
    <row r="258" ht="35.450000000000003" customHeight="1" x14ac:dyDescent="0.2"/>
    <row r="259" ht="35.450000000000003" customHeight="1" x14ac:dyDescent="0.2"/>
    <row r="260" ht="35.450000000000003" customHeight="1" x14ac:dyDescent="0.2"/>
    <row r="261" ht="35.450000000000003" customHeight="1" x14ac:dyDescent="0.2"/>
    <row r="262" ht="35.450000000000003" customHeight="1" x14ac:dyDescent="0.2"/>
    <row r="263" ht="35.450000000000003" customHeight="1" x14ac:dyDescent="0.2"/>
    <row r="264" ht="35.450000000000003" customHeight="1" x14ac:dyDescent="0.2"/>
    <row r="265" ht="35.450000000000003" customHeight="1" x14ac:dyDescent="0.2"/>
    <row r="266" ht="35.450000000000003" customHeight="1" x14ac:dyDescent="0.2"/>
    <row r="267" ht="35.450000000000003" customHeight="1" x14ac:dyDescent="0.2"/>
    <row r="268" ht="35.450000000000003" customHeight="1" x14ac:dyDescent="0.2"/>
    <row r="269" ht="35.450000000000003" customHeight="1" x14ac:dyDescent="0.2"/>
    <row r="270" ht="35.450000000000003" customHeight="1" x14ac:dyDescent="0.2"/>
    <row r="271" ht="35.450000000000003" customHeight="1" x14ac:dyDescent="0.2"/>
    <row r="272" ht="35.450000000000003" customHeight="1" x14ac:dyDescent="0.2"/>
    <row r="273" ht="35.450000000000003" customHeight="1" x14ac:dyDescent="0.2"/>
    <row r="274" ht="35.450000000000003" customHeight="1" x14ac:dyDescent="0.2"/>
    <row r="275" ht="35.450000000000003" customHeight="1" x14ac:dyDescent="0.2"/>
    <row r="276" ht="35.450000000000003" customHeight="1" x14ac:dyDescent="0.2"/>
    <row r="277" ht="35.450000000000003" customHeight="1" x14ac:dyDescent="0.2"/>
    <row r="278" ht="35.450000000000003" customHeight="1" x14ac:dyDescent="0.2"/>
    <row r="279" ht="35.450000000000003" customHeight="1" x14ac:dyDescent="0.2"/>
    <row r="280" ht="35.450000000000003" customHeight="1" x14ac:dyDescent="0.2"/>
    <row r="281" ht="35.450000000000003" customHeight="1" x14ac:dyDescent="0.2"/>
    <row r="282" ht="35.450000000000003" customHeight="1" x14ac:dyDescent="0.2"/>
    <row r="283" ht="35.450000000000003" customHeight="1" x14ac:dyDescent="0.2"/>
    <row r="284" ht="35.450000000000003" customHeight="1" x14ac:dyDescent="0.2"/>
    <row r="285" ht="35.450000000000003" customHeight="1" x14ac:dyDescent="0.2"/>
    <row r="286" ht="35.450000000000003" customHeight="1" x14ac:dyDescent="0.2"/>
    <row r="287" ht="35.450000000000003" customHeight="1" x14ac:dyDescent="0.2"/>
    <row r="288" ht="35.450000000000003" customHeight="1" x14ac:dyDescent="0.2"/>
    <row r="289" ht="35.450000000000003" customHeight="1" x14ac:dyDescent="0.2"/>
    <row r="290" ht="35.450000000000003" customHeight="1" x14ac:dyDescent="0.2"/>
    <row r="291" ht="35.450000000000003" customHeight="1" x14ac:dyDescent="0.2"/>
    <row r="292" ht="35.450000000000003" customHeight="1" x14ac:dyDescent="0.2"/>
    <row r="293" ht="35.450000000000003" customHeight="1" x14ac:dyDescent="0.2"/>
    <row r="294" ht="35.450000000000003" customHeight="1" x14ac:dyDescent="0.2"/>
    <row r="295" ht="35.450000000000003" customHeight="1" x14ac:dyDescent="0.2"/>
    <row r="296" ht="35.450000000000003" customHeight="1" x14ac:dyDescent="0.2"/>
    <row r="297" ht="35.450000000000003" customHeight="1" x14ac:dyDescent="0.2"/>
    <row r="298" ht="35.450000000000003" customHeight="1" x14ac:dyDescent="0.2"/>
    <row r="299" ht="35.450000000000003" customHeight="1" x14ac:dyDescent="0.2"/>
    <row r="300" ht="35.450000000000003" customHeight="1" x14ac:dyDescent="0.2"/>
    <row r="301" ht="35.450000000000003" customHeight="1" x14ac:dyDescent="0.2"/>
    <row r="302" ht="35.450000000000003" customHeight="1" x14ac:dyDescent="0.2"/>
    <row r="303" ht="35.450000000000003" customHeight="1" x14ac:dyDescent="0.2"/>
    <row r="304" ht="35.450000000000003" customHeight="1" x14ac:dyDescent="0.2"/>
    <row r="305" ht="35.450000000000003" customHeight="1" x14ac:dyDescent="0.2"/>
    <row r="306" ht="35.450000000000003" customHeight="1" x14ac:dyDescent="0.2"/>
    <row r="307" ht="35.450000000000003" customHeight="1" x14ac:dyDescent="0.2"/>
    <row r="308" ht="35.450000000000003" customHeight="1" x14ac:dyDescent="0.2"/>
    <row r="309" ht="35.450000000000003" customHeight="1" x14ac:dyDescent="0.2"/>
    <row r="310" ht="35.450000000000003" customHeight="1" x14ac:dyDescent="0.2"/>
    <row r="311" ht="35.450000000000003" customHeight="1" x14ac:dyDescent="0.2"/>
    <row r="312" ht="35.450000000000003" customHeight="1" x14ac:dyDescent="0.2"/>
    <row r="313" ht="35.450000000000003" customHeight="1" x14ac:dyDescent="0.2"/>
    <row r="314" ht="35.450000000000003" customHeight="1" x14ac:dyDescent="0.2"/>
    <row r="315" ht="35.450000000000003" customHeight="1" x14ac:dyDescent="0.2"/>
    <row r="316" ht="35.450000000000003" customHeight="1" x14ac:dyDescent="0.2"/>
    <row r="317" ht="35.450000000000003" customHeight="1" x14ac:dyDescent="0.2"/>
    <row r="318" ht="35.450000000000003" customHeight="1" x14ac:dyDescent="0.2"/>
    <row r="319" ht="35.450000000000003" customHeight="1" x14ac:dyDescent="0.2"/>
    <row r="320" ht="35.450000000000003" customHeight="1" x14ac:dyDescent="0.2"/>
    <row r="321" ht="35.450000000000003" customHeight="1" x14ac:dyDescent="0.2"/>
    <row r="322" ht="35.450000000000003" customHeight="1" x14ac:dyDescent="0.2"/>
    <row r="323" ht="35.450000000000003" customHeight="1" x14ac:dyDescent="0.2"/>
    <row r="324" ht="35.450000000000003" customHeight="1" x14ac:dyDescent="0.2"/>
    <row r="325" ht="35.450000000000003" customHeight="1" x14ac:dyDescent="0.2"/>
    <row r="326" ht="35.450000000000003" customHeight="1" x14ac:dyDescent="0.2"/>
    <row r="327" ht="35.450000000000003" customHeight="1" x14ac:dyDescent="0.2"/>
    <row r="328" ht="35.450000000000003" customHeight="1" x14ac:dyDescent="0.2"/>
    <row r="329" ht="35.450000000000003" customHeight="1" x14ac:dyDescent="0.2"/>
    <row r="330" ht="35.450000000000003" customHeight="1" x14ac:dyDescent="0.2"/>
    <row r="331" ht="35.450000000000003" customHeight="1" x14ac:dyDescent="0.2"/>
    <row r="332" ht="35.450000000000003" customHeight="1" x14ac:dyDescent="0.2"/>
    <row r="333" ht="35.450000000000003" customHeight="1" x14ac:dyDescent="0.2"/>
    <row r="334" ht="35.450000000000003" customHeight="1" x14ac:dyDescent="0.2"/>
    <row r="335" ht="35.450000000000003" customHeight="1" x14ac:dyDescent="0.2"/>
    <row r="336" ht="35.450000000000003" customHeight="1" x14ac:dyDescent="0.2"/>
    <row r="337" ht="35.450000000000003" customHeight="1" x14ac:dyDescent="0.2"/>
    <row r="338" ht="35.450000000000003" customHeight="1" x14ac:dyDescent="0.2"/>
    <row r="339" ht="35.450000000000003" customHeight="1" x14ac:dyDescent="0.2"/>
    <row r="340" ht="35.450000000000003" customHeight="1" x14ac:dyDescent="0.2"/>
    <row r="341" ht="35.450000000000003" customHeight="1" x14ac:dyDescent="0.2"/>
    <row r="342" ht="35.450000000000003" customHeight="1" x14ac:dyDescent="0.2"/>
    <row r="343" ht="35.450000000000003" customHeight="1" x14ac:dyDescent="0.2"/>
    <row r="344" ht="35.450000000000003" customHeight="1" x14ac:dyDescent="0.2"/>
    <row r="345" ht="35.450000000000003" customHeight="1" x14ac:dyDescent="0.2"/>
    <row r="346" ht="35.450000000000003" customHeight="1" x14ac:dyDescent="0.2"/>
    <row r="347" ht="35.450000000000003" customHeight="1" x14ac:dyDescent="0.2"/>
    <row r="348" ht="35.450000000000003" customHeight="1" x14ac:dyDescent="0.2"/>
    <row r="349" ht="35.450000000000003" customHeight="1" x14ac:dyDescent="0.2"/>
    <row r="350" ht="35.450000000000003" customHeight="1" x14ac:dyDescent="0.2"/>
    <row r="351" ht="35.450000000000003" customHeight="1" x14ac:dyDescent="0.2"/>
    <row r="352" ht="35.450000000000003" customHeight="1" x14ac:dyDescent="0.2"/>
    <row r="353" ht="35.450000000000003" customHeight="1" x14ac:dyDescent="0.2"/>
    <row r="354" ht="35.450000000000003" customHeight="1" x14ac:dyDescent="0.2"/>
    <row r="355" ht="35.450000000000003" customHeight="1" x14ac:dyDescent="0.2"/>
    <row r="356" ht="35.450000000000003" customHeight="1" x14ac:dyDescent="0.2"/>
    <row r="357" ht="35.450000000000003" customHeight="1" x14ac:dyDescent="0.2"/>
    <row r="358" ht="35.450000000000003" customHeight="1" x14ac:dyDescent="0.2"/>
    <row r="359" ht="35.450000000000003" customHeight="1" x14ac:dyDescent="0.2"/>
    <row r="360" ht="35.450000000000003" customHeight="1" x14ac:dyDescent="0.2"/>
    <row r="361" ht="35.450000000000003" customHeight="1" x14ac:dyDescent="0.2"/>
    <row r="362" ht="35.450000000000003" customHeight="1" x14ac:dyDescent="0.2"/>
    <row r="363" ht="35.450000000000003" customHeight="1" x14ac:dyDescent="0.2"/>
    <row r="364" ht="35.450000000000003" customHeight="1" x14ac:dyDescent="0.2"/>
    <row r="365" ht="35.450000000000003" customHeight="1" x14ac:dyDescent="0.2"/>
    <row r="366" ht="35.450000000000003" customHeight="1" x14ac:dyDescent="0.2"/>
    <row r="367" ht="35.450000000000003" customHeight="1" x14ac:dyDescent="0.2"/>
    <row r="368" ht="35.450000000000003" customHeight="1" x14ac:dyDescent="0.2"/>
    <row r="369" ht="35.450000000000003" customHeight="1" x14ac:dyDescent="0.2"/>
    <row r="370" ht="35.450000000000003" customHeight="1" x14ac:dyDescent="0.2"/>
    <row r="371" ht="35.450000000000003" customHeight="1" x14ac:dyDescent="0.2"/>
    <row r="372" ht="35.450000000000003" customHeight="1" x14ac:dyDescent="0.2"/>
    <row r="373" ht="35.450000000000003" customHeight="1" x14ac:dyDescent="0.2"/>
    <row r="374" ht="35.450000000000003" customHeight="1" x14ac:dyDescent="0.2"/>
    <row r="375" ht="35.450000000000003" customHeight="1" x14ac:dyDescent="0.2"/>
    <row r="376" ht="35.450000000000003" customHeight="1" x14ac:dyDescent="0.2"/>
    <row r="377" ht="35.450000000000003" customHeight="1" x14ac:dyDescent="0.2"/>
    <row r="378" ht="35.450000000000003" customHeight="1" x14ac:dyDescent="0.2"/>
    <row r="379" ht="35.450000000000003" customHeight="1" x14ac:dyDescent="0.2"/>
    <row r="380" ht="35.450000000000003" customHeight="1" x14ac:dyDescent="0.2"/>
    <row r="381" ht="35.450000000000003" customHeight="1" x14ac:dyDescent="0.2"/>
    <row r="382" ht="35.450000000000003" customHeight="1" x14ac:dyDescent="0.2"/>
    <row r="383" ht="35.450000000000003" customHeight="1" x14ac:dyDescent="0.2"/>
    <row r="384" ht="35.450000000000003" customHeight="1" x14ac:dyDescent="0.2"/>
    <row r="385" ht="35.450000000000003" customHeight="1" x14ac:dyDescent="0.2"/>
    <row r="386" ht="35.450000000000003" customHeight="1" x14ac:dyDescent="0.2"/>
    <row r="387" ht="35.450000000000003" customHeight="1" x14ac:dyDescent="0.2"/>
    <row r="388" ht="35.450000000000003" customHeight="1" x14ac:dyDescent="0.2"/>
    <row r="389" ht="35.450000000000003" customHeight="1" x14ac:dyDescent="0.2"/>
    <row r="390" ht="35.450000000000003" customHeight="1" x14ac:dyDescent="0.2"/>
    <row r="391" ht="35.450000000000003" customHeight="1" x14ac:dyDescent="0.2"/>
    <row r="392" ht="35.450000000000003" customHeight="1" x14ac:dyDescent="0.2"/>
    <row r="393" ht="35.450000000000003" customHeight="1" x14ac:dyDescent="0.2"/>
    <row r="394" ht="35.450000000000003" customHeight="1" x14ac:dyDescent="0.2"/>
    <row r="395" ht="35.450000000000003" customHeight="1" x14ac:dyDescent="0.2"/>
    <row r="396" ht="35.450000000000003" customHeight="1" x14ac:dyDescent="0.2"/>
    <row r="397" ht="35.450000000000003" customHeight="1" x14ac:dyDescent="0.2"/>
    <row r="398" ht="35.450000000000003" customHeight="1" x14ac:dyDescent="0.2"/>
    <row r="399" ht="35.450000000000003" customHeight="1" x14ac:dyDescent="0.2"/>
    <row r="400" ht="35.450000000000003" customHeight="1" x14ac:dyDescent="0.2"/>
    <row r="401" ht="35.450000000000003" customHeight="1" x14ac:dyDescent="0.2"/>
    <row r="402" ht="35.450000000000003" customHeight="1" x14ac:dyDescent="0.2"/>
    <row r="403" ht="35.450000000000003" customHeight="1" x14ac:dyDescent="0.2"/>
    <row r="404" ht="35.450000000000003" customHeight="1" x14ac:dyDescent="0.2"/>
    <row r="405" ht="35.450000000000003" customHeight="1" x14ac:dyDescent="0.2"/>
    <row r="406" ht="35.450000000000003" customHeight="1" x14ac:dyDescent="0.2"/>
    <row r="407" ht="35.450000000000003" customHeight="1" x14ac:dyDescent="0.2"/>
    <row r="408" ht="35.450000000000003" customHeight="1" x14ac:dyDescent="0.2"/>
    <row r="409" ht="35.450000000000003" customHeight="1" x14ac:dyDescent="0.2"/>
    <row r="410" ht="35.450000000000003" customHeight="1" x14ac:dyDescent="0.2"/>
    <row r="411" ht="35.450000000000003" customHeight="1" x14ac:dyDescent="0.2"/>
    <row r="412" ht="35.450000000000003" customHeight="1" x14ac:dyDescent="0.2"/>
    <row r="413" ht="35.450000000000003" customHeight="1" x14ac:dyDescent="0.2"/>
    <row r="414" ht="35.450000000000003" customHeight="1" x14ac:dyDescent="0.2"/>
    <row r="415" ht="35.450000000000003" customHeight="1" x14ac:dyDescent="0.2"/>
    <row r="416" ht="35.450000000000003" customHeight="1" x14ac:dyDescent="0.2"/>
    <row r="417" ht="35.450000000000003" customHeight="1" x14ac:dyDescent="0.2"/>
    <row r="418" ht="35.450000000000003" customHeight="1" x14ac:dyDescent="0.2"/>
    <row r="419" ht="35.450000000000003" customHeight="1" x14ac:dyDescent="0.2"/>
    <row r="420" ht="35.450000000000003" customHeight="1" x14ac:dyDescent="0.2"/>
    <row r="421" ht="35.450000000000003" customHeight="1" x14ac:dyDescent="0.2"/>
    <row r="422" ht="35.450000000000003" customHeight="1" x14ac:dyDescent="0.2"/>
    <row r="423" ht="35.450000000000003" customHeight="1" x14ac:dyDescent="0.2"/>
    <row r="424" ht="35.450000000000003" customHeight="1" x14ac:dyDescent="0.2"/>
    <row r="425" ht="35.450000000000003" customHeight="1" x14ac:dyDescent="0.2"/>
    <row r="426" ht="35.450000000000003" customHeight="1" x14ac:dyDescent="0.2"/>
    <row r="427" ht="35.450000000000003" customHeight="1" x14ac:dyDescent="0.2"/>
    <row r="428" ht="35.450000000000003" customHeight="1" x14ac:dyDescent="0.2"/>
    <row r="429" ht="35.450000000000003" customHeight="1" x14ac:dyDescent="0.2"/>
    <row r="430" ht="35.450000000000003" customHeight="1" x14ac:dyDescent="0.2"/>
    <row r="431" ht="35.450000000000003" customHeight="1" x14ac:dyDescent="0.2"/>
    <row r="432" ht="35.450000000000003" customHeight="1" x14ac:dyDescent="0.2"/>
    <row r="433" ht="35.450000000000003" customHeight="1" x14ac:dyDescent="0.2"/>
    <row r="434" ht="35.450000000000003" customHeight="1" x14ac:dyDescent="0.2"/>
    <row r="435" ht="35.450000000000003" customHeight="1" x14ac:dyDescent="0.2"/>
    <row r="436" ht="35.450000000000003" customHeight="1" x14ac:dyDescent="0.2"/>
    <row r="437" ht="35.450000000000003" customHeight="1" x14ac:dyDescent="0.2"/>
    <row r="438" ht="35.450000000000003" customHeight="1" x14ac:dyDescent="0.2"/>
    <row r="439" ht="35.450000000000003" customHeight="1" x14ac:dyDescent="0.2"/>
    <row r="440" ht="35.450000000000003" customHeight="1" x14ac:dyDescent="0.2"/>
    <row r="441" ht="35.450000000000003" customHeight="1" x14ac:dyDescent="0.2"/>
    <row r="442" ht="35.450000000000003" customHeight="1" x14ac:dyDescent="0.2"/>
    <row r="443" ht="35.450000000000003" customHeight="1" x14ac:dyDescent="0.2"/>
    <row r="444" ht="35.450000000000003" customHeight="1" x14ac:dyDescent="0.2"/>
    <row r="445" ht="35.450000000000003" customHeight="1" x14ac:dyDescent="0.2"/>
    <row r="446" ht="35.450000000000003" customHeight="1" x14ac:dyDescent="0.2"/>
    <row r="447" ht="35.450000000000003" customHeight="1" x14ac:dyDescent="0.2"/>
    <row r="448" ht="35.450000000000003" customHeight="1" x14ac:dyDescent="0.2"/>
    <row r="449" ht="35.450000000000003" customHeight="1" x14ac:dyDescent="0.2"/>
    <row r="450" ht="35.450000000000003" customHeight="1" x14ac:dyDescent="0.2"/>
    <row r="451" ht="35.450000000000003" customHeight="1" x14ac:dyDescent="0.2"/>
    <row r="452" ht="35.450000000000003" customHeight="1" x14ac:dyDescent="0.2"/>
    <row r="453" ht="35.450000000000003" customHeight="1" x14ac:dyDescent="0.2"/>
    <row r="454" ht="35.450000000000003" customHeight="1" x14ac:dyDescent="0.2"/>
    <row r="455" ht="35.450000000000003" customHeight="1" x14ac:dyDescent="0.2"/>
    <row r="456" ht="35.450000000000003" customHeight="1" x14ac:dyDescent="0.2"/>
    <row r="457" ht="35.450000000000003" customHeight="1" x14ac:dyDescent="0.2"/>
    <row r="458" ht="35.450000000000003" customHeight="1" x14ac:dyDescent="0.2"/>
    <row r="459" ht="35.450000000000003" customHeight="1" x14ac:dyDescent="0.2"/>
    <row r="460" ht="35.450000000000003" customHeight="1" x14ac:dyDescent="0.2"/>
    <row r="461" ht="35.450000000000003" customHeight="1" x14ac:dyDescent="0.2"/>
    <row r="462" ht="35.450000000000003" customHeight="1" x14ac:dyDescent="0.2"/>
    <row r="463" ht="35.450000000000003" customHeight="1" x14ac:dyDescent="0.2"/>
    <row r="464" ht="35.450000000000003" customHeight="1" x14ac:dyDescent="0.2"/>
    <row r="465" ht="35.450000000000003" customHeight="1" x14ac:dyDescent="0.2"/>
    <row r="466" ht="35.450000000000003" customHeight="1" x14ac:dyDescent="0.2"/>
    <row r="467" ht="35.450000000000003" customHeight="1" x14ac:dyDescent="0.2"/>
    <row r="468" ht="35.450000000000003" customHeight="1" x14ac:dyDescent="0.2"/>
    <row r="469" ht="35.450000000000003" customHeight="1" x14ac:dyDescent="0.2"/>
    <row r="470" ht="35.450000000000003" customHeight="1" x14ac:dyDescent="0.2"/>
    <row r="471" ht="35.450000000000003" customHeight="1" x14ac:dyDescent="0.2"/>
    <row r="472" ht="35.450000000000003" customHeight="1" x14ac:dyDescent="0.2"/>
    <row r="473" ht="35.450000000000003" customHeight="1" x14ac:dyDescent="0.2"/>
    <row r="474" ht="35.450000000000003" customHeight="1" x14ac:dyDescent="0.2"/>
    <row r="475" ht="35.450000000000003" customHeight="1" x14ac:dyDescent="0.2"/>
    <row r="476" ht="35.450000000000003" customHeight="1" x14ac:dyDescent="0.2"/>
    <row r="477" ht="35.450000000000003" customHeight="1" x14ac:dyDescent="0.2"/>
    <row r="478" ht="35.450000000000003" customHeight="1" x14ac:dyDescent="0.2"/>
    <row r="479" ht="35.450000000000003" customHeight="1" x14ac:dyDescent="0.2"/>
    <row r="480" ht="35.450000000000003" customHeight="1" x14ac:dyDescent="0.2"/>
    <row r="481" ht="35.450000000000003" customHeight="1" x14ac:dyDescent="0.2"/>
    <row r="482" ht="35.450000000000003" customHeight="1" x14ac:dyDescent="0.2"/>
    <row r="483" ht="35.450000000000003" customHeight="1" x14ac:dyDescent="0.2"/>
    <row r="484" ht="35.450000000000003" customHeight="1" x14ac:dyDescent="0.2"/>
    <row r="485" ht="35.450000000000003" customHeight="1" x14ac:dyDescent="0.2"/>
    <row r="486" ht="35.450000000000003" customHeight="1" x14ac:dyDescent="0.2"/>
    <row r="487" ht="35.450000000000003" customHeight="1" x14ac:dyDescent="0.2"/>
    <row r="488" ht="35.450000000000003" customHeight="1" x14ac:dyDescent="0.2"/>
    <row r="489" ht="35.450000000000003" customHeight="1" x14ac:dyDescent="0.2"/>
    <row r="490" ht="35.450000000000003" customHeight="1" x14ac:dyDescent="0.2"/>
    <row r="491" ht="35.450000000000003" customHeight="1" x14ac:dyDescent="0.2"/>
    <row r="492" ht="35.450000000000003" customHeight="1" x14ac:dyDescent="0.2"/>
    <row r="493" ht="35.450000000000003" customHeight="1" x14ac:dyDescent="0.2"/>
    <row r="494" ht="35.450000000000003" customHeight="1" x14ac:dyDescent="0.2"/>
    <row r="495" ht="35.450000000000003" customHeight="1" x14ac:dyDescent="0.2"/>
    <row r="496" ht="35.450000000000003" customHeight="1" x14ac:dyDescent="0.2"/>
    <row r="497" ht="35.450000000000003" customHeight="1" x14ac:dyDescent="0.2"/>
    <row r="498" ht="35.450000000000003" customHeight="1" x14ac:dyDescent="0.2"/>
    <row r="499" ht="35.450000000000003" customHeight="1" x14ac:dyDescent="0.2"/>
    <row r="500" ht="35.450000000000003" customHeight="1" x14ac:dyDescent="0.2"/>
    <row r="501" ht="35.450000000000003" customHeight="1" x14ac:dyDescent="0.2"/>
    <row r="502" ht="35.450000000000003" customHeight="1" x14ac:dyDescent="0.2"/>
    <row r="503" ht="35.450000000000003" customHeight="1" x14ac:dyDescent="0.2"/>
    <row r="504" ht="35.450000000000003" customHeight="1" x14ac:dyDescent="0.2"/>
    <row r="505" ht="35.450000000000003" customHeight="1" x14ac:dyDescent="0.2"/>
    <row r="506" ht="35.450000000000003" customHeight="1" x14ac:dyDescent="0.2"/>
    <row r="507" ht="35.450000000000003" customHeight="1" x14ac:dyDescent="0.2"/>
    <row r="508" ht="35.450000000000003" customHeight="1" x14ac:dyDescent="0.2"/>
    <row r="509" ht="35.450000000000003" customHeight="1" x14ac:dyDescent="0.2"/>
    <row r="510" ht="35.450000000000003" customHeight="1" x14ac:dyDescent="0.2"/>
    <row r="511" ht="35.450000000000003" customHeight="1" x14ac:dyDescent="0.2"/>
    <row r="512" ht="35.450000000000003" customHeight="1" x14ac:dyDescent="0.2"/>
    <row r="513" ht="35.450000000000003" customHeight="1" x14ac:dyDescent="0.2"/>
    <row r="514" ht="35.450000000000003" customHeight="1" x14ac:dyDescent="0.2"/>
    <row r="515" ht="35.450000000000003" customHeight="1" x14ac:dyDescent="0.2"/>
    <row r="516" ht="35.450000000000003" customHeight="1" x14ac:dyDescent="0.2"/>
    <row r="517" ht="35.450000000000003" customHeight="1" x14ac:dyDescent="0.2"/>
    <row r="518" ht="35.450000000000003" customHeight="1" x14ac:dyDescent="0.2"/>
    <row r="519" ht="35.450000000000003" customHeight="1" x14ac:dyDescent="0.2"/>
    <row r="520" ht="35.450000000000003" customHeight="1" x14ac:dyDescent="0.2"/>
    <row r="521" ht="35.450000000000003" customHeight="1" x14ac:dyDescent="0.2"/>
    <row r="522" ht="35.450000000000003" customHeight="1" x14ac:dyDescent="0.2"/>
    <row r="523" ht="35.450000000000003" customHeight="1" x14ac:dyDescent="0.2"/>
    <row r="524" ht="35.450000000000003" customHeight="1" x14ac:dyDescent="0.2"/>
    <row r="525" ht="35.450000000000003" customHeight="1" x14ac:dyDescent="0.2"/>
    <row r="526" ht="35.450000000000003" customHeight="1" x14ac:dyDescent="0.2"/>
    <row r="527" ht="35.450000000000003" customHeight="1" x14ac:dyDescent="0.2"/>
  </sheetData>
  <mergeCells count="90">
    <mergeCell ref="K5:M5"/>
    <mergeCell ref="N5:O5"/>
    <mergeCell ref="N2:O2"/>
    <mergeCell ref="K3:M3"/>
    <mergeCell ref="N3:O3"/>
    <mergeCell ref="K4:M4"/>
    <mergeCell ref="N4:O4"/>
    <mergeCell ref="B65:E65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53:E53"/>
    <mergeCell ref="I5:J5"/>
    <mergeCell ref="B50:E50"/>
    <mergeCell ref="B51:E51"/>
    <mergeCell ref="B42:E42"/>
    <mergeCell ref="B43:E43"/>
    <mergeCell ref="B44:E44"/>
    <mergeCell ref="B45:E45"/>
    <mergeCell ref="B46:E46"/>
    <mergeCell ref="B52:E52"/>
    <mergeCell ref="B41:E41"/>
    <mergeCell ref="B30:E30"/>
    <mergeCell ref="B31:E31"/>
    <mergeCell ref="B32:E32"/>
    <mergeCell ref="B33:E33"/>
    <mergeCell ref="B34:E34"/>
    <mergeCell ref="B40:E40"/>
    <mergeCell ref="B47:E47"/>
    <mergeCell ref="B48:E48"/>
    <mergeCell ref="B49:E49"/>
    <mergeCell ref="B29:E29"/>
    <mergeCell ref="B35:E35"/>
    <mergeCell ref="B36:E36"/>
    <mergeCell ref="B37:E37"/>
    <mergeCell ref="B38:E38"/>
    <mergeCell ref="B39:E39"/>
    <mergeCell ref="B25:E25"/>
    <mergeCell ref="B26:E26"/>
    <mergeCell ref="B27:E27"/>
    <mergeCell ref="B18:E18"/>
    <mergeCell ref="B19:E19"/>
    <mergeCell ref="B20:E20"/>
    <mergeCell ref="B21:E21"/>
    <mergeCell ref="B22:E22"/>
    <mergeCell ref="B28:E28"/>
    <mergeCell ref="S11:T11"/>
    <mergeCell ref="B13:E13"/>
    <mergeCell ref="B14:E14"/>
    <mergeCell ref="B15:E15"/>
    <mergeCell ref="B16:E16"/>
    <mergeCell ref="Q11:Q12"/>
    <mergeCell ref="R11:R12"/>
    <mergeCell ref="B17:E17"/>
    <mergeCell ref="L11:M11"/>
    <mergeCell ref="N11:N12"/>
    <mergeCell ref="O11:O12"/>
    <mergeCell ref="P11:P12"/>
    <mergeCell ref="K11:K12"/>
    <mergeCell ref="B23:E23"/>
    <mergeCell ref="B24:E24"/>
    <mergeCell ref="A11:A12"/>
    <mergeCell ref="B11:E12"/>
    <mergeCell ref="F11:F12"/>
    <mergeCell ref="G11:G12"/>
    <mergeCell ref="J11:J12"/>
    <mergeCell ref="S1:T1"/>
    <mergeCell ref="S2:T2"/>
    <mergeCell ref="S3:T5"/>
    <mergeCell ref="P3:P5"/>
    <mergeCell ref="A10:R10"/>
    <mergeCell ref="Q3:Q5"/>
    <mergeCell ref="A1:B5"/>
    <mergeCell ref="A6:T6"/>
    <mergeCell ref="B7:J7"/>
    <mergeCell ref="L7:M7"/>
    <mergeCell ref="N7:O7"/>
    <mergeCell ref="P7:T7"/>
    <mergeCell ref="I2:J4"/>
    <mergeCell ref="K2:M2"/>
    <mergeCell ref="I1:P1"/>
    <mergeCell ref="R3:R5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42" fitToHeight="0" orientation="landscape" r:id="rId1"/>
  <headerFooter>
    <oddFooter>Pagina &amp;P di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80F6A5B-DF1D-4015-9B09-516DEEAE0148}">
          <x14:formula1>
            <xm:f>Elenchi!$A$1:$A$3</xm:f>
          </x14:formula1>
          <xm:sqref>H5:I5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02FB-E6D9-42D2-81E0-E998DEDCAFF6}">
  <dimension ref="A1:F107"/>
  <sheetViews>
    <sheetView workbookViewId="0">
      <selection activeCell="C20" sqref="C20"/>
    </sheetView>
  </sheetViews>
  <sheetFormatPr defaultRowHeight="12.75" x14ac:dyDescent="0.2"/>
  <cols>
    <col min="1" max="1" width="9.140625" style="33"/>
    <col min="2" max="2" width="27.28515625" style="20" bestFit="1" customWidth="1"/>
    <col min="3" max="3" width="127.7109375" customWidth="1"/>
    <col min="4" max="4" width="12.85546875" style="20" customWidth="1"/>
    <col min="5" max="5" width="51.5703125" customWidth="1"/>
    <col min="6" max="6" width="40.7109375" customWidth="1"/>
  </cols>
  <sheetData>
    <row r="1" spans="1:6" x14ac:dyDescent="0.2">
      <c r="A1" s="28" t="s">
        <v>55</v>
      </c>
      <c r="B1" s="18" t="s">
        <v>56</v>
      </c>
      <c r="C1" s="19"/>
      <c r="D1" s="20" t="s">
        <v>57</v>
      </c>
      <c r="F1" t="s">
        <v>58</v>
      </c>
    </row>
    <row r="2" spans="1:6" x14ac:dyDescent="0.2">
      <c r="A2" s="28">
        <v>1</v>
      </c>
      <c r="B2" s="18" t="s">
        <v>59</v>
      </c>
      <c r="C2" s="19" t="s">
        <v>60</v>
      </c>
      <c r="D2" s="20">
        <v>40030022</v>
      </c>
      <c r="E2" t="s">
        <v>61</v>
      </c>
    </row>
    <row r="3" spans="1:6" x14ac:dyDescent="0.2">
      <c r="A3" s="28">
        <v>2</v>
      </c>
      <c r="B3" s="18" t="s">
        <v>62</v>
      </c>
      <c r="C3" s="19" t="s">
        <v>63</v>
      </c>
      <c r="D3" s="20">
        <v>40010003</v>
      </c>
      <c r="E3" t="s">
        <v>64</v>
      </c>
    </row>
    <row r="4" spans="1:6" x14ac:dyDescent="0.2">
      <c r="A4" s="28">
        <v>3</v>
      </c>
      <c r="B4" s="18" t="s">
        <v>65</v>
      </c>
      <c r="C4" s="19" t="s">
        <v>66</v>
      </c>
      <c r="D4" s="20">
        <v>40010003</v>
      </c>
      <c r="E4" t="s">
        <v>64</v>
      </c>
    </row>
    <row r="5" spans="1:6" x14ac:dyDescent="0.2">
      <c r="A5" s="28">
        <v>4</v>
      </c>
      <c r="B5" s="18" t="s">
        <v>67</v>
      </c>
      <c r="C5" s="19" t="s">
        <v>68</v>
      </c>
      <c r="D5" s="20">
        <v>40010003</v>
      </c>
      <c r="E5" t="s">
        <v>64</v>
      </c>
    </row>
    <row r="6" spans="1:6" x14ac:dyDescent="0.2">
      <c r="A6" s="28">
        <v>5</v>
      </c>
      <c r="B6" s="18" t="s">
        <v>69</v>
      </c>
      <c r="C6" s="19" t="s">
        <v>70</v>
      </c>
      <c r="D6" s="20">
        <v>40030006</v>
      </c>
      <c r="E6" t="s">
        <v>137</v>
      </c>
    </row>
    <row r="7" spans="1:6" x14ac:dyDescent="0.2">
      <c r="A7" s="28">
        <v>6</v>
      </c>
      <c r="B7" s="18" t="s">
        <v>72</v>
      </c>
      <c r="C7" s="19" t="s">
        <v>73</v>
      </c>
      <c r="D7" s="20">
        <v>40070001</v>
      </c>
      <c r="E7" t="s">
        <v>71</v>
      </c>
    </row>
    <row r="8" spans="1:6" x14ac:dyDescent="0.2">
      <c r="A8" s="28">
        <v>7</v>
      </c>
      <c r="B8" s="18" t="s">
        <v>74</v>
      </c>
      <c r="C8" s="19" t="s">
        <v>75</v>
      </c>
      <c r="D8" s="20">
        <v>40010003</v>
      </c>
      <c r="E8" t="s">
        <v>64</v>
      </c>
    </row>
    <row r="9" spans="1:6" x14ac:dyDescent="0.2">
      <c r="A9" s="28">
        <v>8</v>
      </c>
      <c r="B9" s="18" t="s">
        <v>76</v>
      </c>
      <c r="C9" s="19" t="s">
        <v>77</v>
      </c>
      <c r="D9" s="20">
        <v>40010003</v>
      </c>
      <c r="E9" t="s">
        <v>64</v>
      </c>
    </row>
    <row r="10" spans="1:6" x14ac:dyDescent="0.2">
      <c r="A10" s="28">
        <v>9</v>
      </c>
      <c r="B10" s="18" t="s">
        <v>78</v>
      </c>
      <c r="C10" s="19" t="s">
        <v>79</v>
      </c>
      <c r="D10" s="20">
        <v>40010003</v>
      </c>
      <c r="E10" t="s">
        <v>64</v>
      </c>
    </row>
    <row r="11" spans="1:6" ht="15" x14ac:dyDescent="0.25">
      <c r="A11" s="29">
        <v>10</v>
      </c>
      <c r="B11" s="21" t="s">
        <v>80</v>
      </c>
      <c r="C11" s="22" t="s">
        <v>81</v>
      </c>
      <c r="D11" s="20">
        <v>40030023</v>
      </c>
      <c r="E11" t="s">
        <v>82</v>
      </c>
      <c r="F11" s="23"/>
    </row>
    <row r="12" spans="1:6" s="23" customFormat="1" ht="15" x14ac:dyDescent="0.25">
      <c r="A12" s="28">
        <v>11</v>
      </c>
      <c r="B12" s="21" t="s">
        <v>83</v>
      </c>
      <c r="C12" s="22" t="s">
        <v>84</v>
      </c>
      <c r="D12" s="20">
        <v>40010003</v>
      </c>
      <c r="E12" t="s">
        <v>64</v>
      </c>
    </row>
    <row r="13" spans="1:6" s="23" customFormat="1" ht="15" x14ac:dyDescent="0.25">
      <c r="A13" s="28">
        <v>12</v>
      </c>
      <c r="B13" s="18" t="s">
        <v>85</v>
      </c>
      <c r="C13" s="19" t="s">
        <v>86</v>
      </c>
      <c r="D13" s="20">
        <v>40010003</v>
      </c>
      <c r="E13" t="s">
        <v>64</v>
      </c>
      <c r="F13"/>
    </row>
    <row r="14" spans="1:6" x14ac:dyDescent="0.2">
      <c r="A14" s="28">
        <v>13</v>
      </c>
      <c r="B14" s="18" t="s">
        <v>87</v>
      </c>
      <c r="C14" s="19" t="s">
        <v>88</v>
      </c>
      <c r="D14" s="20">
        <v>40010003</v>
      </c>
      <c r="E14" t="s">
        <v>64</v>
      </c>
    </row>
    <row r="15" spans="1:6" x14ac:dyDescent="0.2">
      <c r="A15" s="28">
        <v>14</v>
      </c>
      <c r="B15" s="18" t="s">
        <v>89</v>
      </c>
      <c r="C15" s="19" t="s">
        <v>90</v>
      </c>
      <c r="D15" s="20">
        <v>40020001</v>
      </c>
      <c r="E15" t="s">
        <v>91</v>
      </c>
    </row>
    <row r="16" spans="1:6" x14ac:dyDescent="0.2">
      <c r="A16" s="28">
        <v>15</v>
      </c>
      <c r="B16" s="18" t="s">
        <v>92</v>
      </c>
      <c r="C16" s="19" t="s">
        <v>93</v>
      </c>
      <c r="D16" s="20">
        <v>40010003</v>
      </c>
      <c r="E16" t="s">
        <v>64</v>
      </c>
    </row>
    <row r="17" spans="1:5" x14ac:dyDescent="0.2">
      <c r="A17" s="28">
        <v>16</v>
      </c>
      <c r="B17" s="18" t="s">
        <v>94</v>
      </c>
      <c r="C17" s="19" t="s">
        <v>95</v>
      </c>
      <c r="D17" s="20">
        <v>40010003</v>
      </c>
      <c r="E17" t="s">
        <v>64</v>
      </c>
    </row>
    <row r="18" spans="1:5" x14ac:dyDescent="0.2">
      <c r="A18" s="28">
        <v>17</v>
      </c>
      <c r="B18" s="18" t="s">
        <v>96</v>
      </c>
      <c r="C18" s="19" t="s">
        <v>97</v>
      </c>
      <c r="D18" s="20">
        <v>40010003</v>
      </c>
      <c r="E18" t="s">
        <v>64</v>
      </c>
    </row>
    <row r="19" spans="1:5" x14ac:dyDescent="0.2">
      <c r="A19" s="28">
        <v>18</v>
      </c>
      <c r="B19" s="18" t="s">
        <v>98</v>
      </c>
      <c r="C19" s="19" t="s">
        <v>99</v>
      </c>
      <c r="D19" s="20">
        <v>40010003</v>
      </c>
      <c r="E19" t="s">
        <v>64</v>
      </c>
    </row>
    <row r="20" spans="1:5" x14ac:dyDescent="0.2">
      <c r="A20" s="28">
        <v>19</v>
      </c>
      <c r="B20" s="18" t="s">
        <v>100</v>
      </c>
      <c r="C20" s="19" t="s">
        <v>101</v>
      </c>
      <c r="D20" s="20">
        <v>40010003</v>
      </c>
      <c r="E20" t="s">
        <v>64</v>
      </c>
    </row>
    <row r="21" spans="1:5" x14ac:dyDescent="0.2">
      <c r="A21" s="28">
        <v>20</v>
      </c>
      <c r="B21" s="18" t="s">
        <v>102</v>
      </c>
      <c r="C21" s="19" t="s">
        <v>103</v>
      </c>
      <c r="D21" s="20">
        <v>40010003</v>
      </c>
      <c r="E21" t="s">
        <v>64</v>
      </c>
    </row>
    <row r="22" spans="1:5" x14ac:dyDescent="0.2">
      <c r="A22" s="28">
        <v>21</v>
      </c>
      <c r="B22" s="18" t="s">
        <v>104</v>
      </c>
      <c r="C22" s="19" t="s">
        <v>105</v>
      </c>
      <c r="D22" s="20">
        <v>40010003</v>
      </c>
      <c r="E22" t="s">
        <v>64</v>
      </c>
    </row>
    <row r="23" spans="1:5" x14ac:dyDescent="0.2">
      <c r="A23" s="28" t="s">
        <v>292</v>
      </c>
      <c r="B23" s="18" t="s">
        <v>106</v>
      </c>
      <c r="C23" s="19" t="s">
        <v>107</v>
      </c>
      <c r="D23" s="20">
        <v>40060012</v>
      </c>
      <c r="E23" t="s">
        <v>108</v>
      </c>
    </row>
    <row r="24" spans="1:5" x14ac:dyDescent="0.2">
      <c r="A24" s="28" t="s">
        <v>293</v>
      </c>
      <c r="B24" s="18" t="s">
        <v>106</v>
      </c>
      <c r="C24" s="19" t="s">
        <v>107</v>
      </c>
      <c r="D24" s="20">
        <v>40030040</v>
      </c>
      <c r="E24" t="s">
        <v>296</v>
      </c>
    </row>
    <row r="25" spans="1:5" x14ac:dyDescent="0.2">
      <c r="A25" s="28">
        <v>23</v>
      </c>
      <c r="B25" s="18" t="s">
        <v>109</v>
      </c>
      <c r="C25" s="19" t="s">
        <v>110</v>
      </c>
      <c r="D25" s="20">
        <v>40030001</v>
      </c>
      <c r="E25" t="s">
        <v>111</v>
      </c>
    </row>
    <row r="26" spans="1:5" x14ac:dyDescent="0.2">
      <c r="A26" s="28">
        <v>24</v>
      </c>
      <c r="B26" s="18" t="s">
        <v>112</v>
      </c>
      <c r="C26" s="19" t="s">
        <v>113</v>
      </c>
      <c r="D26" s="20">
        <v>40010009</v>
      </c>
      <c r="E26" t="s">
        <v>111</v>
      </c>
    </row>
    <row r="27" spans="1:5" x14ac:dyDescent="0.2">
      <c r="A27" s="28">
        <v>25</v>
      </c>
      <c r="B27" s="18" t="s">
        <v>114</v>
      </c>
      <c r="C27" s="19" t="s">
        <v>115</v>
      </c>
      <c r="D27" s="20">
        <v>40010003</v>
      </c>
      <c r="E27" t="s">
        <v>64</v>
      </c>
    </row>
    <row r="28" spans="1:5" x14ac:dyDescent="0.2">
      <c r="A28" s="28">
        <v>26</v>
      </c>
      <c r="B28" s="18" t="s">
        <v>116</v>
      </c>
      <c r="C28" s="19" t="s">
        <v>117</v>
      </c>
      <c r="D28" s="20">
        <v>40010003</v>
      </c>
      <c r="E28" t="s">
        <v>64</v>
      </c>
    </row>
    <row r="29" spans="1:5" x14ac:dyDescent="0.2">
      <c r="A29" s="28">
        <v>27</v>
      </c>
      <c r="B29" s="18" t="s">
        <v>118</v>
      </c>
      <c r="C29" s="19" t="s">
        <v>119</v>
      </c>
      <c r="D29" s="20">
        <v>40070001</v>
      </c>
      <c r="E29" t="s">
        <v>71</v>
      </c>
    </row>
    <row r="30" spans="1:5" x14ac:dyDescent="0.2">
      <c r="A30" s="28">
        <v>28</v>
      </c>
      <c r="B30" s="18" t="s">
        <v>120</v>
      </c>
      <c r="C30" s="19" t="s">
        <v>121</v>
      </c>
      <c r="D30" s="20">
        <v>40040027</v>
      </c>
      <c r="E30" t="s">
        <v>128</v>
      </c>
    </row>
    <row r="31" spans="1:5" x14ac:dyDescent="0.2">
      <c r="A31" s="28">
        <v>29</v>
      </c>
      <c r="B31" s="18" t="s">
        <v>122</v>
      </c>
      <c r="C31" s="19" t="s">
        <v>123</v>
      </c>
      <c r="D31" s="20">
        <v>40030022</v>
      </c>
      <c r="E31" t="s">
        <v>61</v>
      </c>
    </row>
    <row r="32" spans="1:5" x14ac:dyDescent="0.2">
      <c r="A32" s="28">
        <v>30</v>
      </c>
      <c r="B32" s="18" t="s">
        <v>124</v>
      </c>
      <c r="C32" s="19" t="s">
        <v>125</v>
      </c>
      <c r="D32" s="20">
        <v>40070001</v>
      </c>
      <c r="E32" t="s">
        <v>71</v>
      </c>
    </row>
    <row r="33" spans="1:6" x14ac:dyDescent="0.2">
      <c r="A33" s="28" t="s">
        <v>294</v>
      </c>
      <c r="B33" s="18" t="s">
        <v>126</v>
      </c>
      <c r="C33" s="19" t="s">
        <v>127</v>
      </c>
      <c r="D33" s="20">
        <v>40040027</v>
      </c>
      <c r="E33" t="s">
        <v>128</v>
      </c>
    </row>
    <row r="34" spans="1:6" ht="25.5" x14ac:dyDescent="0.2">
      <c r="A34" s="30" t="s">
        <v>295</v>
      </c>
      <c r="B34" s="31" t="s">
        <v>126</v>
      </c>
      <c r="C34" s="32" t="s">
        <v>127</v>
      </c>
      <c r="D34" s="34">
        <v>40050005</v>
      </c>
      <c r="E34" s="24" t="s">
        <v>297</v>
      </c>
      <c r="F34" s="35" t="s">
        <v>298</v>
      </c>
    </row>
    <row r="35" spans="1:6" x14ac:dyDescent="0.2">
      <c r="A35" s="28">
        <v>32</v>
      </c>
      <c r="B35" s="18" t="s">
        <v>129</v>
      </c>
      <c r="C35" s="19" t="s">
        <v>130</v>
      </c>
      <c r="D35" s="20">
        <v>40030006</v>
      </c>
      <c r="E35" t="s">
        <v>137</v>
      </c>
    </row>
    <row r="36" spans="1:6" x14ac:dyDescent="0.2">
      <c r="A36" s="28">
        <v>33</v>
      </c>
      <c r="B36" s="18" t="s">
        <v>131</v>
      </c>
      <c r="C36" s="19" t="s">
        <v>132</v>
      </c>
      <c r="D36" s="20">
        <v>40010003</v>
      </c>
      <c r="E36" t="s">
        <v>64</v>
      </c>
    </row>
    <row r="37" spans="1:6" x14ac:dyDescent="0.2">
      <c r="A37" s="28">
        <v>34</v>
      </c>
      <c r="B37" s="18" t="s">
        <v>133</v>
      </c>
      <c r="C37" s="19" t="s">
        <v>134</v>
      </c>
      <c r="D37" s="20">
        <v>40010003</v>
      </c>
      <c r="E37" t="s">
        <v>64</v>
      </c>
    </row>
    <row r="38" spans="1:6" x14ac:dyDescent="0.2">
      <c r="A38" s="28">
        <v>35</v>
      </c>
      <c r="B38" s="20" t="s">
        <v>135</v>
      </c>
      <c r="C38" s="19" t="s">
        <v>136</v>
      </c>
      <c r="D38" s="20">
        <v>40030006</v>
      </c>
      <c r="E38" t="s">
        <v>137</v>
      </c>
    </row>
    <row r="39" spans="1:6" x14ac:dyDescent="0.2">
      <c r="A39" s="28" t="s">
        <v>138</v>
      </c>
      <c r="B39" s="18" t="s">
        <v>139</v>
      </c>
      <c r="C39" s="19" t="s">
        <v>140</v>
      </c>
      <c r="D39" s="20">
        <v>40060012</v>
      </c>
      <c r="E39" t="s">
        <v>108</v>
      </c>
    </row>
    <row r="40" spans="1:6" x14ac:dyDescent="0.2">
      <c r="A40" s="28" t="s">
        <v>141</v>
      </c>
      <c r="B40" s="18" t="s">
        <v>139</v>
      </c>
      <c r="C40" s="19" t="s">
        <v>140</v>
      </c>
      <c r="D40" s="20">
        <v>40030023</v>
      </c>
      <c r="E40" t="s">
        <v>82</v>
      </c>
      <c r="F40" t="s">
        <v>142</v>
      </c>
    </row>
    <row r="41" spans="1:6" x14ac:dyDescent="0.2">
      <c r="A41" s="28">
        <v>37</v>
      </c>
      <c r="B41" s="18" t="s">
        <v>143</v>
      </c>
      <c r="C41" s="19" t="s">
        <v>144</v>
      </c>
      <c r="D41" s="20">
        <v>40030022</v>
      </c>
      <c r="E41" t="s">
        <v>61</v>
      </c>
    </row>
    <row r="42" spans="1:6" x14ac:dyDescent="0.2">
      <c r="A42" s="28">
        <v>38</v>
      </c>
      <c r="B42" s="18" t="s">
        <v>145</v>
      </c>
      <c r="C42" s="19" t="s">
        <v>146</v>
      </c>
      <c r="D42" s="20">
        <v>40010003</v>
      </c>
      <c r="E42" t="s">
        <v>64</v>
      </c>
    </row>
    <row r="43" spans="1:6" x14ac:dyDescent="0.2">
      <c r="A43" s="28">
        <v>39</v>
      </c>
      <c r="B43" s="18" t="s">
        <v>147</v>
      </c>
      <c r="C43" s="19" t="s">
        <v>148</v>
      </c>
      <c r="D43" s="20">
        <v>40010003</v>
      </c>
      <c r="E43" t="s">
        <v>64</v>
      </c>
    </row>
    <row r="44" spans="1:6" x14ac:dyDescent="0.2">
      <c r="A44" s="28">
        <v>40</v>
      </c>
      <c r="B44" s="18" t="s">
        <v>149</v>
      </c>
      <c r="C44" s="19" t="s">
        <v>150</v>
      </c>
      <c r="D44" s="20">
        <v>40010003</v>
      </c>
      <c r="E44" t="s">
        <v>64</v>
      </c>
    </row>
    <row r="45" spans="1:6" x14ac:dyDescent="0.2">
      <c r="A45" s="28">
        <v>41</v>
      </c>
      <c r="B45" s="18" t="s">
        <v>151</v>
      </c>
      <c r="C45" s="19" t="s">
        <v>152</v>
      </c>
      <c r="D45" s="20">
        <v>40010002</v>
      </c>
      <c r="E45" t="s">
        <v>299</v>
      </c>
    </row>
    <row r="46" spans="1:6" x14ac:dyDescent="0.2">
      <c r="A46" s="28">
        <v>42</v>
      </c>
      <c r="B46" s="18" t="s">
        <v>153</v>
      </c>
      <c r="C46" s="19" t="s">
        <v>154</v>
      </c>
      <c r="D46" s="20">
        <v>40030022</v>
      </c>
      <c r="E46" t="s">
        <v>61</v>
      </c>
    </row>
    <row r="47" spans="1:6" x14ac:dyDescent="0.2">
      <c r="A47" s="28">
        <v>43</v>
      </c>
      <c r="B47" s="18" t="s">
        <v>155</v>
      </c>
      <c r="C47" s="19" t="s">
        <v>156</v>
      </c>
      <c r="D47" s="20">
        <v>40010003</v>
      </c>
      <c r="E47" t="s">
        <v>64</v>
      </c>
    </row>
    <row r="48" spans="1:6" x14ac:dyDescent="0.2">
      <c r="A48" s="28">
        <v>44</v>
      </c>
      <c r="B48" s="18" t="s">
        <v>157</v>
      </c>
      <c r="C48" s="19" t="s">
        <v>158</v>
      </c>
      <c r="D48" s="20">
        <v>40010003</v>
      </c>
      <c r="E48" t="s">
        <v>64</v>
      </c>
    </row>
    <row r="49" spans="1:6" x14ac:dyDescent="0.2">
      <c r="A49" s="28">
        <v>45</v>
      </c>
      <c r="B49" s="18" t="s">
        <v>159</v>
      </c>
      <c r="C49" s="19" t="s">
        <v>160</v>
      </c>
      <c r="D49" s="20">
        <v>40010003</v>
      </c>
      <c r="E49" t="s">
        <v>64</v>
      </c>
    </row>
    <row r="50" spans="1:6" x14ac:dyDescent="0.2">
      <c r="A50" s="28">
        <v>46</v>
      </c>
      <c r="B50" s="18" t="s">
        <v>161</v>
      </c>
      <c r="C50" s="19" t="s">
        <v>162</v>
      </c>
      <c r="D50" s="20">
        <v>40020001</v>
      </c>
      <c r="E50" t="s">
        <v>163</v>
      </c>
    </row>
    <row r="51" spans="1:6" x14ac:dyDescent="0.2">
      <c r="A51" s="28">
        <v>47</v>
      </c>
      <c r="B51" s="18" t="s">
        <v>164</v>
      </c>
      <c r="C51" s="19" t="s">
        <v>165</v>
      </c>
      <c r="D51" s="20">
        <v>40020001</v>
      </c>
      <c r="E51" t="s">
        <v>163</v>
      </c>
    </row>
    <row r="52" spans="1:6" x14ac:dyDescent="0.2">
      <c r="A52" s="28">
        <v>48</v>
      </c>
      <c r="B52" s="18" t="s">
        <v>166</v>
      </c>
      <c r="C52" s="19" t="s">
        <v>167</v>
      </c>
      <c r="D52" s="20">
        <v>40030006</v>
      </c>
      <c r="E52" t="s">
        <v>137</v>
      </c>
    </row>
    <row r="53" spans="1:6" x14ac:dyDescent="0.2">
      <c r="A53" s="28">
        <v>49</v>
      </c>
      <c r="B53" s="18" t="s">
        <v>168</v>
      </c>
      <c r="C53" s="19" t="s">
        <v>169</v>
      </c>
      <c r="D53" s="20">
        <v>40030006</v>
      </c>
      <c r="E53" t="s">
        <v>137</v>
      </c>
    </row>
    <row r="54" spans="1:6" x14ac:dyDescent="0.2">
      <c r="A54" s="28">
        <v>50</v>
      </c>
      <c r="B54" s="18" t="s">
        <v>170</v>
      </c>
      <c r="C54" s="19" t="s">
        <v>171</v>
      </c>
      <c r="D54" s="20">
        <v>40030006</v>
      </c>
      <c r="E54" t="s">
        <v>137</v>
      </c>
    </row>
    <row r="55" spans="1:6" x14ac:dyDescent="0.2">
      <c r="A55" s="28">
        <v>51</v>
      </c>
      <c r="B55" s="18" t="s">
        <v>172</v>
      </c>
      <c r="C55" s="19" t="s">
        <v>173</v>
      </c>
      <c r="D55" s="20">
        <v>40010010</v>
      </c>
      <c r="E55" t="s">
        <v>174</v>
      </c>
    </row>
    <row r="56" spans="1:6" x14ac:dyDescent="0.2">
      <c r="A56" s="28">
        <v>52</v>
      </c>
      <c r="B56" s="18" t="s">
        <v>175</v>
      </c>
      <c r="C56" s="19" t="s">
        <v>176</v>
      </c>
      <c r="D56" s="20">
        <v>40010003</v>
      </c>
      <c r="E56" t="s">
        <v>64</v>
      </c>
    </row>
    <row r="57" spans="1:6" x14ac:dyDescent="0.2">
      <c r="A57" s="28">
        <v>53</v>
      </c>
      <c r="B57" s="18" t="s">
        <v>177</v>
      </c>
      <c r="C57" s="19" t="s">
        <v>178</v>
      </c>
      <c r="D57" s="20">
        <v>40010003</v>
      </c>
      <c r="E57" t="s">
        <v>64</v>
      </c>
    </row>
    <row r="58" spans="1:6" x14ac:dyDescent="0.2">
      <c r="A58" s="28">
        <v>54</v>
      </c>
      <c r="B58" s="18" t="s">
        <v>179</v>
      </c>
      <c r="C58" s="19" t="s">
        <v>180</v>
      </c>
      <c r="D58" s="20">
        <v>40040006</v>
      </c>
      <c r="E58" t="s">
        <v>181</v>
      </c>
    </row>
    <row r="59" spans="1:6" x14ac:dyDescent="0.2">
      <c r="A59" s="28">
        <v>55</v>
      </c>
      <c r="B59" s="18" t="s">
        <v>182</v>
      </c>
      <c r="C59" s="19" t="s">
        <v>183</v>
      </c>
      <c r="D59" s="20">
        <v>40010003</v>
      </c>
      <c r="E59" t="s">
        <v>64</v>
      </c>
    </row>
    <row r="60" spans="1:6" x14ac:dyDescent="0.2">
      <c r="A60" s="28">
        <v>56</v>
      </c>
      <c r="B60" s="18" t="s">
        <v>184</v>
      </c>
      <c r="C60" s="19" t="s">
        <v>185</v>
      </c>
      <c r="D60" s="20">
        <v>40010003</v>
      </c>
      <c r="E60" t="s">
        <v>64</v>
      </c>
    </row>
    <row r="61" spans="1:6" x14ac:dyDescent="0.2">
      <c r="A61" s="28">
        <v>57</v>
      </c>
      <c r="B61" s="18" t="s">
        <v>186</v>
      </c>
      <c r="C61" s="19" t="s">
        <v>187</v>
      </c>
      <c r="D61" s="20">
        <v>40030023</v>
      </c>
      <c r="E61" t="s">
        <v>82</v>
      </c>
    </row>
    <row r="62" spans="1:6" s="23" customFormat="1" ht="15" x14ac:dyDescent="0.25">
      <c r="A62" s="28">
        <v>58</v>
      </c>
      <c r="B62" s="18" t="s">
        <v>188</v>
      </c>
      <c r="C62" s="19" t="s">
        <v>189</v>
      </c>
      <c r="D62" s="20">
        <v>40010003</v>
      </c>
      <c r="E62" t="s">
        <v>64</v>
      </c>
      <c r="F62"/>
    </row>
    <row r="63" spans="1:6" x14ac:dyDescent="0.2">
      <c r="A63" s="28">
        <v>59</v>
      </c>
      <c r="B63" s="18" t="s">
        <v>190</v>
      </c>
      <c r="C63" s="19" t="s">
        <v>191</v>
      </c>
      <c r="D63" s="20">
        <v>40010003</v>
      </c>
      <c r="E63" t="s">
        <v>64</v>
      </c>
    </row>
    <row r="64" spans="1:6" x14ac:dyDescent="0.2">
      <c r="A64" s="28">
        <v>60</v>
      </c>
      <c r="B64" s="18" t="s">
        <v>192</v>
      </c>
      <c r="C64" s="19" t="s">
        <v>193</v>
      </c>
      <c r="D64" s="20">
        <v>40010003</v>
      </c>
      <c r="E64" t="s">
        <v>64</v>
      </c>
    </row>
    <row r="65" spans="1:6" ht="15" x14ac:dyDescent="0.25">
      <c r="A65" s="28">
        <v>61</v>
      </c>
      <c r="B65" s="18" t="s">
        <v>194</v>
      </c>
      <c r="C65" s="19" t="s">
        <v>195</v>
      </c>
      <c r="D65" s="20">
        <v>40010003</v>
      </c>
      <c r="E65" t="s">
        <v>64</v>
      </c>
      <c r="F65" s="23"/>
    </row>
    <row r="66" spans="1:6" x14ac:dyDescent="0.2">
      <c r="A66" s="28">
        <v>62</v>
      </c>
      <c r="B66" s="18" t="s">
        <v>196</v>
      </c>
      <c r="C66" s="19" t="s">
        <v>197</v>
      </c>
      <c r="D66" s="20">
        <v>40010003</v>
      </c>
      <c r="E66" t="s">
        <v>64</v>
      </c>
    </row>
    <row r="67" spans="1:6" x14ac:dyDescent="0.2">
      <c r="A67" s="28">
        <v>63</v>
      </c>
      <c r="B67" s="18" t="s">
        <v>198</v>
      </c>
      <c r="C67" s="19" t="s">
        <v>199</v>
      </c>
      <c r="D67" s="20">
        <v>40010003</v>
      </c>
      <c r="E67" t="s">
        <v>64</v>
      </c>
    </row>
    <row r="68" spans="1:6" x14ac:dyDescent="0.2">
      <c r="A68" s="28">
        <v>64</v>
      </c>
      <c r="B68" s="18" t="s">
        <v>200</v>
      </c>
      <c r="C68" s="19" t="s">
        <v>201</v>
      </c>
      <c r="D68" s="20">
        <v>40030023</v>
      </c>
      <c r="E68" t="s">
        <v>82</v>
      </c>
    </row>
    <row r="69" spans="1:6" x14ac:dyDescent="0.2">
      <c r="A69" s="28">
        <v>65</v>
      </c>
      <c r="B69" s="18" t="s">
        <v>202</v>
      </c>
      <c r="C69" s="19" t="s">
        <v>203</v>
      </c>
      <c r="D69" s="20">
        <v>40030023</v>
      </c>
      <c r="E69" t="s">
        <v>82</v>
      </c>
    </row>
    <row r="70" spans="1:6" x14ac:dyDescent="0.2">
      <c r="A70" s="28">
        <v>66</v>
      </c>
      <c r="B70" s="18" t="s">
        <v>204</v>
      </c>
      <c r="C70" s="19" t="s">
        <v>205</v>
      </c>
      <c r="D70" s="20">
        <v>40030023</v>
      </c>
      <c r="E70" t="s">
        <v>82</v>
      </c>
    </row>
    <row r="71" spans="1:6" x14ac:dyDescent="0.2">
      <c r="A71" s="28">
        <v>67</v>
      </c>
      <c r="B71" s="18" t="s">
        <v>206</v>
      </c>
      <c r="C71" s="19" t="s">
        <v>207</v>
      </c>
      <c r="D71" s="20">
        <v>40010003</v>
      </c>
      <c r="E71" t="s">
        <v>64</v>
      </c>
    </row>
    <row r="72" spans="1:6" x14ac:dyDescent="0.2">
      <c r="A72" s="28">
        <v>68</v>
      </c>
      <c r="B72" s="18" t="s">
        <v>208</v>
      </c>
      <c r="C72" s="19" t="s">
        <v>209</v>
      </c>
      <c r="D72" s="20">
        <v>40030023</v>
      </c>
      <c r="E72" t="s">
        <v>82</v>
      </c>
    </row>
    <row r="73" spans="1:6" x14ac:dyDescent="0.2">
      <c r="A73" s="28">
        <v>69</v>
      </c>
      <c r="B73" s="18" t="s">
        <v>210</v>
      </c>
      <c r="C73" s="19" t="s">
        <v>211</v>
      </c>
      <c r="D73" s="20">
        <v>40010003</v>
      </c>
      <c r="E73" t="s">
        <v>64</v>
      </c>
    </row>
    <row r="74" spans="1:6" x14ac:dyDescent="0.2">
      <c r="A74" s="28">
        <v>70</v>
      </c>
      <c r="B74" s="18" t="s">
        <v>212</v>
      </c>
      <c r="C74" s="19" t="s">
        <v>213</v>
      </c>
      <c r="D74" s="20">
        <v>40030023</v>
      </c>
      <c r="E74" t="s">
        <v>82</v>
      </c>
    </row>
    <row r="75" spans="1:6" x14ac:dyDescent="0.2">
      <c r="A75" s="28">
        <v>71</v>
      </c>
      <c r="B75" s="18" t="s">
        <v>214</v>
      </c>
      <c r="C75" s="19" t="s">
        <v>215</v>
      </c>
      <c r="D75" s="20">
        <v>40010003</v>
      </c>
      <c r="E75" t="s">
        <v>64</v>
      </c>
    </row>
    <row r="76" spans="1:6" x14ac:dyDescent="0.2">
      <c r="A76" s="28">
        <v>72</v>
      </c>
      <c r="B76" s="18" t="s">
        <v>216</v>
      </c>
      <c r="C76" s="19" t="s">
        <v>217</v>
      </c>
      <c r="D76" s="20">
        <v>40030023</v>
      </c>
      <c r="E76" t="s">
        <v>82</v>
      </c>
    </row>
    <row r="77" spans="1:6" x14ac:dyDescent="0.2">
      <c r="A77" s="28">
        <v>73</v>
      </c>
      <c r="B77" s="18" t="s">
        <v>218</v>
      </c>
      <c r="C77" s="19" t="s">
        <v>219</v>
      </c>
    </row>
    <row r="78" spans="1:6" x14ac:dyDescent="0.2">
      <c r="A78" s="28">
        <v>74</v>
      </c>
      <c r="B78" s="18" t="s">
        <v>220</v>
      </c>
      <c r="C78" s="19" t="s">
        <v>221</v>
      </c>
    </row>
    <row r="79" spans="1:6" x14ac:dyDescent="0.2">
      <c r="A79" s="28">
        <v>75</v>
      </c>
      <c r="B79" s="18" t="s">
        <v>222</v>
      </c>
      <c r="C79" s="19" t="s">
        <v>223</v>
      </c>
      <c r="D79" s="20">
        <v>40010003</v>
      </c>
      <c r="E79" t="s">
        <v>64</v>
      </c>
    </row>
    <row r="80" spans="1:6" x14ac:dyDescent="0.2">
      <c r="A80" s="28">
        <v>76</v>
      </c>
      <c r="B80" s="18" t="s">
        <v>224</v>
      </c>
      <c r="C80" s="19" t="s">
        <v>225</v>
      </c>
      <c r="D80" s="20">
        <v>40010003</v>
      </c>
      <c r="E80" t="s">
        <v>64</v>
      </c>
    </row>
    <row r="81" spans="1:6" x14ac:dyDescent="0.2">
      <c r="A81" s="28">
        <v>77</v>
      </c>
      <c r="B81" s="18" t="s">
        <v>226</v>
      </c>
      <c r="C81" s="19" t="s">
        <v>227</v>
      </c>
      <c r="D81" s="20">
        <v>40010003</v>
      </c>
      <c r="E81" t="s">
        <v>64</v>
      </c>
    </row>
    <row r="82" spans="1:6" x14ac:dyDescent="0.2">
      <c r="A82" s="28">
        <v>78</v>
      </c>
      <c r="B82" s="18" t="s">
        <v>228</v>
      </c>
      <c r="C82" s="19" t="s">
        <v>229</v>
      </c>
      <c r="D82" s="20">
        <v>40010003</v>
      </c>
      <c r="E82" t="s">
        <v>64</v>
      </c>
    </row>
    <row r="83" spans="1:6" x14ac:dyDescent="0.2">
      <c r="A83" s="28">
        <v>79</v>
      </c>
      <c r="B83" s="18" t="s">
        <v>230</v>
      </c>
      <c r="C83" s="19" t="s">
        <v>231</v>
      </c>
      <c r="D83" s="20">
        <v>40010003</v>
      </c>
      <c r="E83" t="s">
        <v>64</v>
      </c>
    </row>
    <row r="84" spans="1:6" x14ac:dyDescent="0.2">
      <c r="A84" s="28">
        <v>80</v>
      </c>
      <c r="B84" s="18" t="s">
        <v>232</v>
      </c>
      <c r="C84" s="19" t="s">
        <v>233</v>
      </c>
      <c r="D84" s="20">
        <v>40010003</v>
      </c>
      <c r="E84" t="s">
        <v>64</v>
      </c>
    </row>
    <row r="85" spans="1:6" x14ac:dyDescent="0.2">
      <c r="A85" s="28">
        <v>81</v>
      </c>
      <c r="B85" s="18" t="s">
        <v>234</v>
      </c>
      <c r="C85" s="19" t="s">
        <v>235</v>
      </c>
      <c r="D85" s="20">
        <v>40010003</v>
      </c>
      <c r="E85" t="s">
        <v>64</v>
      </c>
    </row>
    <row r="86" spans="1:6" x14ac:dyDescent="0.2">
      <c r="A86" s="28">
        <v>82</v>
      </c>
      <c r="B86" s="18" t="s">
        <v>236</v>
      </c>
      <c r="C86" s="19" t="s">
        <v>237</v>
      </c>
      <c r="D86" s="20">
        <v>40010003</v>
      </c>
      <c r="E86" t="s">
        <v>64</v>
      </c>
    </row>
    <row r="87" spans="1:6" x14ac:dyDescent="0.2">
      <c r="A87" s="28">
        <v>83</v>
      </c>
      <c r="B87" s="18" t="s">
        <v>238</v>
      </c>
      <c r="C87" s="19" t="s">
        <v>239</v>
      </c>
      <c r="D87" s="20">
        <v>40010003</v>
      </c>
      <c r="E87" t="s">
        <v>64</v>
      </c>
    </row>
    <row r="88" spans="1:6" x14ac:dyDescent="0.2">
      <c r="A88" s="28">
        <v>84</v>
      </c>
      <c r="B88" s="18" t="s">
        <v>240</v>
      </c>
      <c r="C88" s="19" t="s">
        <v>241</v>
      </c>
      <c r="D88" s="20">
        <v>40030023</v>
      </c>
      <c r="E88" t="s">
        <v>82</v>
      </c>
    </row>
    <row r="89" spans="1:6" x14ac:dyDescent="0.2">
      <c r="A89" s="28" t="s">
        <v>242</v>
      </c>
      <c r="B89" s="18" t="s">
        <v>243</v>
      </c>
      <c r="C89" s="19" t="s">
        <v>244</v>
      </c>
      <c r="D89" s="20">
        <v>40030022</v>
      </c>
      <c r="E89" t="s">
        <v>82</v>
      </c>
      <c r="F89" t="s">
        <v>245</v>
      </c>
    </row>
    <row r="90" spans="1:6" x14ac:dyDescent="0.2">
      <c r="A90" s="28" t="s">
        <v>246</v>
      </c>
      <c r="B90" s="18" t="s">
        <v>243</v>
      </c>
      <c r="C90" s="19" t="s">
        <v>244</v>
      </c>
      <c r="D90" s="20">
        <v>40010002</v>
      </c>
      <c r="E90" t="s">
        <v>247</v>
      </c>
      <c r="F90" t="s">
        <v>248</v>
      </c>
    </row>
    <row r="91" spans="1:6" ht="15" x14ac:dyDescent="0.25">
      <c r="A91" s="28">
        <v>86</v>
      </c>
      <c r="B91" s="21" t="s">
        <v>249</v>
      </c>
      <c r="C91" s="22" t="s">
        <v>250</v>
      </c>
      <c r="D91" s="20">
        <v>40030023</v>
      </c>
    </row>
    <row r="92" spans="1:6" ht="15" x14ac:dyDescent="0.25">
      <c r="A92" s="28">
        <v>87</v>
      </c>
      <c r="B92" s="25" t="s">
        <v>251</v>
      </c>
      <c r="C92" s="26" t="s">
        <v>252</v>
      </c>
      <c r="D92" s="20">
        <v>40030023</v>
      </c>
    </row>
    <row r="93" spans="1:6" ht="15" x14ac:dyDescent="0.25">
      <c r="A93" s="28">
        <v>88</v>
      </c>
      <c r="B93" s="25" t="s">
        <v>253</v>
      </c>
      <c r="C93" s="26" t="s">
        <v>254</v>
      </c>
    </row>
    <row r="94" spans="1:6" ht="15" x14ac:dyDescent="0.25">
      <c r="A94" s="28">
        <v>89</v>
      </c>
      <c r="B94" s="25" t="s">
        <v>255</v>
      </c>
      <c r="C94" s="26" t="s">
        <v>256</v>
      </c>
      <c r="D94" s="20">
        <v>40030023</v>
      </c>
    </row>
    <row r="95" spans="1:6" ht="15" x14ac:dyDescent="0.25">
      <c r="A95" s="28">
        <v>90</v>
      </c>
      <c r="B95" s="25" t="s">
        <v>257</v>
      </c>
      <c r="C95" s="26" t="s">
        <v>258</v>
      </c>
      <c r="D95" s="20">
        <v>40030023</v>
      </c>
      <c r="E95" t="s">
        <v>82</v>
      </c>
    </row>
    <row r="96" spans="1:6" ht="15" x14ac:dyDescent="0.25">
      <c r="A96" s="28">
        <v>91</v>
      </c>
      <c r="B96" s="25" t="s">
        <v>259</v>
      </c>
      <c r="C96" s="26" t="s">
        <v>260</v>
      </c>
      <c r="D96" s="20">
        <v>40030023</v>
      </c>
    </row>
    <row r="97" spans="1:5" ht="15" x14ac:dyDescent="0.25">
      <c r="A97" s="28">
        <v>92</v>
      </c>
      <c r="B97" s="25" t="s">
        <v>261</v>
      </c>
      <c r="C97" s="26" t="s">
        <v>262</v>
      </c>
      <c r="D97" s="20">
        <v>40010003</v>
      </c>
    </row>
    <row r="98" spans="1:5" ht="15" x14ac:dyDescent="0.25">
      <c r="A98" s="28">
        <v>93</v>
      </c>
      <c r="B98" s="25" t="s">
        <v>263</v>
      </c>
      <c r="C98" s="26" t="s">
        <v>264</v>
      </c>
      <c r="D98" s="20">
        <v>40010003</v>
      </c>
    </row>
    <row r="99" spans="1:5" ht="15" x14ac:dyDescent="0.25">
      <c r="A99" s="28">
        <v>94</v>
      </c>
      <c r="B99" s="25" t="s">
        <v>265</v>
      </c>
      <c r="C99" s="26" t="s">
        <v>266</v>
      </c>
      <c r="D99" s="20">
        <v>40010003</v>
      </c>
    </row>
    <row r="100" spans="1:5" ht="15" x14ac:dyDescent="0.25">
      <c r="A100" s="28">
        <v>95</v>
      </c>
      <c r="B100" s="25" t="s">
        <v>267</v>
      </c>
      <c r="C100" s="26" t="s">
        <v>268</v>
      </c>
      <c r="D100" s="20">
        <v>40010003</v>
      </c>
    </row>
    <row r="101" spans="1:5" ht="15" x14ac:dyDescent="0.25">
      <c r="A101" s="28">
        <v>96</v>
      </c>
      <c r="B101" s="25" t="s">
        <v>269</v>
      </c>
      <c r="C101" s="26" t="s">
        <v>270</v>
      </c>
      <c r="D101" s="27">
        <v>40030017</v>
      </c>
    </row>
    <row r="102" spans="1:5" ht="15" x14ac:dyDescent="0.25">
      <c r="A102" s="28">
        <v>97</v>
      </c>
      <c r="B102" s="25" t="s">
        <v>271</v>
      </c>
      <c r="C102" s="26" t="s">
        <v>272</v>
      </c>
    </row>
    <row r="103" spans="1:5" x14ac:dyDescent="0.2">
      <c r="A103" s="28">
        <v>98</v>
      </c>
      <c r="B103" s="18" t="s">
        <v>273</v>
      </c>
      <c r="C103" s="19" t="s">
        <v>274</v>
      </c>
      <c r="D103" s="20">
        <v>40050021</v>
      </c>
      <c r="E103" t="s">
        <v>275</v>
      </c>
    </row>
    <row r="104" spans="1:5" x14ac:dyDescent="0.2">
      <c r="A104" s="28">
        <v>99</v>
      </c>
      <c r="B104" s="18" t="s">
        <v>276</v>
      </c>
      <c r="C104" s="19" t="s">
        <v>277</v>
      </c>
      <c r="D104" s="20">
        <v>40040001</v>
      </c>
      <c r="E104" t="s">
        <v>278</v>
      </c>
    </row>
    <row r="105" spans="1:5" x14ac:dyDescent="0.2">
      <c r="A105" s="33">
        <v>100</v>
      </c>
      <c r="B105" s="20" t="s">
        <v>279</v>
      </c>
      <c r="C105" t="s">
        <v>280</v>
      </c>
      <c r="D105" s="20" t="s">
        <v>281</v>
      </c>
      <c r="E105" t="s">
        <v>282</v>
      </c>
    </row>
    <row r="106" spans="1:5" x14ac:dyDescent="0.2">
      <c r="A106" s="33">
        <v>101</v>
      </c>
      <c r="B106" s="20" t="s">
        <v>283</v>
      </c>
      <c r="C106" t="s">
        <v>284</v>
      </c>
      <c r="D106" s="20" t="s">
        <v>285</v>
      </c>
    </row>
    <row r="107" spans="1:5" ht="15" x14ac:dyDescent="0.25">
      <c r="D107" s="27"/>
    </row>
  </sheetData>
  <autoFilter ref="A1:F106" xr:uid="{820C02FB-E6D9-42D2-81E0-E998DEDCAF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2751-D772-439B-8AFB-208D7B23D931}">
  <dimension ref="A2:A3"/>
  <sheetViews>
    <sheetView workbookViewId="0">
      <selection activeCell="F13" sqref="F13"/>
    </sheetView>
  </sheetViews>
  <sheetFormatPr defaultRowHeight="12.75" x14ac:dyDescent="0.2"/>
  <sheetData>
    <row r="2" spans="1:1" x14ac:dyDescent="0.2">
      <c r="A2" s="1" t="s">
        <v>341</v>
      </c>
    </row>
    <row r="3" spans="1:1" x14ac:dyDescent="0.2">
      <c r="A3" s="1" t="s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EFC4C62C73E341AE470D55FF017973" ma:contentTypeVersion="14" ma:contentTypeDescription="Creare un nuovo documento." ma:contentTypeScope="" ma:versionID="e2a9dfc757308fdfd7481b7f5ed59060">
  <xsd:schema xmlns:xsd="http://www.w3.org/2001/XMLSchema" xmlns:xs="http://www.w3.org/2001/XMLSchema" xmlns:p="http://schemas.microsoft.com/office/2006/metadata/properties" xmlns:ns2="c47e9452-1e05-4868-9d41-4e456a959453" xmlns:ns3="7f49b8c5-473d-4dcd-bb22-8b98212e2f28" targetNamespace="http://schemas.microsoft.com/office/2006/metadata/properties" ma:root="true" ma:fieldsID="90859e7d8808c8241e6f62dca9f22f1b" ns2:_="" ns3:_="">
    <xsd:import namespace="c47e9452-1e05-4868-9d41-4e456a959453"/>
    <xsd:import namespace="7f49b8c5-473d-4dcd-bb22-8b98212e2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e9452-1e05-4868-9d41-4e456a959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afca0ef-3383-442c-ab8a-3462c2436b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9b8c5-473d-4dcd-bb22-8b98212e2f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6c6581-9f69-499d-9077-5ff7176a52c1}" ma:internalName="TaxCatchAll" ma:showField="CatchAllData" ma:web="7f49b8c5-473d-4dcd-bb22-8b98212e2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49b8c5-473d-4dcd-bb22-8b98212e2f28" xsi:nil="true"/>
    <lcf76f155ced4ddcb4097134ff3c332f xmlns="c47e9452-1e05-4868-9d41-4e456a9594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459B4-2CF7-4D57-B799-DAD56C9FC87E}"/>
</file>

<file path=customXml/itemProps2.xml><?xml version="1.0" encoding="utf-8"?>
<ds:datastoreItem xmlns:ds="http://schemas.openxmlformats.org/officeDocument/2006/customXml" ds:itemID="{D83965F0-CEFB-4D33-9E86-3D0FE513217B}"/>
</file>

<file path=customXml/itemProps3.xml><?xml version="1.0" encoding="utf-8"?>
<ds:datastoreItem xmlns:ds="http://schemas.openxmlformats.org/officeDocument/2006/customXml" ds:itemID="{8CC0D440-6806-471D-B88B-46FC12EDC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6</vt:i4>
      </vt:variant>
    </vt:vector>
  </HeadingPairs>
  <TitlesOfParts>
    <vt:vector size="10" baseType="lpstr">
      <vt:lpstr>RDA</vt:lpstr>
      <vt:lpstr>Esempio RDA</vt:lpstr>
      <vt:lpstr>Vdc</vt:lpstr>
      <vt:lpstr>Elenchi</vt:lpstr>
      <vt:lpstr>'Esempio RDA'!Area_stampa</vt:lpstr>
      <vt:lpstr>RDA!Area_stampa</vt:lpstr>
      <vt:lpstr>'Esempio RDA'!Titoli_stampa</vt:lpstr>
      <vt:lpstr>RDA!Titoli_stampa</vt:lpstr>
      <vt:lpstr>VdC_Progressivo</vt:lpstr>
      <vt:lpstr>VdC_Voce_di_Budget</vt:lpstr>
    </vt:vector>
  </TitlesOfParts>
  <Company>Blue Steel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t.dalbianco</dc:creator>
  <cp:lastModifiedBy>Marco Lissoni - Tecnomont Solutions</cp:lastModifiedBy>
  <cp:lastPrinted>2025-03-21T10:38:43Z</cp:lastPrinted>
  <dcterms:created xsi:type="dcterms:W3CDTF">2006-06-12T15:51:26Z</dcterms:created>
  <dcterms:modified xsi:type="dcterms:W3CDTF">2025-03-21T10:39:29Z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0x010100D1EFC4C62C73E341AE470D55FF017973</vt:lpwstr>
  </property>
</Properties>
</file>