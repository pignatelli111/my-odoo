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10"/>
  <workbookPr defaultThemeVersion="124226"/>
  <mc:AlternateContent xmlns:mc="http://schemas.openxmlformats.org/markup-compatibility/2006">
    <mc:Choice Requires="x15">
      <x15ac:absPath xmlns:x15ac="http://schemas.microsoft.com/office/spreadsheetml/2010/11/ac" url="https://latuafinestra-my.sharepoint.com/personal/pignatelli_mrpignatelli_com/Documents/SUBURBAN SRL UNIPERSONALE/2_COMMERCIALE/2_1_PREVENTIVI/VASTINT/TORINO/P1002_25_CON/PREVENTIVO/ANALISI E PREVENTIVO/"/>
    </mc:Choice>
  </mc:AlternateContent>
  <xr:revisionPtr revIDLastSave="465" documentId="8_{A41FDBA5-DFBD-41A7-9CDA-BA3EA3FB6603}" xr6:coauthVersionLast="47" xr6:coauthVersionMax="47" xr10:uidLastSave="{B7DD095D-E6D2-4B3C-9119-ADC2BA4699F4}"/>
  <bookViews>
    <workbookView xWindow="-98" yWindow="-98" windowWidth="21795" windowHeight="13875" firstSheet="1" activeTab="1" xr2:uid="{00000000-000D-0000-FFFF-FFFF00000000}"/>
  </bookViews>
  <sheets>
    <sheet name="OFFERTA" sheetId="31" r:id="rId1"/>
    <sheet name="ANACO" sheetId="12" r:id="rId2"/>
    <sheet name="ITEM" sheetId="30" r:id="rId3"/>
    <sheet name="Voci Contrattuali_SAL" sheetId="34" r:id="rId4"/>
    <sheet name="Sommario-SAL01-DIC21" sheetId="35" r:id="rId5"/>
    <sheet name="SUMMARY COSTI" sheetId="29" r:id="rId6"/>
    <sheet name="FINANZIARIO" sheetId="36" r:id="rId7"/>
    <sheet name="FINANZIARIO (2)" sheetId="38" r:id="rId8"/>
    <sheet name="Foglio2" sheetId="37" r:id="rId9"/>
  </sheets>
  <externalReferences>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s>
  <definedNames>
    <definedName name="\0">#N/A</definedName>
    <definedName name="\c">#REF!</definedName>
    <definedName name="\s">#REF!</definedName>
    <definedName name="\T">'[1]Q144A-02'!#REF!</definedName>
    <definedName name="___INT1" localSheetId="6">INT(FINANZIARIO!DUEPER)</definedName>
    <definedName name="___INT1" localSheetId="7">INT('FINANZIARIO (2)'!DUEPER)</definedName>
    <definedName name="___INT1">INT([0]!DUEPER)</definedName>
    <definedName name="__cap1">#REF!</definedName>
    <definedName name="__cap2">#REF!</definedName>
    <definedName name="__cap3">#REF!</definedName>
    <definedName name="__TOT1">#REF!</definedName>
    <definedName name="__TOT10">#REF!</definedName>
    <definedName name="__TOT11">#REF!</definedName>
    <definedName name="__tot12">#REF!</definedName>
    <definedName name="__TOT2">#REF!</definedName>
    <definedName name="__TOT3">#REF!</definedName>
    <definedName name="__TOT4">#REF!</definedName>
    <definedName name="__TOT5">#REF!</definedName>
    <definedName name="__TOT6">#REF!</definedName>
    <definedName name="__TOT7">#REF!</definedName>
    <definedName name="__TOT8">#REF!</definedName>
    <definedName name="__TOT9">#REF!</definedName>
    <definedName name="_1Excel_BuiltIn_Print_Titles_1_1_1">[2]Riassunto!#REF!</definedName>
    <definedName name="_20500">#REF!</definedName>
    <definedName name="_21300">#REF!</definedName>
    <definedName name="_21400">#REF!</definedName>
    <definedName name="_21600">#REF!</definedName>
    <definedName name="_21601">#REF!</definedName>
    <definedName name="_23400">#REF!</definedName>
    <definedName name="_24000">#REF!</definedName>
    <definedName name="_25100">#REF!</definedName>
    <definedName name="_25200">#REF!</definedName>
    <definedName name="_25700">#REF!</definedName>
    <definedName name="_26008">#REF!</definedName>
    <definedName name="_26300">#REF!</definedName>
    <definedName name="_27500">#REF!</definedName>
    <definedName name="_cap1">#REF!</definedName>
    <definedName name="_cap2">#REF!</definedName>
    <definedName name="_cap3">#REF!</definedName>
    <definedName name="_xlnm._FilterDatabase" localSheetId="1" hidden="1">ANACO!$A$11:$BW$47</definedName>
    <definedName name="_xlnm._FilterDatabase" localSheetId="3" hidden="1">'Voci Contrattuali_SAL'!$A$15:$DC$15</definedName>
    <definedName name="_INT1" localSheetId="6">INT(FINANZIARIO!DUEPER)</definedName>
    <definedName name="_INT1" localSheetId="7">INT('FINANZIARIO (2)'!DUEPER)</definedName>
    <definedName name="_INT1">INT(DUEPER)</definedName>
    <definedName name="_Parse_Out" localSheetId="2" hidden="1">#REF!</definedName>
    <definedName name="_Parse_Out" hidden="1">#REF!</definedName>
    <definedName name="_T">[1]Q144A_02!#REF!</definedName>
    <definedName name="_Toc328203711_1">#REF!</definedName>
    <definedName name="_Toc328276670_1">#REF!</definedName>
    <definedName name="_TOT1">#REF!</definedName>
    <definedName name="_TOT10">#REF!</definedName>
    <definedName name="_TOT11">#REF!</definedName>
    <definedName name="_tot12">#REF!</definedName>
    <definedName name="_TOT2">#REF!</definedName>
    <definedName name="_TOT3">#REF!</definedName>
    <definedName name="_TOT4">#REF!</definedName>
    <definedName name="_TOT5">#REF!</definedName>
    <definedName name="_TOT6">#REF!</definedName>
    <definedName name="_TOT7">#REF!</definedName>
    <definedName name="_TOT8">#REF!</definedName>
    <definedName name="_TOT9">#REF!</definedName>
    <definedName name="_WBS2">#REF!</definedName>
    <definedName name="a">'[3]Costi singoli'!#REF!</definedName>
    <definedName name="A100_INTERVENTIPREL">#REF!</definedName>
    <definedName name="A101_DEMOLIZIONI">#REF!</definedName>
    <definedName name="A102_SCAVI">#REF!</definedName>
    <definedName name="AA">#REF!</definedName>
    <definedName name="ac">#REF!</definedName>
    <definedName name="ADEGUAMENTO">'[4]FILE DATI'!#REF!</definedName>
    <definedName name="al">#REF!</definedName>
    <definedName name="all_cancello">[5]distribuzione!$B$235</definedName>
    <definedName name="all_forni">[5]distribuzione!$B$211</definedName>
    <definedName name="all_negozio">[5]distribuzione!$B$256</definedName>
    <definedName name="all_ribalta">[5]distribuzione!$B$226</definedName>
    <definedName name="all_serrande">[5]distribuzione!$B$233</definedName>
    <definedName name="all_tagliafuoco">[5]distribuzione!$B$231</definedName>
    <definedName name="Alluminio">'[3]Costi singoli'!#REF!</definedName>
    <definedName name="amp_dig">[5]interruttori!$D$31</definedName>
    <definedName name="AND">[6]Foglio1!#REF!</definedName>
    <definedName name="ANDREA">[6]Foglio1!#REF!</definedName>
    <definedName name="antenna">[5]tv!$D$3</definedName>
    <definedName name="aped">#REF!</definedName>
    <definedName name="AREA">#REF!</definedName>
    <definedName name="AREA_DI_STAMPA">#REF!</definedName>
    <definedName name="Area_stampa_MI">#REF!</definedName>
    <definedName name="area1">#REF!</definedName>
    <definedName name="area4">#REF!</definedName>
    <definedName name="areadati">#REF!</definedName>
    <definedName name="AREE">#REF!</definedName>
    <definedName name="ARR">#REF!</definedName>
    <definedName name="Arrot">#REF!</definedName>
    <definedName name="ASCENSORI">#REF!</definedName>
    <definedName name="asciugamani">[5]distribuzione!$B$213</definedName>
    <definedName name="ASS.PREF.">#REF!</definedName>
    <definedName name="assicurazione">#REF!</definedName>
    <definedName name="ASSISTENZE">#REF!</definedName>
    <definedName name="attrezzatura">#REF!</definedName>
    <definedName name="b">#REF!</definedName>
    <definedName name="BAIE.DI.CARICO">#REF!</definedName>
    <definedName name="BAR">#REF!</definedName>
    <definedName name="barra_terra">[5]terra!$D$1</definedName>
    <definedName name="BIMBI">#REF!</definedName>
    <definedName name="blindo2x25">[5]distribuzione!$B$1</definedName>
    <definedName name="blindo2x40">[5]distribuzione!$B$3</definedName>
    <definedName name="blindo4x25">[5]distribuzione!$B$5</definedName>
    <definedName name="blindo4x40">[5]distribuzione!$B$7</definedName>
    <definedName name="BOQ_PLC">'[7]Pick list'!$J$2:$J$20</definedName>
    <definedName name="C2230.">'[8]COMPUTO fondazioni'!#REF!</definedName>
    <definedName name="CA">#REF!</definedName>
    <definedName name="ca_fg7">[9]distribuzione!$A$64</definedName>
    <definedName name="ca_n07">[5]distribuzione!$A$45</definedName>
    <definedName name="CABLE">'[10]mpr-6qr'!$Z$2:$AM$99</definedName>
    <definedName name="can_100">[5]distribuzione!$B$16</definedName>
    <definedName name="can_150">[5]distribuzione!$B$14</definedName>
    <definedName name="can_200">[5]distribuzione!$B$15</definedName>
    <definedName name="can_300">[5]distribuzione!$B$12</definedName>
    <definedName name="can_400">[5]distribuzione!$B$11</definedName>
    <definedName name="can_500">[5]distribuzione!$B$13</definedName>
    <definedName name="CAN_KANALIS">[5]distribuzione!$B$207</definedName>
    <definedName name="canalina">[5]distribuzione!$A$9</definedName>
    <definedName name="cancella">[11]distribuzione!$D$16</definedName>
    <definedName name="CAP">#REF!</definedName>
    <definedName name="cap.1.01">#REF!</definedName>
    <definedName name="cap.1.02">#REF!</definedName>
    <definedName name="cap.1.03">#REF!</definedName>
    <definedName name="cap.1.04">#REF!</definedName>
    <definedName name="cap.1.05">#REF!</definedName>
    <definedName name="cap.1.06">#REF!</definedName>
    <definedName name="cap.1.07">#REF!</definedName>
    <definedName name="cap.1.07.4">#REF!</definedName>
    <definedName name="cap.1.08">#REF!</definedName>
    <definedName name="cap.1.08.1">#REF!</definedName>
    <definedName name="cap.1.08.2">#REF!</definedName>
    <definedName name="cap.1.08.3">#REF!</definedName>
    <definedName name="cap.1.08.4">#REF!</definedName>
    <definedName name="cap.1.09">#REF!</definedName>
    <definedName name="cap.1.09.1">#REF!</definedName>
    <definedName name="cap.1.09.2">#REF!</definedName>
    <definedName name="cap.1.09.3">#REF!</definedName>
    <definedName name="cap.1.09.4">#REF!</definedName>
    <definedName name="cap.1.09.5">#REF!</definedName>
    <definedName name="cap.1.09.6">#REF!</definedName>
    <definedName name="cap.1.1.1.2">#REF!</definedName>
    <definedName name="cap.1.1.1.4">#REF!</definedName>
    <definedName name="cap.1.1.1.5">#REF!</definedName>
    <definedName name="cap.1.1.1.6">#REF!</definedName>
    <definedName name="cap.1.10">#REF!</definedName>
    <definedName name="Cap.1.10.1">#REF!</definedName>
    <definedName name="Cap.1.10.2">#REF!</definedName>
    <definedName name="Cap.1.10.3">#REF!</definedName>
    <definedName name="Cap.1.10.4">#REF!</definedName>
    <definedName name="cap.1.11">#REF!</definedName>
    <definedName name="cap.1.11.1">#REF!</definedName>
    <definedName name="cap.1.11.2">#REF!</definedName>
    <definedName name="cap.1.11.3">#REF!</definedName>
    <definedName name="cap.1.11.4">#REF!</definedName>
    <definedName name="cap.1.12">#REF!</definedName>
    <definedName name="cap.1.12.1">#REF!</definedName>
    <definedName name="cap.1.12.2">#REF!</definedName>
    <definedName name="cap.1.12.3">#REF!</definedName>
    <definedName name="cap.1.12.4">#REF!</definedName>
    <definedName name="cap.1.13">#REF!</definedName>
    <definedName name="cap.1.13.1">#REF!</definedName>
    <definedName name="cap.1.13.2">#REF!</definedName>
    <definedName name="cap.1.13.3">#REF!</definedName>
    <definedName name="cap.1.13.4">#REF!</definedName>
    <definedName name="cap.1.13.5">#REF!</definedName>
    <definedName name="cap.1.14">#REF!</definedName>
    <definedName name="cap.1.14.1">#REF!</definedName>
    <definedName name="cap.1.14.2">#REF!</definedName>
    <definedName name="cap.1.15">#REF!</definedName>
    <definedName name="Cap.1.15.1">#REF!</definedName>
    <definedName name="Cap.1.15.2">#REF!</definedName>
    <definedName name="Cap.1.15.3">#REF!</definedName>
    <definedName name="Cap.1.15.4">#REF!</definedName>
    <definedName name="cap.1.16">#REF!</definedName>
    <definedName name="Cap.1.16.1">#REF!</definedName>
    <definedName name="Cap.1.16.2">#REF!</definedName>
    <definedName name="Cap.1.16.3">#REF!</definedName>
    <definedName name="cap.1.17">#REF!</definedName>
    <definedName name="cap.1.18">#REF!</definedName>
    <definedName name="cap.1.18.1">#REF!</definedName>
    <definedName name="cap.1.18.2">#REF!</definedName>
    <definedName name="cap.1.18.3">#REF!</definedName>
    <definedName name="cap.1.19">#REF!</definedName>
    <definedName name="cap.1.20">#REF!</definedName>
    <definedName name="cap.1.4">#REF!</definedName>
    <definedName name="Cap.1.7.1">'[12]#RIF'!#REF!</definedName>
    <definedName name="cap.2.01">#REF!</definedName>
    <definedName name="cap.2.02">#REF!</definedName>
    <definedName name="cap.2.03">#REF!</definedName>
    <definedName name="cap.2.04">#REF!</definedName>
    <definedName name="cap.2.05">#REF!</definedName>
    <definedName name="cap.2.06">#REF!</definedName>
    <definedName name="cap.2.07">#REF!</definedName>
    <definedName name="cap.2.08">#REF!</definedName>
    <definedName name="Cap.2.1.11">'[12]#RIF'!#REF!</definedName>
    <definedName name="cap.3">#REF!</definedName>
    <definedName name="cap.3.01">#REF!</definedName>
    <definedName name="cap.3.02">#REF!</definedName>
    <definedName name="cap.3.03">#REF!</definedName>
    <definedName name="cap.3.04">#REF!</definedName>
    <definedName name="cap.3.05">#REF!</definedName>
    <definedName name="cap.3.06">#REF!</definedName>
    <definedName name="cap.3.07">#REF!</definedName>
    <definedName name="cap.3.08">#REF!</definedName>
    <definedName name="cap.5">'[12]#RIF'!#REF!</definedName>
    <definedName name="cap1.6">#REF!</definedName>
    <definedName name="capitolo">'[13]CdC x sel. breve'!$C$2:$C$269</definedName>
    <definedName name="CARPENTERIA">#REF!</definedName>
    <definedName name="cass">#REF!</definedName>
    <definedName name="cass_2f">#REF!</definedName>
    <definedName name="cass_3f">#REF!</definedName>
    <definedName name="cass_inc">#REF!</definedName>
    <definedName name="cass_media">#REF!</definedName>
    <definedName name="cass_td">#REF!</definedName>
    <definedName name="cauzione">#REF!</definedName>
    <definedName name="cavo_cent_temp">#REF!</definedName>
    <definedName name="cavo_MT">#REF!</definedName>
    <definedName name="cavo_MT_1x70">#REF!</definedName>
    <definedName name="cavo_toroide">#REF!</definedName>
    <definedName name="CC">#REF!</definedName>
    <definedName name="ccc">#REF!</definedName>
    <definedName name="CdC">#REF!</definedName>
    <definedName name="cee_16_3p">#REF!</definedName>
    <definedName name="cee_16_5p">#REF!</definedName>
    <definedName name="cee_32_5p">#REF!</definedName>
    <definedName name="cee_63_5p">#REF!</definedName>
    <definedName name="cella_trafo">#REF!</definedName>
    <definedName name="centri_di_costo">#REF!</definedName>
    <definedName name="centri_di_costo_8">#REF!</definedName>
    <definedName name="centridicostoù">'[14]CENTRI DI COSTO'!$E$2:$E$520</definedName>
    <definedName name="CG">'[15]COST GROUPS'!$L$3:$L$298</definedName>
    <definedName name="CM">#REF!</definedName>
    <definedName name="cm_ART">[16]CM!$H$1:$H$65536</definedName>
    <definedName name="cm_IMPORTI">[16]CM!$M$1:$M$65536</definedName>
    <definedName name="cm_PUNI">[16]CM!$L$1:$L$65536</definedName>
    <definedName name="cm_QT">[16]CM!$K$1:$K$65536</definedName>
    <definedName name="cm_W.2">[16]CM!$B$1:$B$65536</definedName>
    <definedName name="cm_W.3">[16]CM!$C$1:$C$65536</definedName>
    <definedName name="cm_W.4">[16]CM!$D$1:$D$65536</definedName>
    <definedName name="cm_W.5">[16]CM!$E$1:$E$65536</definedName>
    <definedName name="cm_W.6">[16]CM!$F$1:$F$65536</definedName>
    <definedName name="cm_W.8">[16]CM!$O$1:$O$65536</definedName>
    <definedName name="cm_W0">#REF!</definedName>
    <definedName name="cm_W1">#REF!</definedName>
    <definedName name="cm_W2">#REF!</definedName>
    <definedName name="cm_W3">#REF!</definedName>
    <definedName name="cm_W4">#REF!</definedName>
    <definedName name="cm_W5">[17]CM!$G:$G</definedName>
    <definedName name="cm_W6">#REF!</definedName>
    <definedName name="cm_W7">[17]CM!$I:$I</definedName>
    <definedName name="coax_75">#REF!</definedName>
    <definedName name="cod_ascensori">'[18]1800_impianti di traslazione'!$C:$C</definedName>
    <definedName name="cod_ca">'[18]0220_opere str gettate in opera'!$C:$C</definedName>
    <definedName name="cod_cg">'[18]3100_costi generali'!$C:$C</definedName>
    <definedName name="cod_civili">'[18]0100_opere civili'!$C:$C</definedName>
    <definedName name="cod_esterni">'[18]2100_esterni'!$C:$C</definedName>
    <definedName name="cod_facciate">'[18]1100_facciate'!$C:$C</definedName>
    <definedName name="cod_prefabbricati">'[18]0210_opere str prefabbricate'!$C:$C</definedName>
    <definedName name="coef">'[19]#RIF'!#REF!</definedName>
    <definedName name="coeff">'[12]#RIF'!#REF!</definedName>
    <definedName name="comm_GE">#REF!</definedName>
    <definedName name="Comunicati">[20]Elenco!$I$3:$I$1205</definedName>
    <definedName name="con_ac_zn_10">#REF!</definedName>
    <definedName name="COND">#REF!</definedName>
    <definedName name="conglomerati">#REF!</definedName>
    <definedName name="consolidamento">#REF!</definedName>
    <definedName name="contratto">#REF!</definedName>
    <definedName name="controsoffitti">#REF!</definedName>
    <definedName name="COPERTURA">#REF!</definedName>
    <definedName name="CORDON.PAV.EST">#REF!</definedName>
    <definedName name="Costo_ora">#N/A</definedName>
    <definedName name="CPI_Cumulative">'[21]Uplift Factor Table'!$D$52</definedName>
    <definedName name="_xlnm.Criteria">#REF!</definedName>
    <definedName name="CRONOPR">#REF!</definedName>
    <definedName name="CTS">#REF!</definedName>
    <definedName name="CurrencyType">'[21]Uplift Factor Table'!$F$5</definedName>
    <definedName name="d">[22]Centrali!#REF!</definedName>
    <definedName name="d_acc">#REF!</definedName>
    <definedName name="d_all_areot">#REF!</definedName>
    <definedName name="d_all_autotr">#REF!</definedName>
    <definedName name="d_all_banco_1">#REF!</definedName>
    <definedName name="d_all_banco_2">#REF!</definedName>
    <definedName name="d_all_cancello">#REF!</definedName>
    <definedName name="d_all_forni">#REF!</definedName>
    <definedName name="d_all_negozio">#REF!</definedName>
    <definedName name="d_all_ribalta">#REF!</definedName>
    <definedName name="d_all_serrande">#REF!</definedName>
    <definedName name="d_all_tagliafuoco">#REF!</definedName>
    <definedName name="d_allacc_banchi">#REF!</definedName>
    <definedName name="d_amp_dig">#REF!</definedName>
    <definedName name="d_antenna">#REF!</definedName>
    <definedName name="d_app_stagna">#REF!</definedName>
    <definedName name="d_asciugamani">#REF!</definedName>
    <definedName name="d_barra_terra">#REF!</definedName>
    <definedName name="d_blindo2x25">#REF!</definedName>
    <definedName name="d_blindo2x40">#REF!</definedName>
    <definedName name="d_blindo4x25">#REF!</definedName>
    <definedName name="d_blindo4x40">#REF!</definedName>
    <definedName name="d_can_100">#REF!</definedName>
    <definedName name="d_can_150">#REF!</definedName>
    <definedName name="d_can_200">#REF!</definedName>
    <definedName name="d_can_300">#REF!</definedName>
    <definedName name="d_can_400">#REF!</definedName>
    <definedName name="d_can_500">#REF!</definedName>
    <definedName name="D_CAN_KANALIS">#REF!</definedName>
    <definedName name="d_cass">#REF!</definedName>
    <definedName name="d_cass_2f">#REF!</definedName>
    <definedName name="d_cass_3f">#REF!</definedName>
    <definedName name="d_cass_inc">#REF!</definedName>
    <definedName name="d_cass_td">#REF!</definedName>
    <definedName name="d_cavo_cent_temp">#REF!</definedName>
    <definedName name="d_cavo_MT_1x70">#REF!</definedName>
    <definedName name="d_cavo_toroide">#REF!</definedName>
    <definedName name="d_cee_16_3p">#REF!</definedName>
    <definedName name="d_cee_16_5p">#REF!</definedName>
    <definedName name="d_cee_32_5p">#REF!</definedName>
    <definedName name="d_cee_63_5p">#REF!</definedName>
    <definedName name="d_cella_trafo">#REF!</definedName>
    <definedName name="d_coax_75">#REF!</definedName>
    <definedName name="d_comm_GE">#REF!</definedName>
    <definedName name="d_completamento">#REF!</definedName>
    <definedName name="d_con_ac_zn_10">#REF!</definedName>
    <definedName name="d_fg7_10x1.5">#REF!</definedName>
    <definedName name="d_fg7_12x1.5">#REF!</definedName>
    <definedName name="d_fg7_1x120">#REF!</definedName>
    <definedName name="d_fg7_1x150">#REF!</definedName>
    <definedName name="d_fg7_1x185">#REF!</definedName>
    <definedName name="d_fg7_1x240">#REF!</definedName>
    <definedName name="d_fg7_1x300">#REF!</definedName>
    <definedName name="d_fg7_1x35">#REF!</definedName>
    <definedName name="d_fg7_1x50">#REF!</definedName>
    <definedName name="d_fg7_1x70">#REF!</definedName>
    <definedName name="d_fg7_1x95">#REF!</definedName>
    <definedName name="d_fg7_2x1.5">#REF!</definedName>
    <definedName name="d_fg7_2x2.5">#REF!</definedName>
    <definedName name="d_fg7_3Gx1.5">#REF!</definedName>
    <definedName name="d_fg7_3gx10">#REF!</definedName>
    <definedName name="d_FG7_3GX16">#REF!</definedName>
    <definedName name="d_fg7_3Gx2.5">#REF!</definedName>
    <definedName name="d_fg7_3Gx4">#REF!</definedName>
    <definedName name="d_fg7_3Gx6">#REF!</definedName>
    <definedName name="d_fg7_3x35_5">#REF!</definedName>
    <definedName name="d_fg7_3x50_5">#REF!</definedName>
    <definedName name="d_fg7_4x1.5">#REF!</definedName>
    <definedName name="d_fg7_4x1.5_sh">#REF!</definedName>
    <definedName name="d_fg7_4x16">#REF!</definedName>
    <definedName name="d_fg7_4x2.5">#REF!</definedName>
    <definedName name="d_fg7_4x25">#REF!</definedName>
    <definedName name="d_fg7_4x4">#REF!</definedName>
    <definedName name="d_fg7_4x6">#REF!</definedName>
    <definedName name="d_fg7_5x1.5">#REF!</definedName>
    <definedName name="d_fg7_5x10">#REF!</definedName>
    <definedName name="d_fg7_5x16">#REF!</definedName>
    <definedName name="d_fg7_5x2.5">#REF!</definedName>
    <definedName name="d_fg7_5x25">#REF!</definedName>
    <definedName name="d_fg7_5x4">#REF!</definedName>
    <definedName name="d_fg7_5x6">#REF!</definedName>
    <definedName name="d_fg7_7x1.5">#REF!</definedName>
    <definedName name="d_fus_4x20">#REF!</definedName>
    <definedName name="d_guaina_pvc">#REF!</definedName>
    <definedName name="d_guaina25">#REF!</definedName>
    <definedName name="d_guaina32">#REF!</definedName>
    <definedName name="d_guaina40">#REF!</definedName>
    <definedName name="d_handi">#REF!</definedName>
    <definedName name="d_insegna">#REF!</definedName>
    <definedName name="d_int_ap_4x2000_28KA">#REF!</definedName>
    <definedName name="d_int_enel">#REF!</definedName>
    <definedName name="d_int_mod_2x10_25KA">#REF!</definedName>
    <definedName name="d_int_mod_2x16_25KA">#REF!</definedName>
    <definedName name="d_int_mod_2x16_diff_25KA">#REF!</definedName>
    <definedName name="d_int_mod_2x40_25KA">#REF!</definedName>
    <definedName name="d_int_mod_3x16_diff_25KA">#REF!</definedName>
    <definedName name="d_int_mod_4x16_25KA">#REF!</definedName>
    <definedName name="d_int_mod_4x32_25KA">#REF!</definedName>
    <definedName name="d_int_mod_4x32_diff_25KA">#REF!</definedName>
    <definedName name="d_int_mod_4x63_diff_25KA">#REF!</definedName>
    <definedName name="d_int_mod_non_aut_40A">#REF!</definedName>
    <definedName name="d_int_non_aut_4x2500_scat">#REF!</definedName>
    <definedName name="d_int_non_aut_4x630_scat_ba">#REF!</definedName>
    <definedName name="d_int_scat_3x100__23kA_diff_reg">#REF!</definedName>
    <definedName name="d_int_scat_3x630_28kA_sgan_elet">#REF!</definedName>
    <definedName name="d_int_scat_4x160__28kA_diff_reg">#REF!</definedName>
    <definedName name="d_int_scat_4x2000_28kA_sgan_elet">#REF!</definedName>
    <definedName name="d_int_scat_4x250__28kA_diff_reg">#REF!</definedName>
    <definedName name="d_int_scat_4x400__28kA_diff_reg">#REF!</definedName>
    <definedName name="d_int_scat_4x630__28kA_diff_reg">#REF!</definedName>
    <definedName name="d_int_scat_4x630_28kA_magnet">#REF!</definedName>
    <definedName name="d_int_st">#REF!</definedName>
    <definedName name="d_int_stagno">#REF!</definedName>
    <definedName name="d_lavello">#REF!</definedName>
    <definedName name="d_macaux">#REF!</definedName>
    <definedName name="d_macch">#REF!</definedName>
    <definedName name="d_mont_gas">#REF!</definedName>
    <definedName name="d_mont_plc">#REF!</definedName>
    <definedName name="d_mot25kw">#REF!</definedName>
    <definedName name="d_mot3kw">#REF!</definedName>
    <definedName name="d_muffole">#REF!</definedName>
    <definedName name="d_mult_dig_supervis">#REF!</definedName>
    <definedName name="d_multim">#REF!</definedName>
    <definedName name="d_n07_1x120">#REF!</definedName>
    <definedName name="D_n07_1x150">#REF!</definedName>
    <definedName name="D_n07_1x16">#REF!</definedName>
    <definedName name="d_n07_1x185">#REF!</definedName>
    <definedName name="d_n07_1x2.5">#REF!</definedName>
    <definedName name="d_n07_1x240">#REF!</definedName>
    <definedName name="D_n07_1x25">#REF!</definedName>
    <definedName name="d_n07_1x300">#REF!</definedName>
    <definedName name="d_n07_1x35">#REF!</definedName>
    <definedName name="d_n07_1x4">#REF!</definedName>
    <definedName name="d_n07_1x50">#REF!</definedName>
    <definedName name="d_n07_1x6">#REF!</definedName>
    <definedName name="d_n07_1x70">#REF!</definedName>
    <definedName name="d_n07_1x95">#REF!</definedName>
    <definedName name="d_palo_7m">#REF!</definedName>
    <definedName name="d_pav_gall">#REF!</definedName>
    <definedName name="d_piatto_cu_25x3">#REF!</definedName>
    <definedName name="d_posa_rifl">#REF!</definedName>
    <definedName name="d_posaplaf_TBS300">#REF!</definedName>
    <definedName name="d_posaplaf_TMW065">#REF!</definedName>
    <definedName name="d_posaplaf2x58">#REF!</definedName>
    <definedName name="d_posaplaf4x36">#REF!</definedName>
    <definedName name="d_pozzetto_400x400">#REF!</definedName>
    <definedName name="d_presa_interbloccata">#REF!</definedName>
    <definedName name="d_presa220_16">#REF!</definedName>
    <definedName name="d_preseTv_6">#REF!</definedName>
    <definedName name="d_pulsante_sgancio">#REF!</definedName>
    <definedName name="d_quadro_MT">#REF!</definedName>
    <definedName name="d_regolazione">#REF!</definedName>
    <definedName name="d_relè_is_230_400">#REF!</definedName>
    <definedName name="d_relè_pp_2x16">#REF!</definedName>
    <definedName name="d_rf_2x1.5">#REF!</definedName>
    <definedName name="d_rf_3x1.5">#REF!</definedName>
    <definedName name="d_rf1x120">#REF!</definedName>
    <definedName name="d_rf1x70">#REF!</definedName>
    <definedName name="d_rf3x6">#REF!</definedName>
    <definedName name="d_rf4x2.5">#REF!</definedName>
    <definedName name="d_rf5x6">#REF!</definedName>
    <definedName name="d_rif_trafo_15">#REF!</definedName>
    <definedName name="d_ris_sbarre_MT">#REF!</definedName>
    <definedName name="d_scalda_tubi">#REF!</definedName>
    <definedName name="d_scaric_dist">#REF!</definedName>
    <definedName name="d_seg_lum">#REF!</definedName>
    <definedName name="d_selett_3pos">#REF!</definedName>
    <definedName name="d_serr">#REF!</definedName>
    <definedName name="d_sez_3x100">#REF!</definedName>
    <definedName name="d_sez_4x100">#REF!</definedName>
    <definedName name="d_sez_rot_stagno_4x63">#REF!</definedName>
    <definedName name="d_sezionat_4x40">#REF!</definedName>
    <definedName name="d_socc1h">#REF!</definedName>
    <definedName name="d_spine_blindo">#REF!</definedName>
    <definedName name="d_spine2x10">#REF!</definedName>
    <definedName name="d_spine2x16">#REF!</definedName>
    <definedName name="d_spine4x16">#REF!</definedName>
    <definedName name="d_ta_1600">#REF!</definedName>
    <definedName name="d_ta_200">#REF!</definedName>
    <definedName name="d_ta_2000">#REF!</definedName>
    <definedName name="d_ta_250">#REF!</definedName>
    <definedName name="d_ta_2500">#REF!</definedName>
    <definedName name="d_ta_400">#REF!</definedName>
    <definedName name="d_ta_50">#REF!</definedName>
    <definedName name="d_ta_500">#REF!</definedName>
    <definedName name="d_ta_60">#REF!</definedName>
    <definedName name="d_ta_630">#REF!</definedName>
    <definedName name="d_tagliafuoco">#REF!</definedName>
    <definedName name="d_telerutt_2x10_220V">#REF!</definedName>
    <definedName name="d_telerutt_2x20_220V">#REF!</definedName>
    <definedName name="d_telerutt_2x25_220V">#REF!</definedName>
    <definedName name="d_telerutt_2x40_220V">#REF!</definedName>
    <definedName name="d_telerutt_3x40_220V">#REF!</definedName>
    <definedName name="d_telerutt_4x20_220V">#REF!</definedName>
    <definedName name="d_telerutt_4x63_220V">#REF!</definedName>
    <definedName name="d_terminazione_MT">#REF!</definedName>
    <definedName name="d_terra_str_metalliche">#REF!</definedName>
    <definedName name="d_torre_faro">#REF!</definedName>
    <definedName name="d_trafo_1000">#REF!</definedName>
    <definedName name="d_trasf_aux_300">#REF!</definedName>
    <definedName name="d_tuacc25">#REF!</definedName>
    <definedName name="d_tuacc32">#REF!</definedName>
    <definedName name="d_tuacc40">#REF!</definedName>
    <definedName name="d_tuacc50">#REF!</definedName>
    <definedName name="d_tuacc80">#REF!</definedName>
    <definedName name="d_tub_fl_25">#REF!</definedName>
    <definedName name="d_tub_fl_32">#REF!</definedName>
    <definedName name="d_tubo_acc_zn">#REF!</definedName>
    <definedName name="d_tubo_flessibile">#REF!</definedName>
    <definedName name="d_tubo_under_100">#REF!</definedName>
    <definedName name="d_tubo_under_160">#REF!</definedName>
    <definedName name="d_tubo_under_50">#REF!</definedName>
    <definedName name="d_tubo_under_63">#REF!</definedName>
    <definedName name="d_tubo_under_80">#REF!</definedName>
    <definedName name="d_tubo_underflex_100">#REF!</definedName>
    <definedName name="d_tubo_underflex_50">#REF!</definedName>
    <definedName name="d_tubo_underflex_63">#REF!</definedName>
    <definedName name="d_tubo_underflex_80">#REF!</definedName>
    <definedName name="d_tubpl_20">[9]distribuzione!$A$175</definedName>
    <definedName name="d_tubpl_25">[9]distribuzione!$A$176</definedName>
    <definedName name="d_tubpl_32">#REF!</definedName>
    <definedName name="d_tubpl_40">#REF!</definedName>
    <definedName name="d_turnomatic">#REF!</definedName>
    <definedName name="d_us">#REF!</definedName>
    <definedName name="d_volt_dig">#REF!</definedName>
    <definedName name="DA_CHIUDERE_TUTTO">#REF!,#REF!</definedName>
    <definedName name="_xlnm.Database">#REF!</definedName>
    <definedName name="DEI">#REF!</definedName>
    <definedName name="DELTA">#REF!</definedName>
    <definedName name="demolizioni">#REF!</definedName>
    <definedName name="DUEPER" localSheetId="6">COMP*2/3*0.02</definedName>
    <definedName name="DUEPER" localSheetId="7">COMP*2/3*0.02</definedName>
    <definedName name="DUEPER">COMP*2/3*0.02</definedName>
    <definedName name="DUEPERSCRITTO" localSheetId="6">IF((FINANZIARIO!DUEPER-FINANZIARIO!_INT1)&gt;0,FINANZIARIO!_INT1+1,FINANZIARIO!_INT1)</definedName>
    <definedName name="DUEPERSCRITTO" localSheetId="7">IF(('FINANZIARIO (2)'!DUEPER-'FINANZIARIO (2)'!_INT1)&gt;0,'FINANZIARIO (2)'!_INT1+1,'FINANZIARIO (2)'!_INT1)</definedName>
    <definedName name="DUEPERSCRITTO">IF((DUEPER-_INT1)&gt;0,_INT1+1,_INT1)</definedName>
    <definedName name="durata">#REF!</definedName>
    <definedName name="e">#REF!</definedName>
    <definedName name="EDIFICIO">#REF!</definedName>
    <definedName name="edificio_17a">#REF!</definedName>
    <definedName name="edificio_17ap">#REF!</definedName>
    <definedName name="ente">#REF!</definedName>
    <definedName name="EPU">#REF!</definedName>
    <definedName name="esterne">#REF!</definedName>
    <definedName name="eu">#REF!</definedName>
    <definedName name="euro">#REF!</definedName>
    <definedName name="exc">#REF!</definedName>
    <definedName name="Excel_BuiltIn__FilterDatabase_1">#REF!</definedName>
    <definedName name="Excel_BuiltIn__FilterDatabase_3">#REF!</definedName>
    <definedName name="Excel_BuiltIn_Database">#REF!</definedName>
    <definedName name="Excel_BuiltIn_Print_Area_1_1">#REF!</definedName>
    <definedName name="Excel_BuiltIn_Print_Area_1_1_1">#REF!</definedName>
    <definedName name="Excel_BuiltIn_Print_Area_1_1_1_1">#REF!</definedName>
    <definedName name="Excel_BuiltIn_Print_Area_4">#REF!</definedName>
    <definedName name="Excel_BuiltIn_Print_Area_5">#REF!</definedName>
    <definedName name="Excel_BuiltIn_Print_Titles_1_1">#REF!</definedName>
    <definedName name="Excel_BuiltIn_Print_Titles_1_1_1">#REF!</definedName>
    <definedName name="Excel_BuiltIn_Print_Titles_5">#REF!</definedName>
    <definedName name="exchange">#REF!</definedName>
    <definedName name="_xlnm.Extract">#REF!</definedName>
    <definedName name="f107.3">#REF!</definedName>
    <definedName name="FARMACIA">#REF!</definedName>
    <definedName name="ferro">#REF!</definedName>
    <definedName name="fg7_10x1.5">#REF!</definedName>
    <definedName name="fg7_12x1.5">#REF!</definedName>
    <definedName name="fg7_12x1.5sch">#REF!</definedName>
    <definedName name="fg7_1x10">#REF!</definedName>
    <definedName name="fg7_1x120">#REF!</definedName>
    <definedName name="fg7_1x150">#REF!</definedName>
    <definedName name="fg7_1x16">#REF!</definedName>
    <definedName name="fg7_1x185">#REF!</definedName>
    <definedName name="fg7_1x240">#REF!</definedName>
    <definedName name="fg7_1x25">#REF!</definedName>
    <definedName name="fg7_1x300">#REF!</definedName>
    <definedName name="fg7_1x35">#REF!</definedName>
    <definedName name="fg7_1x50">#REF!</definedName>
    <definedName name="fg7_1x70">#REF!</definedName>
    <definedName name="fg7_1x95">#REF!</definedName>
    <definedName name="fg7_2x1.5">#REF!</definedName>
    <definedName name="fg7_2x2.5">#REF!</definedName>
    <definedName name="fg7_3x1.5">#REF!</definedName>
    <definedName name="fg7_3x10">#REF!</definedName>
    <definedName name="FG7_3X16">#REF!</definedName>
    <definedName name="fg7_3x2.5">#REF!</definedName>
    <definedName name="FG7_3X25">#REF!</definedName>
    <definedName name="fg7_3x25_5">#REF!</definedName>
    <definedName name="fg7_3x35_5">#REF!</definedName>
    <definedName name="fg7_3x4">#REF!</definedName>
    <definedName name="fg7_3x50_5">#REF!</definedName>
    <definedName name="fg7_3x6">#REF!</definedName>
    <definedName name="fg7_4x1.5">#REF!</definedName>
    <definedName name="fg7_4x1.5_sh">#REF!</definedName>
    <definedName name="fg7_4x10">#REF!</definedName>
    <definedName name="fg7_4x16">#REF!</definedName>
    <definedName name="fg7_4x2.5">#REF!</definedName>
    <definedName name="fg7_4x25">#REF!</definedName>
    <definedName name="fg7_4x4">#REF!</definedName>
    <definedName name="fg7_4x6">#REF!</definedName>
    <definedName name="fg7_5x1.5">#REF!</definedName>
    <definedName name="fg7_5x10">#REF!</definedName>
    <definedName name="fg7_5x16">#REF!</definedName>
    <definedName name="fg7_5x2.5">#REF!</definedName>
    <definedName name="fg7_5x25">#REF!</definedName>
    <definedName name="fg7_5x4">#REF!</definedName>
    <definedName name="fg7_5x6">#REF!</definedName>
    <definedName name="fg7_7x1.5">#REF!</definedName>
    <definedName name="FIORI">#REF!</definedName>
    <definedName name="FOGNATURE">#REF!</definedName>
    <definedName name="FONDAZIONISP">#REF!</definedName>
    <definedName name="FormulaPU">#REF!</definedName>
    <definedName name="Foscolo">#REF!</definedName>
    <definedName name="fus_4x20">#REF!</definedName>
    <definedName name="fus_nh100">#REF!</definedName>
    <definedName name="gestione">#REF!</definedName>
    <definedName name="Gestore">#REF!</definedName>
    <definedName name="giardinaggio">#REF!</definedName>
    <definedName name="guaina20">#REF!</definedName>
    <definedName name="guaina25">#REF!</definedName>
    <definedName name="guaina32">#REF!</definedName>
    <definedName name="guaina40">#REF!</definedName>
    <definedName name="handi">#REF!</definedName>
    <definedName name="huy">#REF!</definedName>
    <definedName name="ie">#REF!</definedName>
    <definedName name="IMPERM.COIBENT.">#REF!</definedName>
    <definedName name="IMPERM.INTERR">#REF!</definedName>
    <definedName name="impermeabilizzazione">#REF!</definedName>
    <definedName name="impianto">#REF!</definedName>
    <definedName name="importo">#REF!</definedName>
    <definedName name="INC">#REF!</definedName>
    <definedName name="infissi">#REF!</definedName>
    <definedName name="INFORMAZIONE">#REF!</definedName>
    <definedName name="InfrastructureMaintFactor">'[21]Uplift Factor Table'!$G$18</definedName>
    <definedName name="insegna">#REF!</definedName>
    <definedName name="int_ap_28KA">#REF!</definedName>
    <definedName name="int_ap_4x2000_28KA">#REF!</definedName>
    <definedName name="int_enel">#REF!</definedName>
    <definedName name="int_mod_25KA">#REF!</definedName>
    <definedName name="int_mod_2x10_25KA">#REF!</definedName>
    <definedName name="int_mod_2x16_25KA">#REF!</definedName>
    <definedName name="int_mod_2x16_diff_25KA">#REF!</definedName>
    <definedName name="int_mod_2x32_diff_25KA">#REF!</definedName>
    <definedName name="int_mod_2x40_25KA">#REF!</definedName>
    <definedName name="int_mod_3x16_diff_25KA">#REF!</definedName>
    <definedName name="int_mod_4x16_25KA">#REF!</definedName>
    <definedName name="int_mod_4x16_diff_25KA">#REF!</definedName>
    <definedName name="int_mod_4x32_25KA">#REF!</definedName>
    <definedName name="int_mod_4x32_diff_25KA">#REF!</definedName>
    <definedName name="int_mod_4x63_25KA">#REF!</definedName>
    <definedName name="int_mod_4x63_diff_25KA">#REF!</definedName>
    <definedName name="int_mod_diff_25KA">#REF!</definedName>
    <definedName name="int_mod_non_aut">#REF!</definedName>
    <definedName name="int_mod_non_aut_40A">#REF!</definedName>
    <definedName name="int_MT">#REF!</definedName>
    <definedName name="int_non_aut_4x100_scat">#REF!</definedName>
    <definedName name="int_non_aut_4x2500_scat">#REF!</definedName>
    <definedName name="int_non_aut_4x630_scat_ba">#REF!</definedName>
    <definedName name="int_non_aut_scat">#REF!</definedName>
    <definedName name="int_scat_23kA_diff_reg">#REF!</definedName>
    <definedName name="int_scat_28kA_diff_reg">#REF!</definedName>
    <definedName name="int_scat_28kA_magnet">#REF!</definedName>
    <definedName name="int_scat_28kA_sgan_elet">#REF!</definedName>
    <definedName name="int_scat_3x100__23kA_diff_reg">#REF!</definedName>
    <definedName name="int_scat_3x630_28kA_sgan_elet">#REF!</definedName>
    <definedName name="int_scat_4x160__28kA_diff_reg">#REF!</definedName>
    <definedName name="int_scat_4x2000_28kA_sgan_elet">#REF!</definedName>
    <definedName name="int_scat_4x250__28kA_diff_reg">#REF!</definedName>
    <definedName name="int_scat_4x400__28kA_diff_reg">#REF!</definedName>
    <definedName name="int_scat_4x630__28kA_diff_reg">#REF!</definedName>
    <definedName name="int_scat_4x630_28kA_magnet">#REF!</definedName>
    <definedName name="int_st">#REF!</definedName>
    <definedName name="int_stagno">#REF!</definedName>
    <definedName name="INTONACI">'[4]FILE DATI'!#REF!</definedName>
    <definedName name="is">#REF!</definedName>
    <definedName name="k">#REF!</definedName>
    <definedName name="K_ALLACCIAM">1</definedName>
    <definedName name="k_CANMET">1.3</definedName>
    <definedName name="K_CANPVC">1</definedName>
    <definedName name="K_CORPI_ILLUM">1</definedName>
    <definedName name="K_IMPIANTI">1</definedName>
    <definedName name="K_IMPIANTISTAGNI">1</definedName>
    <definedName name="K_LINEE">1</definedName>
    <definedName name="K_QUADRI">1</definedName>
    <definedName name="K_speciali">1</definedName>
    <definedName name="K_TERRA">1</definedName>
    <definedName name="K_VARIE">1</definedName>
    <definedName name="kappa">#REF!</definedName>
    <definedName name="KBLINDO">1</definedName>
    <definedName name="KCAVI">1</definedName>
    <definedName name="KCI">1</definedName>
    <definedName name="KDERN">1</definedName>
    <definedName name="KDERS">1</definedName>
    <definedName name="Keuro">1936.27</definedName>
    <definedName name="KGEN">1.0384</definedName>
    <definedName name="KIDR">1</definedName>
    <definedName name="KMAT">1</definedName>
    <definedName name="kNUM">#REF!</definedName>
    <definedName name="KPASS">1</definedName>
    <definedName name="kq">1.03</definedName>
    <definedName name="kQU">#REF!</definedName>
    <definedName name="KTEM">1</definedName>
    <definedName name="L.">#REF!</definedName>
    <definedName name="lattonerie">#REF!</definedName>
    <definedName name="lavello">#REF!</definedName>
    <definedName name="LAVORAZIONE">#REF!</definedName>
    <definedName name="lcf_ART">#REF!</definedName>
    <definedName name="lcf_IMPORTI">#REF!</definedName>
    <definedName name="lcf_PUNI">#REF!</definedName>
    <definedName name="lcf_QT">#REF!</definedName>
    <definedName name="lcf_TIT">#REF!</definedName>
    <definedName name="lcf_W6MP">#REF!</definedName>
    <definedName name="LIB.1">#REF!</definedName>
    <definedName name="LIVELLO">#REF!</definedName>
    <definedName name="macaux">#REF!</definedName>
    <definedName name="macch">#REF!</definedName>
    <definedName name="MAR">#REF!</definedName>
    <definedName name="massimo">#REF!</definedName>
    <definedName name="MAT">'[23]COSTI DIRETTI 150lux'!#REF!</definedName>
    <definedName name="MDO">'[23]COSTI DIRETTI 150lux'!#REF!</definedName>
    <definedName name="mesilav">#REF!</definedName>
    <definedName name="MI">[24]WBS!$A$2:$A$167</definedName>
    <definedName name="micropali">#REF!</definedName>
    <definedName name="MM">'[12]#RIF'!#REF!</definedName>
    <definedName name="MNOME1">"Subtot. cap. QUADRI ELETTRICI"</definedName>
    <definedName name="MNOME10">"Subtot. cap. CORPI ILLUMINANTI ILLUM. SICUREZZA"</definedName>
    <definedName name="MNOME11">"Subtot. cap. IMPIANTI SPECIALI"</definedName>
    <definedName name="MNOME12">"Subtot. cap. VARIE"</definedName>
    <definedName name="MNOME2">"Subtot. cap. LINEE DI ALIMENTAZIONE GENERALE"</definedName>
    <definedName name="MNOME3">"Subtot. cap. BLINDOLUCE"</definedName>
    <definedName name="MNOME4">"Subtot. cap. PASSERELLE, CANALI E TUBAZIONI"</definedName>
    <definedName name="MNOME5">"Subtot. cap. DERIVAZIONI DI UTILIZZO DI TIPO CIVILE"</definedName>
    <definedName name="MNOME6">"Subtot. cap. DERIVAZIONE DI UTILIZZO STAGNE"</definedName>
    <definedName name="MNOME7">"Subtot. cap. ALLACCIAMENTO UTENZE E TECNOLOGICO"</definedName>
    <definedName name="MNOME8">"Subtot. cap. IMPIANTO GENERALE DI TERRA"</definedName>
    <definedName name="MNOME9">"Subtot. cap. CORPI ILLUMINANTI ILLUM. NORMALE"</definedName>
    <definedName name="mont_gas">#REF!</definedName>
    <definedName name="mont_plc">#REF!</definedName>
    <definedName name="MonthlyPaymentFactor">'[21]Uplift Factor Table'!$G$21</definedName>
    <definedName name="MonthlyPaymentTerm">'[21]Uplift Factor Table'!$G$22</definedName>
    <definedName name="MOP">#REF!</definedName>
    <definedName name="mot25kw">#REF!</definedName>
    <definedName name="mot3kw">#REF!</definedName>
    <definedName name="mot7.5kw">#REF!</definedName>
    <definedName name="MRG">#REF!</definedName>
    <definedName name="muffole">#REF!</definedName>
    <definedName name="mult_dig_supervis">#REF!</definedName>
    <definedName name="multim">#REF!</definedName>
    <definedName name="MURATURE">#REF!</definedName>
    <definedName name="N">#REF!</definedName>
    <definedName name="n_fus_nh100">#REF!</definedName>
    <definedName name="n07_1x1.5">#REF!</definedName>
    <definedName name="n07_1x10">#REF!</definedName>
    <definedName name="n07_1x120">#REF!</definedName>
    <definedName name="n07_1x150">#REF!</definedName>
    <definedName name="n07_1x16">#REF!</definedName>
    <definedName name="n07_1x185">#REF!</definedName>
    <definedName name="n07_1x2.5">#REF!</definedName>
    <definedName name="n07_1x240">#REF!</definedName>
    <definedName name="n07_1x25">#REF!</definedName>
    <definedName name="n07_1x300">#REF!</definedName>
    <definedName name="n07_1x35">#REF!</definedName>
    <definedName name="n07_1x4">#REF!</definedName>
    <definedName name="n07_1x50">#REF!</definedName>
    <definedName name="n07_1x6">#REF!</definedName>
    <definedName name="n07_1x70">#REF!</definedName>
    <definedName name="n07_1x95">#REF!</definedName>
    <definedName name="nCap">#REF!</definedName>
    <definedName name="NEGOZI">#REF!</definedName>
    <definedName name="NEGOZIO1">'[25]Cap. riepilogo'!#REF!</definedName>
    <definedName name="NEGOZIO2">'[25]Cap. riepilogo'!#REF!</definedName>
    <definedName name="NEGOZIO3">'[25]Cap. riepilogo'!#REF!</definedName>
    <definedName name="nFine">#REF!</definedName>
    <definedName name="nInizio">#REF!</definedName>
    <definedName name="nInizRiep">#REF!</definedName>
    <definedName name="NOTES1">'[10]mpr-6qr'!$AO$1</definedName>
    <definedName name="nRiepilogo">#REF!</definedName>
    <definedName name="nuova">#REF!</definedName>
    <definedName name="oggetto">#REF!</definedName>
    <definedName name="Olimpio">#REF!</definedName>
    <definedName name="Olimpios">#REF!</definedName>
    <definedName name="omar">#REF!</definedName>
    <definedName name="omars">#REF!</definedName>
    <definedName name="onerifin">#REF!</definedName>
    <definedName name="ONR">#REF!</definedName>
    <definedName name="OP.EST.">#REF!</definedName>
    <definedName name="palo_7m">#REF!</definedName>
    <definedName name="PARAPETTI.PARACOLPI">#REF!</definedName>
    <definedName name="PARETI.MOBILI">#REF!</definedName>
    <definedName name="PARRUCCH">#REF!</definedName>
    <definedName name="pav_gall">#REF!</definedName>
    <definedName name="pavimenti">#REF!</definedName>
    <definedName name="perc_O_S">#REF!</definedName>
    <definedName name="piatto_cu_25x3">#REF!</definedName>
    <definedName name="PIPPO">#REF!</definedName>
    <definedName name="polizze">#REF!</definedName>
    <definedName name="POS">#REF!</definedName>
    <definedName name="posa_rifl">#REF!</definedName>
    <definedName name="posaplaf1x36">#REF!</definedName>
    <definedName name="posaplaf1x58">#REF!</definedName>
    <definedName name="posaplaf2x58">#REF!</definedName>
    <definedName name="posaplaf4x36">#REF!</definedName>
    <definedName name="pozzetto_400x400">#REF!</definedName>
    <definedName name="PREFABBRICATI">#REF!</definedName>
    <definedName name="presa220_16">#REF!</definedName>
    <definedName name="preseTv_6">#REF!</definedName>
    <definedName name="prezziario">#REF!</definedName>
    <definedName name="Prezzo_unit">[26]Riepilogo!#REF!</definedName>
    <definedName name="_xlnm.Print_Area" localSheetId="2">ITEM!$A$1:$Z$88</definedName>
    <definedName name="_xlnm.Print_Area" localSheetId="0">OFFERTA!$A$1:$I$254</definedName>
    <definedName name="_xlnm.Print_Area">#REF!</definedName>
    <definedName name="_xlnm.Print_Titles">#REF!</definedName>
    <definedName name="PROFUMERIA">#REF!</definedName>
    <definedName name="PROGRAM93">'[27]Program 93 Data'!$A$1:$B$150</definedName>
    <definedName name="provvisionali">#REF!</definedName>
    <definedName name="pulsante_sgancio">#REF!</definedName>
    <definedName name="qg">'[12]#RIF'!#REF!</definedName>
    <definedName name="qta_ascensori">'[18]1800_impianti di traslazione'!$F:$F</definedName>
    <definedName name="qta_ca">'[18]0220_opere str gettate in opera'!$F:$F</definedName>
    <definedName name="qta_cg">'[18]3100_costi generali'!$F:$F</definedName>
    <definedName name="qta_civili">'[18]0100_opere civili'!$F:$F</definedName>
    <definedName name="qta_esterni">'[18]2100_esterni'!$F:$F</definedName>
    <definedName name="qta_facciate">'[18]1100_facciate'!$F:$F</definedName>
    <definedName name="qta_prefabbricati">'[18]0210_opere str prefabbricate'!$F:$F</definedName>
    <definedName name="RATE">'[28]Business Plan Summary'!$C$14</definedName>
    <definedName name="rcol1">[29]Parametri!$C$13</definedName>
    <definedName name="rcol2">[29]Parametri!$C$12</definedName>
    <definedName name="rcol3">[29]Parametri!$C$11</definedName>
    <definedName name="rcor">[29]Parametri!$C$16</definedName>
    <definedName name="RDA" localSheetId="6">IF((COMP*ALIQRDA-INT(COMP*ALIQRDA))&gt;0,INT(COMP*ALIQRDA+1),COMP*ALIQRDA)</definedName>
    <definedName name="RDA" localSheetId="7">IF((COMP*ALIQRDA-INT(COMP*ALIQRDA))&gt;0,INT(COMP*ALIQRDA+1),COMP*ALIQRDA)</definedName>
    <definedName name="RDA">IF((COMP*ALIQRDA-INT(COMP*ALIQRDA))&gt;0,INT(COMP*ALIQRDA+1),COMP*ALIQRDA)</definedName>
    <definedName name="rehgwtrjyteki647e">'[25]Cap. riepilogo'!#REF!</definedName>
    <definedName name="relè_is_230_400">#REF!</definedName>
    <definedName name="relè_pp">#REF!</definedName>
    <definedName name="relè_pp_2x16">#REF!</definedName>
    <definedName name="rf_2x1.5">#REF!</definedName>
    <definedName name="rf_2x2.5">#REF!</definedName>
    <definedName name="rf_3x1.5">#REF!</definedName>
    <definedName name="rf1x120">#REF!</definedName>
    <definedName name="rf1x150">#REF!</definedName>
    <definedName name="rf1x240">#REF!</definedName>
    <definedName name="rf1x300">#REF!</definedName>
    <definedName name="rf1x70">#REF!</definedName>
    <definedName name="rf3x6">#REF!</definedName>
    <definedName name="rf4x1.5">#REF!</definedName>
    <definedName name="rf4x2.5">#REF!</definedName>
    <definedName name="rf5x1.5">#REF!</definedName>
    <definedName name="rf5x6">#REF!</definedName>
    <definedName name="ri">#REF!</definedName>
    <definedName name="ric_bmsele">[30]Riassunto_prezzi!#REF!</definedName>
    <definedName name="ric_bmsmec">[30]Riassunto_prezzi!#REF!</definedName>
    <definedName name="ric_fire">[30]Riassunto_prezzi!#REF!</definedName>
    <definedName name="ric_TVCC">[30]Riassunto_prezzi!#REF!</definedName>
    <definedName name="ricarico">[30]Riassunto_prezzi!#REF!</definedName>
    <definedName name="ricarico_perc">[26]Riepilogo!#REF!</definedName>
    <definedName name="RICAVI">'[23]COSTI DIRETTI 150lux'!#REF!</definedName>
    <definedName name="RIEMPIMENTI">#REF!</definedName>
    <definedName name="rif_trafo_15">#REF!</definedName>
    <definedName name="ris_sbarre_MT">#REF!</definedName>
    <definedName name="rpor2">[29]Parametri!$C$15</definedName>
    <definedName name="rtra">[29]Parametri!$C$14</definedName>
    <definedName name="SA">#REF!</definedName>
    <definedName name="scalda_tubi">#REF!</definedName>
    <definedName name="scaric">#REF!</definedName>
    <definedName name="scaric_dist">#REF!</definedName>
    <definedName name="SCAVI">#REF!</definedName>
    <definedName name="sconto">#REF!</definedName>
    <definedName name="sconto5">'[31]elenco prezzi'!#REF!</definedName>
    <definedName name="SCONTOCM">#REF!</definedName>
    <definedName name="SCONTOEPU">#REF!</definedName>
    <definedName name="seg_lum">#REF!</definedName>
    <definedName name="SEGNALETICA">#REF!</definedName>
    <definedName name="serr">#REF!</definedName>
    <definedName name="SERRAMENTI">#REF!</definedName>
    <definedName name="sez_3x100">#REF!</definedName>
    <definedName name="sez_4x100">#REF!</definedName>
    <definedName name="sez_rot_stagno">#REF!</definedName>
    <definedName name="sez_rot_stagno_4x63">#REF!</definedName>
    <definedName name="sezionat">#REF!</definedName>
    <definedName name="SFM">#REF!</definedName>
    <definedName name="SG">#REF!</definedName>
    <definedName name="sge">#REF!</definedName>
    <definedName name="SGTT">#REF!</definedName>
    <definedName name="SICUREZZA">#REF!</definedName>
    <definedName name="Sigla">[20]Elenco!$A$3:$A$1205</definedName>
    <definedName name="SLX">#REF!</definedName>
    <definedName name="SMT">#REF!</definedName>
    <definedName name="socc1h">#REF!</definedName>
    <definedName name="solai">#REF!</definedName>
    <definedName name="sottofondi">#REF!</definedName>
    <definedName name="SPCOMM">#REF!</definedName>
    <definedName name="SPESE">#REF!</definedName>
    <definedName name="spine2x10">#REF!</definedName>
    <definedName name="spine4x16">#REF!</definedName>
    <definedName name="SQU">#REF!</definedName>
    <definedName name="SRF">#REF!</definedName>
    <definedName name="SRIF">#REF!</definedName>
    <definedName name="SRM">#REF!</definedName>
    <definedName name="SSP">#REF!</definedName>
    <definedName name="staff">#REF!</definedName>
    <definedName name="STD">#REF!</definedName>
    <definedName name="stima">#REF!</definedName>
    <definedName name="stradali">#REF!</definedName>
    <definedName name="strutt_qgbt">#REF!</definedName>
    <definedName name="sub15_zona_0">#REF!</definedName>
    <definedName name="sub15_zona_00">#REF!</definedName>
    <definedName name="sub15_zona_1">#REF!</definedName>
    <definedName name="sub15_zona_2">#REF!</definedName>
    <definedName name="sub15_zona_3">#REF!</definedName>
    <definedName name="sub15_zona_4">#REF!</definedName>
    <definedName name="sub15_zona_5">#REF!</definedName>
    <definedName name="sub15_zona_6">#REF!</definedName>
    <definedName name="sub15_zona_7">#REF!</definedName>
    <definedName name="sub3_zona_00">#REF!</definedName>
    <definedName name="sub3_zona_2">#REF!</definedName>
    <definedName name="sub3_zona_7">#REF!</definedName>
    <definedName name="sub4_zona_0">#REF!</definedName>
    <definedName name="sub4_zona_1">#REF!</definedName>
    <definedName name="sub4_zona_2">#REF!</definedName>
    <definedName name="sub4_zona_3">#REF!</definedName>
    <definedName name="sub4_zona_4">#REF!</definedName>
    <definedName name="sub4_zona_5">#REF!</definedName>
    <definedName name="sub4_zone_0_7">'[32]1-Cabina'!$G$293</definedName>
    <definedName name="sub5_zona_0">#REF!</definedName>
    <definedName name="sub5_zona_1">#REF!</definedName>
    <definedName name="sub5_zona_2">#REF!</definedName>
    <definedName name="sub5_zona_3">#REF!</definedName>
    <definedName name="sub5_zona_4">#REF!</definedName>
    <definedName name="sub5_zona_5">#REF!</definedName>
    <definedName name="sub5_zona_6">#REF!</definedName>
    <definedName name="sub5_zona_7">#REF!</definedName>
    <definedName name="supcop">#REF!</definedName>
    <definedName name="supcop2">'[33]Comp. 1° vers.'!$D$10</definedName>
    <definedName name="SUPCOPERT">#REF!</definedName>
    <definedName name="SUPER">#REF!</definedName>
    <definedName name="supplemento_stagno">1.3</definedName>
    <definedName name="SUPS">#REF!</definedName>
    <definedName name="supsop">#REF!</definedName>
    <definedName name="supsop3">'[33]Comp. 1° vers.'!$D$13</definedName>
    <definedName name="supsopgr">#REF!</definedName>
    <definedName name="SUPTEC">#REF!</definedName>
    <definedName name="suptot">#REF!</definedName>
    <definedName name="suptot1">#REF!</definedName>
    <definedName name="T_COSTI">'[34]PANNELLO RIEP.'!$P$49</definedName>
    <definedName name="T_COSTO_MAN">'[34]PANNELLO RIEP.'!$I$49</definedName>
    <definedName name="T_COSTO_MAT">'[34]PANNELLO RIEP.'!$E$49</definedName>
    <definedName name="T_COSTO_ON_ORE_VIAGGI">'[34]PANNELLO RIEP.'!$H$49</definedName>
    <definedName name="T_COSTO_ON_VITALLTRA">'[34]PANNELLO RIEP.'!$G$49</definedName>
    <definedName name="T_MAR_COP_FISSI">'[34]PANNELLO RIEP.'!$T$49</definedName>
    <definedName name="T_MAR_LOR">'[34]PANNELLO RIEP.'!$S$49</definedName>
    <definedName name="T_RICAVI">'[34]PANNELLO RIEP.'!$V$49</definedName>
    <definedName name="T_UTILE">'[34]PANNELLO RIEP.'!$U$49</definedName>
    <definedName name="ta">#REF!</definedName>
    <definedName name="ta_1600">#REF!</definedName>
    <definedName name="ta_200">#REF!</definedName>
    <definedName name="ta_2000">#REF!</definedName>
    <definedName name="ta_2500">#REF!</definedName>
    <definedName name="ta_400">#REF!</definedName>
    <definedName name="ta_500">#REF!</definedName>
    <definedName name="ta_60">#REF!</definedName>
    <definedName name="tagliafuoco">#REF!</definedName>
    <definedName name="telerutt_220V">#REF!</definedName>
    <definedName name="telerutt_2x20_220V">#REF!</definedName>
    <definedName name="telerutt_2x25_220V">#REF!</definedName>
    <definedName name="telerutt_2x40_220V">#REF!</definedName>
    <definedName name="telerutt_4x20_220V">#REF!</definedName>
    <definedName name="telerutt_4x63_220V">#REF!</definedName>
    <definedName name="terminazione_MT">#REF!</definedName>
    <definedName name="terra_str_metalliche">#REF!</definedName>
    <definedName name="tinteggiature">#REF!</definedName>
    <definedName name="tipo_risorsa">#REF!</definedName>
    <definedName name="TIT3.1">#REF!</definedName>
    <definedName name="TIT3.2">#REF!</definedName>
    <definedName name="TITOLO">#REF!</definedName>
    <definedName name="torre_faro">#REF!</definedName>
    <definedName name="TOT">#REF!</definedName>
    <definedName name="TOT_DIRETTI">'[23]COSTI DIRETTI 150lux'!#REF!</definedName>
    <definedName name="TOT_INDIRETTI">#REF!</definedName>
    <definedName name="TOT_O_S">#REF!</definedName>
    <definedName name="tot10_zona_4">'[32]1-Cabina'!$G$1251</definedName>
    <definedName name="tot11_zona_5">'[32]1-Cabina'!$G$1347</definedName>
    <definedName name="tot6_zona_0">'[32]1-Cabina'!$G$545</definedName>
    <definedName name="tot7_zona_1">'[32]1-Cabina'!$G$747</definedName>
    <definedName name="tot8_zona_2">'[32]1-Cabina'!$G$823</definedName>
    <definedName name="tot9_zona_3">'[32]1-Cabina'!$G$1150</definedName>
    <definedName name="trafo_1000">#REF!</definedName>
    <definedName name="trasf_aux_300">#REF!</definedName>
    <definedName name="TT">#REF!</definedName>
    <definedName name="tuacc20">#REF!</definedName>
    <definedName name="tuacc25">#REF!</definedName>
    <definedName name="tuacc40">#REF!</definedName>
    <definedName name="tuacc50">#REF!</definedName>
    <definedName name="tub_fl_25">#REF!</definedName>
    <definedName name="tub_fl_32">#REF!</definedName>
    <definedName name="tub_fl_80">#REF!</definedName>
    <definedName name="tubo_pvc_vista">[9]distribuzione!$A$174</definedName>
    <definedName name="tubo_under">#REF!</definedName>
    <definedName name="tubo_under_100">#REF!</definedName>
    <definedName name="tubo_under_160">#REF!</definedName>
    <definedName name="tubo_under_63">#REF!</definedName>
    <definedName name="tubo_under_80">#REF!</definedName>
    <definedName name="tubo_underflex_100">#REF!</definedName>
    <definedName name="tubo_underflex_63">#REF!</definedName>
    <definedName name="tubo_underflex_80">#REF!</definedName>
    <definedName name="tubpl_25">#REF!</definedName>
    <definedName name="tubpl_32">#REF!</definedName>
    <definedName name="tubpl_40">#REF!</definedName>
    <definedName name="tuflex32">'[35]tubi-guaine'!$B$42</definedName>
    <definedName name="tuflex40">'[35]tubi-guaine'!$B$43</definedName>
    <definedName name="turig40">'[35]tubi-guaine'!$B$26</definedName>
    <definedName name="turnomatic">#REF!</definedName>
    <definedName name="US">#REF!</definedName>
    <definedName name="UTILE">#REF!</definedName>
    <definedName name="VA">[6]Foglio1!#REF!</definedName>
    <definedName name="val">#REF!</definedName>
    <definedName name="VARIE">#REF!</definedName>
    <definedName name="VESPAI.SOTTOFONDI">#REF!</definedName>
    <definedName name="voce1.01.1">#REF!</definedName>
    <definedName name="voce1.01.2">#REF!</definedName>
    <definedName name="voce1.01.3">#REF!</definedName>
    <definedName name="voce1.01.4">#REF!</definedName>
    <definedName name="voce1.01.5">#REF!</definedName>
    <definedName name="voce1.01.6">#REF!</definedName>
    <definedName name="voce1.01.7">#REF!</definedName>
    <definedName name="voce1.02.1">#REF!</definedName>
    <definedName name="voce1.02.2">#REF!</definedName>
    <definedName name="voce1.02.3">#REF!</definedName>
    <definedName name="voce1.02.4">#REF!</definedName>
    <definedName name="voce1.02.5">#REF!</definedName>
    <definedName name="Voce1.03">#REF!</definedName>
    <definedName name="Voce1.04">#REF!</definedName>
    <definedName name="voce1.05.1">#REF!</definedName>
    <definedName name="voce1.05.2">#REF!</definedName>
    <definedName name="Voce1.05.3">#REF!</definedName>
    <definedName name="voce1.06.1">#REF!</definedName>
    <definedName name="voce1.06.2">#REF!</definedName>
    <definedName name="Voce1.06.3">#REF!</definedName>
    <definedName name="Voce1.06.4">#REF!</definedName>
    <definedName name="voce1.07.1">#REF!</definedName>
    <definedName name="Voce1.07.1a">#REF!</definedName>
    <definedName name="Voce1.07.1b">#REF!</definedName>
    <definedName name="Voce1.07.1c">#REF!</definedName>
    <definedName name="Voce1.07.1d">#REF!</definedName>
    <definedName name="Voce1.07.1e">#REF!</definedName>
    <definedName name="voce1.07.2">#REF!</definedName>
    <definedName name="voce1.07.3">#REF!</definedName>
    <definedName name="voce1.07.4">#REF!</definedName>
    <definedName name="voce1.08.1">#REF!</definedName>
    <definedName name="voce1.08.2">#REF!</definedName>
    <definedName name="voce1.08.3">#REF!</definedName>
    <definedName name="voce1.08.4">#REF!</definedName>
    <definedName name="voce1.08.5">#REF!</definedName>
    <definedName name="voce1.08.6">#REF!</definedName>
    <definedName name="Voce1.08.7">#REF!</definedName>
    <definedName name="voce1.09.1">#REF!</definedName>
    <definedName name="voce1.09.2">#REF!</definedName>
    <definedName name="voce1.09.3">#REF!</definedName>
    <definedName name="voce1.09.4">#REF!</definedName>
    <definedName name="Voce1.09.5">#REF!</definedName>
    <definedName name="Voce1.09.6">#REF!</definedName>
    <definedName name="voce1.1">#REF!</definedName>
    <definedName name="Voce1.1.1">#REF!</definedName>
    <definedName name="Voce1.1.1.1">#REF!</definedName>
    <definedName name="Voce1.1.1.2">#REF!</definedName>
    <definedName name="Voce1.1.1.4">#REF!</definedName>
    <definedName name="Voce1.1.1.5">#REF!</definedName>
    <definedName name="Voce1.1.1.7">#REF!</definedName>
    <definedName name="VOCE1.1.3">#REF!</definedName>
    <definedName name="Voce1.1.4">#REF!</definedName>
    <definedName name="Voce1.1.4.1">#REF!</definedName>
    <definedName name="Voce1.1.5">#REF!</definedName>
    <definedName name="Voce1.1.5.1">#REF!</definedName>
    <definedName name="Voce1.1.5.2">#REF!</definedName>
    <definedName name="Voce1.1.6.1">#REF!</definedName>
    <definedName name="Voce1.1.6.2">#REF!</definedName>
    <definedName name="Voce1.1.6.3">#REF!</definedName>
    <definedName name="Voce1.1.6.5">#REF!</definedName>
    <definedName name="voce1.10">#REF!</definedName>
    <definedName name="voce1.10.1">#REF!</definedName>
    <definedName name="Voce1.10.1a">#REF!</definedName>
    <definedName name="voce1.10.2">#REF!</definedName>
    <definedName name="Voce1.10.2a">#REF!</definedName>
    <definedName name="voce1.10.3">#REF!</definedName>
    <definedName name="voce1.10.4">#REF!</definedName>
    <definedName name="Voce1.10.5">#REF!</definedName>
    <definedName name="voce1.11">#REF!</definedName>
    <definedName name="voce1.11.1">#REF!</definedName>
    <definedName name="voce1.11.2">#REF!</definedName>
    <definedName name="voce1.11.3">#REF!</definedName>
    <definedName name="voce1.11.4">#REF!</definedName>
    <definedName name="Voce1.12">#REF!</definedName>
    <definedName name="voce1.12.1">#REF!</definedName>
    <definedName name="voce1.12.2">#REF!</definedName>
    <definedName name="voce1.12.3">#REF!</definedName>
    <definedName name="voce1.12.4">#REF!</definedName>
    <definedName name="Voce1.13">#REF!</definedName>
    <definedName name="voce1.13.1">#REF!</definedName>
    <definedName name="voce1.13.2">#REF!</definedName>
    <definedName name="voce1.13.3">#REF!</definedName>
    <definedName name="voce1.13.4">#REF!</definedName>
    <definedName name="Voce1.14">#REF!</definedName>
    <definedName name="voce1.14.1">#REF!</definedName>
    <definedName name="voce1.14.2">#REF!</definedName>
    <definedName name="voce1.14.3">#REF!</definedName>
    <definedName name="voce1.14.4">#REF!</definedName>
    <definedName name="voce1.15">#REF!</definedName>
    <definedName name="voce1.15.1">#REF!</definedName>
    <definedName name="voce1.15.2">#REF!</definedName>
    <definedName name="voce1.15.3">#REF!</definedName>
    <definedName name="voce1.15.4">#REF!</definedName>
    <definedName name="voce1.16">#REF!</definedName>
    <definedName name="voce1.16.1">#REF!</definedName>
    <definedName name="voce1.16.2">#REF!</definedName>
    <definedName name="voce1.16.3">#REF!</definedName>
    <definedName name="voce1.16.4">#REF!</definedName>
    <definedName name="voce1.16.5">#REF!</definedName>
    <definedName name="Voce1.17">#REF!</definedName>
    <definedName name="voce1.17.1">#REF!</definedName>
    <definedName name="Voce1.17.1a">#REF!</definedName>
    <definedName name="voce1.17.2">#REF!</definedName>
    <definedName name="Voce1.17.2a">#REF!</definedName>
    <definedName name="voce1.18">#REF!</definedName>
    <definedName name="voce1.18.1">#REF!</definedName>
    <definedName name="voce1.18.2">#REF!</definedName>
    <definedName name="voce1.18.3">#REF!</definedName>
    <definedName name="voce1.18.4">#REF!</definedName>
    <definedName name="voce1.19">#REF!</definedName>
    <definedName name="Voce1.19.1">#REF!</definedName>
    <definedName name="Voce1.19.2">#REF!</definedName>
    <definedName name="voce1.2">#REF!</definedName>
    <definedName name="Voce1.2.1">#REF!</definedName>
    <definedName name="Voce1.2.2.1">#REF!</definedName>
    <definedName name="Voce1.2.2.2">#REF!</definedName>
    <definedName name="Voce1.2.2.3">#REF!</definedName>
    <definedName name="Voce1.2.3">#REF!</definedName>
    <definedName name="Voce1.2.4">#REF!</definedName>
    <definedName name="Voce1.2.5">#REF!</definedName>
    <definedName name="Voce1.2.5.2">#REF!</definedName>
    <definedName name="Voce1.2.5.3">#REF!</definedName>
    <definedName name="voce1.20">#REF!</definedName>
    <definedName name="Voce1.20.1">#REF!</definedName>
    <definedName name="Voce1.20.2">#REF!</definedName>
    <definedName name="voce1.21">#REF!</definedName>
    <definedName name="Voce1.21.1">#REF!</definedName>
    <definedName name="Voce1.21.2">#REF!</definedName>
    <definedName name="Voce1.21.3">#REF!</definedName>
    <definedName name="Voce1.21.4">#REF!</definedName>
    <definedName name="Voce1.22">#REF!</definedName>
    <definedName name="Voce1.22.1">#REF!</definedName>
    <definedName name="Voce1.22.2">#REF!</definedName>
    <definedName name="Voce1.23">#REF!</definedName>
    <definedName name="Voce1.23.1">#REF!</definedName>
    <definedName name="Voce1.23.2">#REF!</definedName>
    <definedName name="Voce1.23.3">#REF!</definedName>
    <definedName name="Voce1.24">#REF!</definedName>
    <definedName name="Voce1.24.1">#REF!</definedName>
    <definedName name="Voce1.24.2">#REF!</definedName>
    <definedName name="Voce1.24.3">#REF!</definedName>
    <definedName name="Voce1.25">#REF!</definedName>
    <definedName name="Voce1.26">#REF!</definedName>
    <definedName name="Voce1.27">#REF!</definedName>
    <definedName name="Voce1.28">#REF!</definedName>
    <definedName name="Voce1.28.1">#REF!</definedName>
    <definedName name="Voce1.28.2">#REF!</definedName>
    <definedName name="Voce1.28.3">#REF!</definedName>
    <definedName name="Voce1.28.4">#REF!</definedName>
    <definedName name="Voce1.29">#REF!</definedName>
    <definedName name="Voce1.3">#REF!</definedName>
    <definedName name="Voce1.3.2">#REF!</definedName>
    <definedName name="voce1.30">#REF!</definedName>
    <definedName name="voce1.30.1">#REF!</definedName>
    <definedName name="voce1.30.2">#REF!</definedName>
    <definedName name="voce1.30.3">#REF!</definedName>
    <definedName name="Voce1.4">#REF!</definedName>
    <definedName name="Voce1.4.2">#REF!</definedName>
    <definedName name="Voce1.4.4">#REF!</definedName>
    <definedName name="Voce1.4.5">#REF!</definedName>
    <definedName name="voce1.5">#REF!</definedName>
    <definedName name="Voce1.5.1">#REF!</definedName>
    <definedName name="Voce1.5.2">#REF!</definedName>
    <definedName name="Voce1.5.3">#REF!</definedName>
    <definedName name="Voce1.5.5">#REF!</definedName>
    <definedName name="voce1.6">#REF!</definedName>
    <definedName name="Voce1.6.1">#REF!</definedName>
    <definedName name="Voce1.6.3">#REF!</definedName>
    <definedName name="Voce1.6.4">#REF!</definedName>
    <definedName name="Voce1.6.5">#REF!</definedName>
    <definedName name="voce1.7">#REF!</definedName>
    <definedName name="Voce1.7.1">#REF!</definedName>
    <definedName name="Voce1.7.2">#REF!</definedName>
    <definedName name="Voce1.7.4">#REF!</definedName>
    <definedName name="Voce1.7.5">#REF!</definedName>
    <definedName name="Voce1.8">#REF!</definedName>
    <definedName name="Voce1.8.2">#REF!</definedName>
    <definedName name="Voce1.9">#REF!</definedName>
    <definedName name="Voce1.9.1">#REF!</definedName>
    <definedName name="Voce1.9.3">#REF!</definedName>
    <definedName name="Voce1.9.4">#REF!</definedName>
    <definedName name="Voce2.1">#REF!</definedName>
    <definedName name="Voce2.2">#REF!</definedName>
    <definedName name="Voce2.3">#REF!</definedName>
    <definedName name="Voce2.5">#REF!</definedName>
    <definedName name="Voce2.6">#REF!</definedName>
    <definedName name="Voce2.7">#REF!</definedName>
    <definedName name="voce3.01.1">#REF!</definedName>
    <definedName name="voce3.01.2">#REF!</definedName>
    <definedName name="voce3.01.3">#REF!</definedName>
    <definedName name="voce3.02.1">#REF!</definedName>
    <definedName name="voce3.02.2">#REF!</definedName>
    <definedName name="voce3.02.3">#REF!</definedName>
    <definedName name="voce3.02.4">#REF!</definedName>
    <definedName name="voce3.02.5">#REF!</definedName>
    <definedName name="voce3.05.1">#REF!</definedName>
    <definedName name="voce3.05.2">#REF!</definedName>
    <definedName name="voce3.05.21">#REF!</definedName>
    <definedName name="voce3.06.1">#REF!</definedName>
    <definedName name="voce3.06.2">#REF!</definedName>
    <definedName name="voce3.1">#REF!</definedName>
    <definedName name="Voce3.1.1">'[36]Cap. 3.1.1.6'!$F$20</definedName>
    <definedName name="Voce3.1.1.1">#REF!</definedName>
    <definedName name="Voce3.1.1.2">#REF!</definedName>
    <definedName name="Voce3.1.1.3">#REF!</definedName>
    <definedName name="Voce3.1.1.5">#REF!</definedName>
    <definedName name="Voce3.1.1.6">#REF!</definedName>
    <definedName name="Voce3.1.2">'[36]Cap. 3.1.2'!$F$88</definedName>
    <definedName name="Voce3.1.3">'[36]Cap. 3.1.3'!$F$17</definedName>
    <definedName name="Voce3.1.4">'[36]Cap. 3.1.4.2'!$F$34</definedName>
    <definedName name="Voce3.1.4.1">[32]riepilogo!#REF!</definedName>
    <definedName name="Voce3.1.4.2">#REF!</definedName>
    <definedName name="Voce3.1.5">'[36]Cap. 3.1.5.2'!$F$53</definedName>
    <definedName name="Voce3.1.5.1">#REF!</definedName>
    <definedName name="Voce3.1.5.2">#REF!</definedName>
    <definedName name="Voce3.1.6">'[36]Cap. 3.1.6.5'!$G$50</definedName>
    <definedName name="Voce3.1.6.2">#REF!</definedName>
    <definedName name="Voce3.1.6.4">#REF!</definedName>
    <definedName name="Voce3.10">#REF!</definedName>
    <definedName name="Voce3.10.1">#REF!</definedName>
    <definedName name="Voce3.10.2">#REF!</definedName>
    <definedName name="Voce3.11">#REF!</definedName>
    <definedName name="voce3.11.1">#REF!</definedName>
    <definedName name="Voce3.11.2">#REF!</definedName>
    <definedName name="Voce3.11.3">#REF!</definedName>
    <definedName name="Voce3.12">#REF!</definedName>
    <definedName name="Voce3.12.1">#REF!</definedName>
    <definedName name="Voce3.12.2">#REF!</definedName>
    <definedName name="Voce3.12.3">#REF!</definedName>
    <definedName name="Voce3.12.3.">#REF!</definedName>
    <definedName name="Voce3.13">#REF!</definedName>
    <definedName name="Voce3.14">#REF!</definedName>
    <definedName name="Voce3.2">#REF!</definedName>
    <definedName name="Voce3.2.3">#REF!</definedName>
    <definedName name="Voce3.2.5">#REF!</definedName>
    <definedName name="Voce3.3">#REF!</definedName>
    <definedName name="Voce3.3.2">#REF!</definedName>
    <definedName name="Voce3.4">#REF!</definedName>
    <definedName name="Voce3.4.2">#REF!</definedName>
    <definedName name="Voce3.5">#REF!</definedName>
    <definedName name="Voce3.5.2">#REF!</definedName>
    <definedName name="Voce3.5.3">#REF!</definedName>
    <definedName name="Voce3.6">#REF!</definedName>
    <definedName name="Voce3.6.1">#REF!</definedName>
    <definedName name="Voce3.6.3">#REF!</definedName>
    <definedName name="Voce3.6.4">#REF!</definedName>
    <definedName name="Voce3.7">#REF!</definedName>
    <definedName name="Voce3.7.1">#REF!</definedName>
    <definedName name="Voce3.7.2">#REF!</definedName>
    <definedName name="Voce3.7.3">#REF!</definedName>
    <definedName name="Voce3.7.4">#REF!</definedName>
    <definedName name="Voce3.8">#REF!</definedName>
    <definedName name="Voce3.8.1">#REF!</definedName>
    <definedName name="Voce3.8.2">#REF!</definedName>
    <definedName name="Voce3.8.3">#REF!</definedName>
    <definedName name="Voce3.8.4">#REF!</definedName>
    <definedName name="Voce3.9">#REF!</definedName>
    <definedName name="Voce3.9.1">#REF!</definedName>
    <definedName name="Voce3.9.2">#REF!</definedName>
    <definedName name="Voce3.9.3">#REF!</definedName>
    <definedName name="Voce4">#REF!</definedName>
    <definedName name="voce4.01">#REF!</definedName>
    <definedName name="voce4.02">#REF!</definedName>
    <definedName name="voce4.03">#REF!</definedName>
    <definedName name="voce4.04">#REF!</definedName>
    <definedName name="Voce5">#REF!</definedName>
    <definedName name="Voce5.01">#REF!</definedName>
    <definedName name="Voce5.02">#REF!</definedName>
    <definedName name="Voce5.03">#REF!</definedName>
    <definedName name="Voce5.04">#REF!</definedName>
    <definedName name="Voce6">#REF!</definedName>
    <definedName name="Voce6.1">#REF!</definedName>
    <definedName name="Voce6.2">#REF!</definedName>
    <definedName name="Voce6.3">#REF!</definedName>
    <definedName name="Voce6.4">#REF!</definedName>
    <definedName name="Voce7">#REF!</definedName>
    <definedName name="Voce7.1">#REF!</definedName>
    <definedName name="Voce7.2">#REF!</definedName>
    <definedName name="Voce7.3">#REF!</definedName>
    <definedName name="Voce7.4">#REF!</definedName>
    <definedName name="Voce8">#REF!</definedName>
    <definedName name="voce8.01">#REF!</definedName>
    <definedName name="voce8.02">#REF!</definedName>
    <definedName name="voce8.03">#REF!</definedName>
    <definedName name="voce8.04">#REF!</definedName>
    <definedName name="Voce8.1">#REF!</definedName>
    <definedName name="Voce8.2">#REF!</definedName>
    <definedName name="Voce8.3">#REF!</definedName>
    <definedName name="Voce8.4">#REF!</definedName>
    <definedName name="voce9.1">#REF!</definedName>
    <definedName name="voce9.2">#REF!</definedName>
    <definedName name="voce9.3">#REF!</definedName>
    <definedName name="voce9.4">#REF!</definedName>
    <definedName name="volt_dig">[5]interruttori!$D$29</definedName>
    <definedName name="vove1.07.1">#REF!</definedName>
    <definedName name="vvv">#REF!</definedName>
    <definedName name="W">#REF!</definedName>
    <definedName name="wbs_COD">[16]WBS!$B$1:$B$65536</definedName>
    <definedName name="wbs_DESCRIZ">#REF!</definedName>
    <definedName name="wbs_IMPORTI">[16]WBS!$D$1:$D$65536</definedName>
    <definedName name="wbs_NR">[16]WBS!$A$1:$A$65536</definedName>
    <definedName name="wbs_W">[16]WBS!$E$1:$E$65536</definedName>
    <definedName name="wreefujwtrj6wrj">'[1]Q144A-02'!#REF!</definedName>
    <definedName name="wsaaas">#REF!</definedName>
    <definedName name="wwwww">#REF!</definedName>
    <definedName name="X">'[12]#RIF'!#REF!</definedName>
    <definedName name="xxx">#REF!</definedName>
    <definedName name="Y">'[12]#RIF'!#REF!</definedName>
    <definedName name="zonaepu">#REF!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7" i="29" l="1"/>
  <c r="C35" i="38"/>
  <c r="C33" i="38"/>
  <c r="AG26" i="38"/>
  <c r="AF26" i="38"/>
  <c r="AE26" i="38"/>
  <c r="AD26" i="38"/>
  <c r="AC26" i="38"/>
  <c r="AB26" i="38"/>
  <c r="W26" i="38"/>
  <c r="V26" i="38"/>
  <c r="U26" i="38"/>
  <c r="T26" i="38"/>
  <c r="S26" i="38"/>
  <c r="R26" i="38"/>
  <c r="Q26" i="38"/>
  <c r="P26" i="38"/>
  <c r="O26" i="38"/>
  <c r="N26" i="38"/>
  <c r="L26" i="38"/>
  <c r="K26" i="38"/>
  <c r="B25" i="38"/>
  <c r="C24" i="38"/>
  <c r="D24" i="38" s="1"/>
  <c r="B24" i="38"/>
  <c r="AH23" i="38"/>
  <c r="AG23" i="38"/>
  <c r="AF23" i="38"/>
  <c r="AE23" i="38"/>
  <c r="AD23" i="38"/>
  <c r="AC23" i="38"/>
  <c r="R23" i="38"/>
  <c r="Q23" i="38"/>
  <c r="P23" i="38"/>
  <c r="O23" i="38"/>
  <c r="N23" i="38"/>
  <c r="M23" i="38"/>
  <c r="L23" i="38"/>
  <c r="K23" i="38"/>
  <c r="D23" i="38"/>
  <c r="C22" i="38"/>
  <c r="D22" i="38" s="1"/>
  <c r="E22" i="38" s="1"/>
  <c r="G22" i="38" s="1"/>
  <c r="H22" i="38" s="1"/>
  <c r="B22" i="38"/>
  <c r="D21" i="38"/>
  <c r="E21" i="38" s="1"/>
  <c r="G21" i="38" s="1"/>
  <c r="H21" i="38" s="1"/>
  <c r="C21" i="38"/>
  <c r="B21" i="38"/>
  <c r="AG20" i="38"/>
  <c r="N20" i="38"/>
  <c r="G20" i="38"/>
  <c r="H20" i="38" s="1"/>
  <c r="J20" i="38" s="1"/>
  <c r="B20" i="38"/>
  <c r="D19" i="38"/>
  <c r="E19" i="38" s="1"/>
  <c r="G19" i="38" s="1"/>
  <c r="H19" i="38" s="1"/>
  <c r="C19" i="38"/>
  <c r="B19" i="38"/>
  <c r="I18" i="38"/>
  <c r="C18" i="38"/>
  <c r="D18" i="38" s="1"/>
  <c r="E18" i="38" s="1"/>
  <c r="G18" i="38" s="1"/>
  <c r="H18" i="38" s="1"/>
  <c r="B18" i="38"/>
  <c r="C17" i="38"/>
  <c r="D17" i="38" s="1"/>
  <c r="E17" i="38" s="1"/>
  <c r="G17" i="38" s="1"/>
  <c r="H17" i="38" s="1"/>
  <c r="B17" i="38"/>
  <c r="D16" i="38"/>
  <c r="E16" i="38" s="1"/>
  <c r="G16" i="38" s="1"/>
  <c r="H16" i="38" s="1"/>
  <c r="B16" i="38"/>
  <c r="C15" i="38"/>
  <c r="D15" i="38" s="1"/>
  <c r="E15" i="38" s="1"/>
  <c r="G15" i="38" s="1"/>
  <c r="H15" i="38" s="1"/>
  <c r="B15" i="38"/>
  <c r="C14" i="38"/>
  <c r="D14" i="38" s="1"/>
  <c r="E14" i="38" s="1"/>
  <c r="G14" i="38" s="1"/>
  <c r="H14" i="38" s="1"/>
  <c r="B14" i="38"/>
  <c r="I13" i="38"/>
  <c r="C13" i="38"/>
  <c r="D13" i="38" s="1"/>
  <c r="E13" i="38" s="1"/>
  <c r="G13" i="38" s="1"/>
  <c r="H13" i="38" s="1"/>
  <c r="B13" i="38"/>
  <c r="D12" i="38"/>
  <c r="E12" i="38" s="1"/>
  <c r="G12" i="38" s="1"/>
  <c r="H12" i="38" s="1"/>
  <c r="C12" i="38"/>
  <c r="B12" i="38"/>
  <c r="D11" i="38"/>
  <c r="E11" i="38" s="1"/>
  <c r="G11" i="38" s="1"/>
  <c r="H11" i="38" s="1"/>
  <c r="S11" i="38" s="1"/>
  <c r="I11" i="38" s="1"/>
  <c r="C11" i="38"/>
  <c r="B11" i="38"/>
  <c r="C10" i="38"/>
  <c r="D10" i="38" s="1"/>
  <c r="E10" i="38" s="1"/>
  <c r="G10" i="38" s="1"/>
  <c r="H10" i="38" s="1"/>
  <c r="B10" i="38"/>
  <c r="C9" i="38"/>
  <c r="D9" i="38" s="1"/>
  <c r="E9" i="38" s="1"/>
  <c r="G9" i="38" s="1"/>
  <c r="H9" i="38" s="1"/>
  <c r="B9" i="38"/>
  <c r="C8" i="38"/>
  <c r="D8" i="38" s="1"/>
  <c r="E8" i="38" s="1"/>
  <c r="G8" i="38" s="1"/>
  <c r="H8" i="38" s="1"/>
  <c r="B8" i="38"/>
  <c r="C7" i="38"/>
  <c r="D7" i="38" s="1"/>
  <c r="E7" i="38" s="1"/>
  <c r="G7" i="38" s="1"/>
  <c r="H7" i="38" s="1"/>
  <c r="X7" i="38" s="1"/>
  <c r="B7" i="38"/>
  <c r="C6" i="38"/>
  <c r="D6" i="38" s="1"/>
  <c r="E6" i="38" s="1"/>
  <c r="G6" i="38" s="1"/>
  <c r="H6" i="38" s="1"/>
  <c r="V6" i="38" s="1"/>
  <c r="B6" i="38"/>
  <c r="C5" i="38"/>
  <c r="D5" i="38" s="1"/>
  <c r="E5" i="38" s="1"/>
  <c r="G5" i="38" s="1"/>
  <c r="H5" i="38" s="1"/>
  <c r="S5" i="38" s="1"/>
  <c r="B5" i="38"/>
  <c r="C4" i="38"/>
  <c r="D4" i="38" s="1"/>
  <c r="E4" i="38" s="1"/>
  <c r="B4" i="38"/>
  <c r="C3" i="38"/>
  <c r="B3" i="38"/>
  <c r="E3" i="37"/>
  <c r="F3" i="37"/>
  <c r="G3" i="37"/>
  <c r="D3" i="37"/>
  <c r="K26" i="36"/>
  <c r="L26" i="36"/>
  <c r="N26" i="36"/>
  <c r="O26" i="36"/>
  <c r="P26" i="36"/>
  <c r="Q26" i="36"/>
  <c r="R26" i="36"/>
  <c r="S26" i="36"/>
  <c r="T26" i="36"/>
  <c r="U26" i="36"/>
  <c r="V26" i="36"/>
  <c r="W26" i="36"/>
  <c r="AB26" i="36"/>
  <c r="AC26" i="36"/>
  <c r="AD26" i="36"/>
  <c r="AE26" i="36"/>
  <c r="AF26" i="36"/>
  <c r="AG26" i="36"/>
  <c r="W14" i="36"/>
  <c r="V14" i="36"/>
  <c r="I21" i="36"/>
  <c r="I22" i="36"/>
  <c r="W22" i="36"/>
  <c r="AA22" i="36"/>
  <c r="Z22" i="36"/>
  <c r="Y22" i="36"/>
  <c r="X22" i="36"/>
  <c r="X21" i="36"/>
  <c r="Y21" i="36"/>
  <c r="Z21" i="36"/>
  <c r="AA21" i="36"/>
  <c r="W21" i="36"/>
  <c r="X17" i="36"/>
  <c r="X10" i="36"/>
  <c r="W10" i="36"/>
  <c r="K23" i="36"/>
  <c r="L23" i="36"/>
  <c r="M23" i="36"/>
  <c r="O23" i="36"/>
  <c r="P23" i="36"/>
  <c r="Q23" i="36"/>
  <c r="R23" i="36"/>
  <c r="AC23" i="36"/>
  <c r="AD23" i="36"/>
  <c r="AE23" i="36"/>
  <c r="AF23" i="36"/>
  <c r="AH23" i="36"/>
  <c r="I13" i="36"/>
  <c r="I18" i="36"/>
  <c r="AG20" i="36"/>
  <c r="AG23" i="36" s="1"/>
  <c r="N20" i="36"/>
  <c r="N23" i="36" s="1"/>
  <c r="G20" i="36"/>
  <c r="H20" i="36" s="1"/>
  <c r="J20" i="36" s="1"/>
  <c r="C25" i="36"/>
  <c r="D25" i="36" s="1"/>
  <c r="B25" i="36"/>
  <c r="C24" i="36"/>
  <c r="D24" i="36" s="1"/>
  <c r="B24" i="36"/>
  <c r="D23" i="36"/>
  <c r="C22" i="36"/>
  <c r="D22" i="36" s="1"/>
  <c r="E22" i="36" s="1"/>
  <c r="G22" i="36" s="1"/>
  <c r="H22" i="36" s="1"/>
  <c r="B22" i="36"/>
  <c r="C21" i="36"/>
  <c r="D21" i="36" s="1"/>
  <c r="E21" i="36" s="1"/>
  <c r="G21" i="36" s="1"/>
  <c r="H21" i="36" s="1"/>
  <c r="B21" i="36"/>
  <c r="B20" i="36"/>
  <c r="C19" i="36"/>
  <c r="D19" i="36" s="1"/>
  <c r="E19" i="36" s="1"/>
  <c r="G19" i="36" s="1"/>
  <c r="H19" i="36" s="1"/>
  <c r="X19" i="36" s="1"/>
  <c r="B19" i="36"/>
  <c r="C18" i="36"/>
  <c r="D18" i="36" s="1"/>
  <c r="E18" i="36" s="1"/>
  <c r="G18" i="36" s="1"/>
  <c r="H18" i="36" s="1"/>
  <c r="B18" i="36"/>
  <c r="C17" i="36"/>
  <c r="D17" i="36" s="1"/>
  <c r="E17" i="36" s="1"/>
  <c r="G17" i="36" s="1"/>
  <c r="H17" i="36" s="1"/>
  <c r="AB17" i="36" s="1"/>
  <c r="B17" i="36"/>
  <c r="C16" i="36"/>
  <c r="D16" i="36" s="1"/>
  <c r="E16" i="36" s="1"/>
  <c r="G16" i="36" s="1"/>
  <c r="H16" i="36" s="1"/>
  <c r="B16" i="36"/>
  <c r="C15" i="36"/>
  <c r="D15" i="36" s="1"/>
  <c r="E15" i="36" s="1"/>
  <c r="G15" i="36" s="1"/>
  <c r="H15" i="36" s="1"/>
  <c r="Y15" i="36" s="1"/>
  <c r="B15" i="36"/>
  <c r="C14" i="36"/>
  <c r="D14" i="36" s="1"/>
  <c r="E14" i="36" s="1"/>
  <c r="G14" i="36" s="1"/>
  <c r="H14" i="36" s="1"/>
  <c r="B14" i="36"/>
  <c r="C13" i="36"/>
  <c r="D13" i="36" s="1"/>
  <c r="E13" i="36" s="1"/>
  <c r="G13" i="36" s="1"/>
  <c r="H13" i="36" s="1"/>
  <c r="B13" i="36"/>
  <c r="C12" i="36"/>
  <c r="D12" i="36" s="1"/>
  <c r="E12" i="36" s="1"/>
  <c r="G12" i="36" s="1"/>
  <c r="H12" i="36" s="1"/>
  <c r="Z12" i="36" s="1"/>
  <c r="B12" i="36"/>
  <c r="C11" i="36"/>
  <c r="D11" i="36" s="1"/>
  <c r="E11" i="36" s="1"/>
  <c r="G11" i="36" s="1"/>
  <c r="H11" i="36" s="1"/>
  <c r="S11" i="36" s="1"/>
  <c r="I11" i="36" s="1"/>
  <c r="B11" i="36"/>
  <c r="C10" i="36"/>
  <c r="D10" i="36" s="1"/>
  <c r="E10" i="36" s="1"/>
  <c r="G10" i="36" s="1"/>
  <c r="H10" i="36" s="1"/>
  <c r="S10" i="36" s="1"/>
  <c r="B10" i="36"/>
  <c r="C9" i="36"/>
  <c r="D9" i="36" s="1"/>
  <c r="E9" i="36" s="1"/>
  <c r="G9" i="36" s="1"/>
  <c r="H9" i="36" s="1"/>
  <c r="S9" i="36" s="1"/>
  <c r="B9" i="36"/>
  <c r="C8" i="36"/>
  <c r="D8" i="36" s="1"/>
  <c r="E8" i="36" s="1"/>
  <c r="G8" i="36" s="1"/>
  <c r="H8" i="36" s="1"/>
  <c r="U8" i="36" s="1"/>
  <c r="B8" i="36"/>
  <c r="C7" i="36"/>
  <c r="D7" i="36" s="1"/>
  <c r="E7" i="36" s="1"/>
  <c r="G7" i="36" s="1"/>
  <c r="H7" i="36" s="1"/>
  <c r="X7" i="36" s="1"/>
  <c r="I7" i="36" s="1"/>
  <c r="B7" i="36"/>
  <c r="C6" i="36"/>
  <c r="D6" i="36" s="1"/>
  <c r="E6" i="36" s="1"/>
  <c r="G6" i="36" s="1"/>
  <c r="H6" i="36" s="1"/>
  <c r="V6" i="36" s="1"/>
  <c r="I6" i="36" s="1"/>
  <c r="B6" i="36"/>
  <c r="C5" i="36"/>
  <c r="D5" i="36" s="1"/>
  <c r="E5" i="36" s="1"/>
  <c r="G5" i="36" s="1"/>
  <c r="H5" i="36" s="1"/>
  <c r="S5" i="36" s="1"/>
  <c r="I5" i="36" s="1"/>
  <c r="B5" i="36"/>
  <c r="C4" i="36"/>
  <c r="D4" i="36" s="1"/>
  <c r="E4" i="36" s="1"/>
  <c r="B4" i="36"/>
  <c r="C3" i="36"/>
  <c r="D3" i="36" s="1"/>
  <c r="B3" i="36"/>
  <c r="AN14" i="12"/>
  <c r="AN15" i="12"/>
  <c r="AN13" i="12"/>
  <c r="AT27" i="12"/>
  <c r="AT26" i="12"/>
  <c r="AT24" i="12"/>
  <c r="AT23" i="12"/>
  <c r="AT18" i="12"/>
  <c r="AT15" i="12"/>
  <c r="AN27" i="12"/>
  <c r="AN26" i="12"/>
  <c r="AN25" i="12"/>
  <c r="AN24" i="12"/>
  <c r="AN23" i="12"/>
  <c r="AN20" i="12"/>
  <c r="AN19" i="12"/>
  <c r="AN18" i="12"/>
  <c r="AN17" i="12"/>
  <c r="G7" i="31"/>
  <c r="F3" i="31"/>
  <c r="Y15" i="38" l="1"/>
  <c r="X15" i="38"/>
  <c r="V15" i="38"/>
  <c r="I15" i="38" s="1"/>
  <c r="I5" i="38"/>
  <c r="Z12" i="38"/>
  <c r="Y12" i="38"/>
  <c r="U12" i="38"/>
  <c r="Z16" i="38"/>
  <c r="Y16" i="38"/>
  <c r="AA16" i="38"/>
  <c r="AA23" i="38" s="1"/>
  <c r="AA19" i="38"/>
  <c r="Z19" i="38"/>
  <c r="Y19" i="38"/>
  <c r="X19" i="38"/>
  <c r="I6" i="38"/>
  <c r="S10" i="38"/>
  <c r="X10" i="38"/>
  <c r="X23" i="38" s="1"/>
  <c r="W10" i="38"/>
  <c r="W21" i="38"/>
  <c r="AA21" i="38"/>
  <c r="Z21" i="38"/>
  <c r="X21" i="38"/>
  <c r="Y21" i="38"/>
  <c r="X17" i="38"/>
  <c r="AB17" i="38"/>
  <c r="AB23" i="38" s="1"/>
  <c r="AA17" i="38"/>
  <c r="Z17" i="38"/>
  <c r="AA22" i="38"/>
  <c r="Z22" i="38"/>
  <c r="Y22" i="38"/>
  <c r="X22" i="38"/>
  <c r="W22" i="38"/>
  <c r="I22" i="38" s="1"/>
  <c r="T9" i="38"/>
  <c r="U9" i="38"/>
  <c r="S9" i="38"/>
  <c r="I9" i="38" s="1"/>
  <c r="I7" i="38"/>
  <c r="W14" i="38"/>
  <c r="V14" i="38"/>
  <c r="I14" i="38" s="1"/>
  <c r="I20" i="38"/>
  <c r="J23" i="38"/>
  <c r="V8" i="38"/>
  <c r="U8" i="38"/>
  <c r="U23" i="38" s="1"/>
  <c r="T8" i="38"/>
  <c r="D3" i="38"/>
  <c r="I14" i="36"/>
  <c r="AA16" i="36"/>
  <c r="Z16" i="36"/>
  <c r="Y16" i="36"/>
  <c r="AB23" i="36"/>
  <c r="Y19" i="36"/>
  <c r="Z19" i="36"/>
  <c r="I19" i="36" s="1"/>
  <c r="I20" i="36"/>
  <c r="J23" i="36"/>
  <c r="Y12" i="36"/>
  <c r="Z17" i="36"/>
  <c r="U12" i="36"/>
  <c r="V15" i="36"/>
  <c r="I15" i="36" s="1"/>
  <c r="AA17" i="36"/>
  <c r="AA23" i="36" s="1"/>
  <c r="AA19" i="36"/>
  <c r="X15" i="36"/>
  <c r="W23" i="36"/>
  <c r="Z23" i="36"/>
  <c r="I12" i="36"/>
  <c r="X23" i="36"/>
  <c r="I10" i="36"/>
  <c r="S23" i="36"/>
  <c r="U9" i="36"/>
  <c r="U23" i="36" s="1"/>
  <c r="T9" i="36"/>
  <c r="I9" i="36" s="1"/>
  <c r="T8" i="36"/>
  <c r="T23" i="36" s="1"/>
  <c r="V8" i="36"/>
  <c r="V23" i="36" s="1"/>
  <c r="E3" i="36"/>
  <c r="AF45" i="12"/>
  <c r="AF44" i="12"/>
  <c r="AF43" i="12"/>
  <c r="AF42" i="12"/>
  <c r="AF41" i="12"/>
  <c r="AF40" i="12"/>
  <c r="AF39" i="12"/>
  <c r="AF38" i="12"/>
  <c r="E3" i="38" l="1"/>
  <c r="V23" i="38"/>
  <c r="I12" i="38"/>
  <c r="T23" i="38"/>
  <c r="I8" i="38"/>
  <c r="I19" i="38"/>
  <c r="Y23" i="38"/>
  <c r="I21" i="38"/>
  <c r="S23" i="38"/>
  <c r="Z23" i="38"/>
  <c r="W23" i="38"/>
  <c r="I17" i="38"/>
  <c r="I10" i="38"/>
  <c r="I16" i="38"/>
  <c r="Y23" i="36"/>
  <c r="I17" i="36"/>
  <c r="I16" i="36"/>
  <c r="AQ16" i="12"/>
  <c r="AQ21" i="12"/>
  <c r="AQ22" i="12"/>
  <c r="AQ37" i="12"/>
  <c r="AF37" i="12"/>
  <c r="AF22" i="12"/>
  <c r="AF21" i="12"/>
  <c r="D28" i="38" l="1"/>
  <c r="AL35" i="12"/>
  <c r="T39" i="12"/>
  <c r="T40" i="12"/>
  <c r="T41" i="12"/>
  <c r="T42" i="12"/>
  <c r="T43" i="12"/>
  <c r="T44" i="12"/>
  <c r="T45" i="12"/>
  <c r="T46" i="12"/>
  <c r="T38" i="12"/>
  <c r="T30" i="12"/>
  <c r="T31" i="12"/>
  <c r="T32" i="12"/>
  <c r="T33" i="12"/>
  <c r="T34" i="12"/>
  <c r="T35" i="12"/>
  <c r="T36" i="12"/>
  <c r="T29" i="12"/>
  <c r="AL14" i="12"/>
  <c r="AL15" i="12"/>
  <c r="AL17" i="12"/>
  <c r="AL18" i="12"/>
  <c r="AL19" i="12"/>
  <c r="AL20" i="12"/>
  <c r="AL21" i="12"/>
  <c r="AL22" i="12"/>
  <c r="AL23" i="12"/>
  <c r="AL24" i="12"/>
  <c r="AL25" i="12"/>
  <c r="AL26" i="12"/>
  <c r="AL27" i="12"/>
  <c r="AL28" i="12"/>
  <c r="AL29" i="12"/>
  <c r="AL30" i="12"/>
  <c r="AL31" i="12"/>
  <c r="AL32" i="12"/>
  <c r="AL33" i="12"/>
  <c r="AL34" i="12"/>
  <c r="AL36" i="12"/>
  <c r="AL37" i="12"/>
  <c r="AL38" i="12"/>
  <c r="AL39" i="12"/>
  <c r="AL40" i="12"/>
  <c r="AL41" i="12"/>
  <c r="AL42" i="12"/>
  <c r="AL43" i="12"/>
  <c r="AL44" i="12"/>
  <c r="AL45" i="12"/>
  <c r="AL46" i="12"/>
  <c r="AL13" i="12"/>
  <c r="T37" i="12"/>
  <c r="T24" i="12"/>
  <c r="T25" i="12"/>
  <c r="T26" i="12"/>
  <c r="T27" i="12"/>
  <c r="T23" i="12"/>
  <c r="T21" i="12"/>
  <c r="T18" i="12"/>
  <c r="T19" i="12"/>
  <c r="T20" i="12"/>
  <c r="T17" i="12"/>
  <c r="T14" i="12"/>
  <c r="T15" i="12"/>
  <c r="T13" i="12"/>
  <c r="X14" i="12"/>
  <c r="X15" i="12"/>
  <c r="X16" i="12"/>
  <c r="X17" i="12"/>
  <c r="X18" i="12"/>
  <c r="X19" i="12"/>
  <c r="X20" i="12"/>
  <c r="X21" i="12"/>
  <c r="X22" i="12"/>
  <c r="X23" i="12"/>
  <c r="X24" i="12"/>
  <c r="X25" i="12"/>
  <c r="X26" i="12"/>
  <c r="X27" i="12"/>
  <c r="X28" i="12"/>
  <c r="X29" i="12"/>
  <c r="X30" i="12"/>
  <c r="X31" i="12"/>
  <c r="X32" i="12"/>
  <c r="X33" i="12"/>
  <c r="X34" i="12"/>
  <c r="X35" i="12"/>
  <c r="X36" i="12"/>
  <c r="X37" i="12"/>
  <c r="X38" i="12"/>
  <c r="X39" i="12"/>
  <c r="X40" i="12"/>
  <c r="X41" i="12"/>
  <c r="X42" i="12"/>
  <c r="X43" i="12"/>
  <c r="X44" i="12"/>
  <c r="X45" i="12"/>
  <c r="X46" i="12"/>
  <c r="X13" i="12"/>
  <c r="G26" i="31"/>
  <c r="G27" i="31"/>
  <c r="G28" i="31"/>
  <c r="G29" i="31"/>
  <c r="G30" i="31"/>
  <c r="G31" i="31"/>
  <c r="G32" i="31"/>
  <c r="G33" i="31"/>
  <c r="G34" i="31"/>
  <c r="G35" i="31"/>
  <c r="G36" i="31"/>
  <c r="G37" i="31"/>
  <c r="G38" i="31"/>
  <c r="G39" i="31"/>
  <c r="G41" i="31"/>
  <c r="G42" i="31"/>
  <c r="G43" i="31"/>
  <c r="G44" i="31"/>
  <c r="G45" i="31"/>
  <c r="G46" i="31"/>
  <c r="G47" i="31"/>
  <c r="G48" i="31"/>
  <c r="G49" i="31"/>
  <c r="G50" i="31"/>
  <c r="G51" i="31"/>
  <c r="G52" i="31"/>
  <c r="G53" i="31"/>
  <c r="G54" i="31"/>
  <c r="G55" i="31"/>
  <c r="G56" i="31"/>
  <c r="G57" i="31"/>
  <c r="G58" i="31"/>
  <c r="AZ7" i="12"/>
  <c r="AR37" i="12"/>
  <c r="AR22" i="12"/>
  <c r="AR21" i="12"/>
  <c r="AR16" i="12"/>
  <c r="AR17" i="12"/>
  <c r="AR18" i="12"/>
  <c r="AR19" i="12"/>
  <c r="AR20" i="12"/>
  <c r="AR23" i="12"/>
  <c r="AR24" i="12"/>
  <c r="AR25" i="12"/>
  <c r="AR26" i="12"/>
  <c r="AR27" i="12"/>
  <c r="AR28" i="12"/>
  <c r="AR29" i="12"/>
  <c r="AR30" i="12"/>
  <c r="AR31" i="12"/>
  <c r="AR32" i="12"/>
  <c r="AR33" i="12"/>
  <c r="AR34" i="12"/>
  <c r="AR35" i="12"/>
  <c r="AR36" i="12"/>
  <c r="AR38" i="12"/>
  <c r="AR39" i="12"/>
  <c r="AR40" i="12"/>
  <c r="AR41" i="12"/>
  <c r="AR42" i="12"/>
  <c r="AR43" i="12"/>
  <c r="AR44" i="12"/>
  <c r="AR45" i="12"/>
  <c r="AR46" i="12"/>
  <c r="AR14" i="12"/>
  <c r="AR15" i="12"/>
  <c r="AR13" i="12"/>
  <c r="AN7" i="12"/>
  <c r="AK29" i="12"/>
  <c r="AH5" i="12"/>
  <c r="AH6" i="12"/>
  <c r="AW37" i="12"/>
  <c r="AV37" i="12"/>
  <c r="AW22" i="12"/>
  <c r="AW21" i="12"/>
  <c r="AV22" i="12"/>
  <c r="AV21" i="12"/>
  <c r="AW16" i="12"/>
  <c r="AV16" i="12"/>
  <c r="H157" i="12"/>
  <c r="E30" i="38" l="1"/>
  <c r="AH25" i="38"/>
  <c r="E29" i="38"/>
  <c r="M25" i="38" s="1"/>
  <c r="M26" i="38" s="1"/>
  <c r="E28" i="38"/>
  <c r="J25" i="38" s="1"/>
  <c r="C25" i="31"/>
  <c r="D25" i="31"/>
  <c r="C26" i="31"/>
  <c r="D26" i="31"/>
  <c r="C27" i="31"/>
  <c r="D27" i="31"/>
  <c r="C28" i="31"/>
  <c r="D28" i="31"/>
  <c r="C29" i="31"/>
  <c r="D29" i="31"/>
  <c r="D23" i="29"/>
  <c r="BP156" i="12"/>
  <c r="BM156" i="12"/>
  <c r="BA156" i="12"/>
  <c r="AY156" i="12"/>
  <c r="AW156" i="12"/>
  <c r="AU156" i="12"/>
  <c r="AS156" i="12"/>
  <c r="AQ156" i="12"/>
  <c r="AO156" i="12"/>
  <c r="AM156" i="12"/>
  <c r="AK156" i="12"/>
  <c r="AI156" i="12"/>
  <c r="AG156" i="12"/>
  <c r="AE156" i="12"/>
  <c r="Y156" i="12"/>
  <c r="Z156" i="12" s="1"/>
  <c r="AA156" i="12" s="1"/>
  <c r="AB156" i="12" s="1"/>
  <c r="AC156" i="12" s="1"/>
  <c r="W156" i="12"/>
  <c r="U156" i="12"/>
  <c r="S156" i="12"/>
  <c r="Q156" i="12"/>
  <c r="K156" i="12"/>
  <c r="L156" i="12" s="1"/>
  <c r="M156" i="12" s="1"/>
  <c r="N156" i="12" s="1"/>
  <c r="G156" i="12"/>
  <c r="I156" i="12" s="1"/>
  <c r="BP155" i="12"/>
  <c r="BM155" i="12"/>
  <c r="BA155" i="12"/>
  <c r="AY155" i="12"/>
  <c r="AW155" i="12"/>
  <c r="AU155" i="12"/>
  <c r="AS155" i="12"/>
  <c r="AQ155" i="12"/>
  <c r="AO155" i="12"/>
  <c r="AM155" i="12"/>
  <c r="AK155" i="12"/>
  <c r="AI155" i="12"/>
  <c r="AG155" i="12"/>
  <c r="AE155" i="12"/>
  <c r="Y155" i="12"/>
  <c r="Z155" i="12" s="1"/>
  <c r="AA155" i="12" s="1"/>
  <c r="AB155" i="12" s="1"/>
  <c r="AC155" i="12" s="1"/>
  <c r="W155" i="12"/>
  <c r="U155" i="12"/>
  <c r="S155" i="12"/>
  <c r="Q155" i="12"/>
  <c r="K155" i="12"/>
  <c r="L155" i="12" s="1"/>
  <c r="M155" i="12" s="1"/>
  <c r="N155" i="12" s="1"/>
  <c r="O155" i="12" s="1"/>
  <c r="BC155" i="12" s="1"/>
  <c r="G155" i="12"/>
  <c r="I155" i="12" s="1"/>
  <c r="BP154" i="12"/>
  <c r="BM154" i="12"/>
  <c r="BA154" i="12"/>
  <c r="AY154" i="12"/>
  <c r="AW154" i="12"/>
  <c r="AU154" i="12"/>
  <c r="AS154" i="12"/>
  <c r="AQ154" i="12"/>
  <c r="AO154" i="12"/>
  <c r="AM154" i="12"/>
  <c r="AK154" i="12"/>
  <c r="AI154" i="12"/>
  <c r="AG154" i="12"/>
  <c r="AE154" i="12"/>
  <c r="Y154" i="12"/>
  <c r="Z154" i="12" s="1"/>
  <c r="AA154" i="12" s="1"/>
  <c r="AB154" i="12" s="1"/>
  <c r="AC154" i="12" s="1"/>
  <c r="W154" i="12"/>
  <c r="U154" i="12"/>
  <c r="S154" i="12"/>
  <c r="Q154" i="12"/>
  <c r="K154" i="12"/>
  <c r="L154" i="12" s="1"/>
  <c r="M154" i="12" s="1"/>
  <c r="N154" i="12" s="1"/>
  <c r="I154" i="12"/>
  <c r="G154" i="12"/>
  <c r="BP153" i="12"/>
  <c r="BM153" i="12"/>
  <c r="BA153" i="12"/>
  <c r="AY153" i="12"/>
  <c r="AW153" i="12"/>
  <c r="AU153" i="12"/>
  <c r="AS153" i="12"/>
  <c r="AQ153" i="12"/>
  <c r="AO153" i="12"/>
  <c r="AM153" i="12"/>
  <c r="AK153" i="12"/>
  <c r="AI153" i="12"/>
  <c r="AG153" i="12"/>
  <c r="AE153" i="12"/>
  <c r="Y153" i="12"/>
  <c r="Z153" i="12" s="1"/>
  <c r="AA153" i="12" s="1"/>
  <c r="AB153" i="12" s="1"/>
  <c r="AC153" i="12" s="1"/>
  <c r="W153" i="12"/>
  <c r="U153" i="12"/>
  <c r="S153" i="12"/>
  <c r="Q153" i="12"/>
  <c r="K153" i="12"/>
  <c r="L153" i="12" s="1"/>
  <c r="M153" i="12" s="1"/>
  <c r="N153" i="12" s="1"/>
  <c r="O153" i="12" s="1"/>
  <c r="G153" i="12"/>
  <c r="I153" i="12" s="1"/>
  <c r="BP152" i="12"/>
  <c r="BM152" i="12"/>
  <c r="BA152" i="12"/>
  <c r="AY152" i="12"/>
  <c r="AW152" i="12"/>
  <c r="AU152" i="12"/>
  <c r="AS152" i="12"/>
  <c r="AQ152" i="12"/>
  <c r="AO152" i="12"/>
  <c r="AM152" i="12"/>
  <c r="AK152" i="12"/>
  <c r="AI152" i="12"/>
  <c r="AG152" i="12"/>
  <c r="AE152" i="12"/>
  <c r="Z152" i="12"/>
  <c r="AA152" i="12" s="1"/>
  <c r="AB152" i="12" s="1"/>
  <c r="AC152" i="12" s="1"/>
  <c r="Y152" i="12"/>
  <c r="W152" i="12"/>
  <c r="U152" i="12"/>
  <c r="S152" i="12"/>
  <c r="Q152" i="12"/>
  <c r="K152" i="12"/>
  <c r="L152" i="12" s="1"/>
  <c r="M152" i="12" s="1"/>
  <c r="N152" i="12" s="1"/>
  <c r="G152" i="12"/>
  <c r="I152" i="12" s="1"/>
  <c r="BP151" i="12"/>
  <c r="BM151" i="12"/>
  <c r="BA151" i="12"/>
  <c r="AY151" i="12"/>
  <c r="AW151" i="12"/>
  <c r="AU151" i="12"/>
  <c r="AS151" i="12"/>
  <c r="AQ151" i="12"/>
  <c r="AO151" i="12"/>
  <c r="AM151" i="12"/>
  <c r="AK151" i="12"/>
  <c r="AI151" i="12"/>
  <c r="AG151" i="12"/>
  <c r="AE151" i="12"/>
  <c r="Z151" i="12"/>
  <c r="AA151" i="12" s="1"/>
  <c r="AB151" i="12" s="1"/>
  <c r="AC151" i="12" s="1"/>
  <c r="Y151" i="12"/>
  <c r="W151" i="12"/>
  <c r="U151" i="12"/>
  <c r="S151" i="12"/>
  <c r="Q151" i="12"/>
  <c r="K151" i="12"/>
  <c r="L151" i="12" s="1"/>
  <c r="M151" i="12" s="1"/>
  <c r="N151" i="12" s="1"/>
  <c r="G151" i="12"/>
  <c r="I151" i="12" s="1"/>
  <c r="BP150" i="12"/>
  <c r="BM150" i="12"/>
  <c r="BA150" i="12"/>
  <c r="AY150" i="12"/>
  <c r="AW150" i="12"/>
  <c r="AU150" i="12"/>
  <c r="AS150" i="12"/>
  <c r="AQ150" i="12"/>
  <c r="AO150" i="12"/>
  <c r="AM150" i="12"/>
  <c r="AK150" i="12"/>
  <c r="AI150" i="12"/>
  <c r="AG150" i="12"/>
  <c r="AE150" i="12"/>
  <c r="Z150" i="12"/>
  <c r="AA150" i="12" s="1"/>
  <c r="AB150" i="12" s="1"/>
  <c r="AC150" i="12" s="1"/>
  <c r="Y150" i="12"/>
  <c r="W150" i="12"/>
  <c r="U150" i="12"/>
  <c r="S150" i="12"/>
  <c r="Q150" i="12"/>
  <c r="K150" i="12"/>
  <c r="L150" i="12" s="1"/>
  <c r="M150" i="12" s="1"/>
  <c r="N150" i="12" s="1"/>
  <c r="I150" i="12"/>
  <c r="G150" i="12"/>
  <c r="BP149" i="12"/>
  <c r="BM149" i="12"/>
  <c r="BA149" i="12"/>
  <c r="AY149" i="12"/>
  <c r="AW149" i="12"/>
  <c r="AU149" i="12"/>
  <c r="AS149" i="12"/>
  <c r="AQ149" i="12"/>
  <c r="AO149" i="12"/>
  <c r="AM149" i="12"/>
  <c r="AK149" i="12"/>
  <c r="AI149" i="12"/>
  <c r="AG149" i="12"/>
  <c r="AE149" i="12"/>
  <c r="Z149" i="12"/>
  <c r="AA149" i="12" s="1"/>
  <c r="AB149" i="12" s="1"/>
  <c r="AC149" i="12" s="1"/>
  <c r="Y149" i="12"/>
  <c r="W149" i="12"/>
  <c r="U149" i="12"/>
  <c r="S149" i="12"/>
  <c r="Q149" i="12"/>
  <c r="K149" i="12"/>
  <c r="L149" i="12" s="1"/>
  <c r="M149" i="12" s="1"/>
  <c r="N149" i="12" s="1"/>
  <c r="G149" i="12"/>
  <c r="I149" i="12" s="1"/>
  <c r="BP148" i="12"/>
  <c r="BM148" i="12"/>
  <c r="BA148" i="12"/>
  <c r="AY148" i="12"/>
  <c r="AW148" i="12"/>
  <c r="AU148" i="12"/>
  <c r="AS148" i="12"/>
  <c r="AQ148" i="12"/>
  <c r="AO148" i="12"/>
  <c r="AM148" i="12"/>
  <c r="AK148" i="12"/>
  <c r="AI148" i="12"/>
  <c r="AG148" i="12"/>
  <c r="AE148" i="12"/>
  <c r="Y148" i="12"/>
  <c r="Z148" i="12" s="1"/>
  <c r="AA148" i="12" s="1"/>
  <c r="AB148" i="12" s="1"/>
  <c r="AC148" i="12" s="1"/>
  <c r="W148" i="12"/>
  <c r="U148" i="12"/>
  <c r="S148" i="12"/>
  <c r="Q148" i="12"/>
  <c r="K148" i="12"/>
  <c r="L148" i="12" s="1"/>
  <c r="M148" i="12" s="1"/>
  <c r="N148" i="12" s="1"/>
  <c r="G148" i="12"/>
  <c r="I148" i="12" s="1"/>
  <c r="BP147" i="12"/>
  <c r="BM147" i="12"/>
  <c r="BA147" i="12"/>
  <c r="AY147" i="12"/>
  <c r="AW147" i="12"/>
  <c r="AU147" i="12"/>
  <c r="AS147" i="12"/>
  <c r="AQ147" i="12"/>
  <c r="AO147" i="12"/>
  <c r="AM147" i="12"/>
  <c r="AK147" i="12"/>
  <c r="AI147" i="12"/>
  <c r="AG147" i="12"/>
  <c r="AE147" i="12"/>
  <c r="Y147" i="12"/>
  <c r="Z147" i="12" s="1"/>
  <c r="AA147" i="12" s="1"/>
  <c r="AB147" i="12" s="1"/>
  <c r="AC147" i="12" s="1"/>
  <c r="W147" i="12"/>
  <c r="U147" i="12"/>
  <c r="S147" i="12"/>
  <c r="Q147" i="12"/>
  <c r="K147" i="12"/>
  <c r="L147" i="12" s="1"/>
  <c r="M147" i="12" s="1"/>
  <c r="N147" i="12" s="1"/>
  <c r="O147" i="12" s="1"/>
  <c r="G147" i="12"/>
  <c r="I147" i="12" s="1"/>
  <c r="BP146" i="12"/>
  <c r="BM146" i="12"/>
  <c r="BA146" i="12"/>
  <c r="AY146" i="12"/>
  <c r="AW146" i="12"/>
  <c r="AU146" i="12"/>
  <c r="AS146" i="12"/>
  <c r="AQ146" i="12"/>
  <c r="AO146" i="12"/>
  <c r="AM146" i="12"/>
  <c r="AK146" i="12"/>
  <c r="AI146" i="12"/>
  <c r="AG146" i="12"/>
  <c r="AE146" i="12"/>
  <c r="Y146" i="12"/>
  <c r="Z146" i="12" s="1"/>
  <c r="AA146" i="12" s="1"/>
  <c r="AB146" i="12" s="1"/>
  <c r="W146" i="12"/>
  <c r="U146" i="12"/>
  <c r="S146" i="12"/>
  <c r="Q146" i="12"/>
  <c r="K146" i="12"/>
  <c r="L146" i="12" s="1"/>
  <c r="M146" i="12" s="1"/>
  <c r="N146" i="12" s="1"/>
  <c r="O146" i="12" s="1"/>
  <c r="G146" i="12"/>
  <c r="I146" i="12" s="1"/>
  <c r="BP145" i="12"/>
  <c r="BM145" i="12"/>
  <c r="BA145" i="12"/>
  <c r="AY145" i="12"/>
  <c r="AW145" i="12"/>
  <c r="AU145" i="12"/>
  <c r="AS145" i="12"/>
  <c r="AQ145" i="12"/>
  <c r="AO145" i="12"/>
  <c r="AM145" i="12"/>
  <c r="AK145" i="12"/>
  <c r="AI145" i="12"/>
  <c r="AG145" i="12"/>
  <c r="AE145" i="12"/>
  <c r="Y145" i="12"/>
  <c r="Z145" i="12" s="1"/>
  <c r="AA145" i="12" s="1"/>
  <c r="AB145" i="12" s="1"/>
  <c r="AC145" i="12" s="1"/>
  <c r="W145" i="12"/>
  <c r="U145" i="12"/>
  <c r="S145" i="12"/>
  <c r="Q145" i="12"/>
  <c r="K145" i="12"/>
  <c r="L145" i="12" s="1"/>
  <c r="M145" i="12" s="1"/>
  <c r="N145" i="12" s="1"/>
  <c r="G145" i="12"/>
  <c r="I145" i="12" s="1"/>
  <c r="BP144" i="12"/>
  <c r="BM144" i="12"/>
  <c r="BA144" i="12"/>
  <c r="AY144" i="12"/>
  <c r="AW144" i="12"/>
  <c r="AU144" i="12"/>
  <c r="AS144" i="12"/>
  <c r="AQ144" i="12"/>
  <c r="AO144" i="12"/>
  <c r="AM144" i="12"/>
  <c r="AK144" i="12"/>
  <c r="AI144" i="12"/>
  <c r="AG144" i="12"/>
  <c r="AE144" i="12"/>
  <c r="Y144" i="12"/>
  <c r="Z144" i="12" s="1"/>
  <c r="AA144" i="12" s="1"/>
  <c r="AB144" i="12" s="1"/>
  <c r="AC144" i="12" s="1"/>
  <c r="W144" i="12"/>
  <c r="U144" i="12"/>
  <c r="S144" i="12"/>
  <c r="Q144" i="12"/>
  <c r="K144" i="12"/>
  <c r="L144" i="12" s="1"/>
  <c r="M144" i="12" s="1"/>
  <c r="N144" i="12" s="1"/>
  <c r="G144" i="12"/>
  <c r="I144" i="12" s="1"/>
  <c r="BP143" i="12"/>
  <c r="BM143" i="12"/>
  <c r="BA143" i="12"/>
  <c r="AY143" i="12"/>
  <c r="AW143" i="12"/>
  <c r="AU143" i="12"/>
  <c r="AS143" i="12"/>
  <c r="AQ143" i="12"/>
  <c r="AO143" i="12"/>
  <c r="AM143" i="12"/>
  <c r="AK143" i="12"/>
  <c r="AI143" i="12"/>
  <c r="AG143" i="12"/>
  <c r="AE143" i="12"/>
  <c r="Y143" i="12"/>
  <c r="Z143" i="12" s="1"/>
  <c r="AA143" i="12" s="1"/>
  <c r="AB143" i="12" s="1"/>
  <c r="AC143" i="12" s="1"/>
  <c r="W143" i="12"/>
  <c r="U143" i="12"/>
  <c r="S143" i="12"/>
  <c r="Q143" i="12"/>
  <c r="K143" i="12"/>
  <c r="L143" i="12" s="1"/>
  <c r="M143" i="12" s="1"/>
  <c r="N143" i="12" s="1"/>
  <c r="G143" i="12"/>
  <c r="I143" i="12" s="1"/>
  <c r="BP142" i="12"/>
  <c r="BM142" i="12"/>
  <c r="BA142" i="12"/>
  <c r="AY142" i="12"/>
  <c r="AW142" i="12"/>
  <c r="AU142" i="12"/>
  <c r="AS142" i="12"/>
  <c r="AQ142" i="12"/>
  <c r="AO142" i="12"/>
  <c r="AM142" i="12"/>
  <c r="AK142" i="12"/>
  <c r="AI142" i="12"/>
  <c r="AG142" i="12"/>
  <c r="AE142" i="12"/>
  <c r="Y142" i="12"/>
  <c r="Z142" i="12" s="1"/>
  <c r="AA142" i="12" s="1"/>
  <c r="AB142" i="12" s="1"/>
  <c r="AC142" i="12" s="1"/>
  <c r="W142" i="12"/>
  <c r="U142" i="12"/>
  <c r="S142" i="12"/>
  <c r="Q142" i="12"/>
  <c r="K142" i="12"/>
  <c r="L142" i="12" s="1"/>
  <c r="M142" i="12" s="1"/>
  <c r="N142" i="12" s="1"/>
  <c r="G142" i="12"/>
  <c r="I142" i="12" s="1"/>
  <c r="BP141" i="12"/>
  <c r="BM141" i="12"/>
  <c r="BA141" i="12"/>
  <c r="AY141" i="12"/>
  <c r="AW141" i="12"/>
  <c r="AU141" i="12"/>
  <c r="AS141" i="12"/>
  <c r="AQ141" i="12"/>
  <c r="AO141" i="12"/>
  <c r="AM141" i="12"/>
  <c r="AK141" i="12"/>
  <c r="AI141" i="12"/>
  <c r="AG141" i="12"/>
  <c r="AE141" i="12"/>
  <c r="Y141" i="12"/>
  <c r="Z141" i="12" s="1"/>
  <c r="AA141" i="12" s="1"/>
  <c r="AB141" i="12" s="1"/>
  <c r="AC141" i="12" s="1"/>
  <c r="W141" i="12"/>
  <c r="U141" i="12"/>
  <c r="S141" i="12"/>
  <c r="Q141" i="12"/>
  <c r="K141" i="12"/>
  <c r="L141" i="12" s="1"/>
  <c r="M141" i="12" s="1"/>
  <c r="N141" i="12" s="1"/>
  <c r="O141" i="12" s="1"/>
  <c r="G141" i="12"/>
  <c r="I141" i="12" s="1"/>
  <c r="BP140" i="12"/>
  <c r="BM140" i="12"/>
  <c r="BA140" i="12"/>
  <c r="AY140" i="12"/>
  <c r="AW140" i="12"/>
  <c r="AU140" i="12"/>
  <c r="AS140" i="12"/>
  <c r="AQ140" i="12"/>
  <c r="AO140" i="12"/>
  <c r="AM140" i="12"/>
  <c r="AK140" i="12"/>
  <c r="AI140" i="12"/>
  <c r="AG140" i="12"/>
  <c r="AE140" i="12"/>
  <c r="Y140" i="12"/>
  <c r="Z140" i="12" s="1"/>
  <c r="AA140" i="12" s="1"/>
  <c r="AB140" i="12" s="1"/>
  <c r="AC140" i="12" s="1"/>
  <c r="W140" i="12"/>
  <c r="U140" i="12"/>
  <c r="S140" i="12"/>
  <c r="Q140" i="12"/>
  <c r="K140" i="12"/>
  <c r="L140" i="12" s="1"/>
  <c r="M140" i="12" s="1"/>
  <c r="N140" i="12" s="1"/>
  <c r="G140" i="12"/>
  <c r="I140" i="12" s="1"/>
  <c r="BP139" i="12"/>
  <c r="BM139" i="12"/>
  <c r="BB139" i="12"/>
  <c r="BI139" i="12" s="1"/>
  <c r="BA139" i="12"/>
  <c r="AY139" i="12"/>
  <c r="AW139" i="12"/>
  <c r="AU139" i="12"/>
  <c r="AS139" i="12"/>
  <c r="AQ139" i="12"/>
  <c r="AO139" i="12"/>
  <c r="AM139" i="12"/>
  <c r="AK139" i="12"/>
  <c r="AI139" i="12"/>
  <c r="AG139" i="12"/>
  <c r="AE139" i="12"/>
  <c r="Y139" i="12"/>
  <c r="Z139" i="12" s="1"/>
  <c r="AA139" i="12" s="1"/>
  <c r="AB139" i="12" s="1"/>
  <c r="AC139" i="12" s="1"/>
  <c r="W139" i="12"/>
  <c r="U139" i="12"/>
  <c r="S139" i="12"/>
  <c r="Q139" i="12"/>
  <c r="K139" i="12"/>
  <c r="L139" i="12" s="1"/>
  <c r="M139" i="12" s="1"/>
  <c r="N139" i="12" s="1"/>
  <c r="O139" i="12" s="1"/>
  <c r="I139" i="12"/>
  <c r="G139" i="12"/>
  <c r="BP138" i="12"/>
  <c r="BM138" i="12"/>
  <c r="BA138" i="12"/>
  <c r="AY138" i="12"/>
  <c r="AW138" i="12"/>
  <c r="AU138" i="12"/>
  <c r="AS138" i="12"/>
  <c r="AQ138" i="12"/>
  <c r="AO138" i="12"/>
  <c r="AM138" i="12"/>
  <c r="AK138" i="12"/>
  <c r="AI138" i="12"/>
  <c r="AG138" i="12"/>
  <c r="AE138" i="12"/>
  <c r="Z138" i="12"/>
  <c r="AA138" i="12" s="1"/>
  <c r="AB138" i="12" s="1"/>
  <c r="AC138" i="12" s="1"/>
  <c r="Y138" i="12"/>
  <c r="W138" i="12"/>
  <c r="U138" i="12"/>
  <c r="S138" i="12"/>
  <c r="Q138" i="12"/>
  <c r="K138" i="12"/>
  <c r="L138" i="12" s="1"/>
  <c r="M138" i="12" s="1"/>
  <c r="N138" i="12" s="1"/>
  <c r="G138" i="12"/>
  <c r="I138" i="12" s="1"/>
  <c r="BP137" i="12"/>
  <c r="BM137" i="12"/>
  <c r="BA137" i="12"/>
  <c r="AY137" i="12"/>
  <c r="AW137" i="12"/>
  <c r="AU137" i="12"/>
  <c r="AS137" i="12"/>
  <c r="AQ137" i="12"/>
  <c r="AO137" i="12"/>
  <c r="AM137" i="12"/>
  <c r="AK137" i="12"/>
  <c r="AI137" i="12"/>
  <c r="AG137" i="12"/>
  <c r="AE137" i="12"/>
  <c r="Y137" i="12"/>
  <c r="Z137" i="12" s="1"/>
  <c r="AA137" i="12" s="1"/>
  <c r="AB137" i="12" s="1"/>
  <c r="AC137" i="12" s="1"/>
  <c r="W137" i="12"/>
  <c r="U137" i="12"/>
  <c r="S137" i="12"/>
  <c r="Q137" i="12"/>
  <c r="L137" i="12"/>
  <c r="M137" i="12" s="1"/>
  <c r="N137" i="12" s="1"/>
  <c r="K137" i="12"/>
  <c r="I137" i="12"/>
  <c r="G137" i="12"/>
  <c r="BP136" i="12"/>
  <c r="BM136" i="12"/>
  <c r="BA136" i="12"/>
  <c r="AY136" i="12"/>
  <c r="AW136" i="12"/>
  <c r="AU136" i="12"/>
  <c r="AS136" i="12"/>
  <c r="AQ136" i="12"/>
  <c r="AO136" i="12"/>
  <c r="AM136" i="12"/>
  <c r="AK136" i="12"/>
  <c r="AI136" i="12"/>
  <c r="AG136" i="12"/>
  <c r="AE136" i="12"/>
  <c r="Y136" i="12"/>
  <c r="Z136" i="12" s="1"/>
  <c r="AA136" i="12" s="1"/>
  <c r="AB136" i="12" s="1"/>
  <c r="AC136" i="12" s="1"/>
  <c r="W136" i="12"/>
  <c r="U136" i="12"/>
  <c r="S136" i="12"/>
  <c r="Q136" i="12"/>
  <c r="K136" i="12"/>
  <c r="L136" i="12" s="1"/>
  <c r="M136" i="12" s="1"/>
  <c r="N136" i="12" s="1"/>
  <c r="G136" i="12"/>
  <c r="I136" i="12" s="1"/>
  <c r="BP135" i="12"/>
  <c r="BM135" i="12"/>
  <c r="BA135" i="12"/>
  <c r="AY135" i="12"/>
  <c r="AW135" i="12"/>
  <c r="AU135" i="12"/>
  <c r="AS135" i="12"/>
  <c r="AQ135" i="12"/>
  <c r="AO135" i="12"/>
  <c r="AM135" i="12"/>
  <c r="AK135" i="12"/>
  <c r="AI135" i="12"/>
  <c r="AG135" i="12"/>
  <c r="AE135" i="12"/>
  <c r="Z135" i="12"/>
  <c r="AA135" i="12" s="1"/>
  <c r="AB135" i="12" s="1"/>
  <c r="Y135" i="12"/>
  <c r="W135" i="12"/>
  <c r="U135" i="12"/>
  <c r="S135" i="12"/>
  <c r="Q135" i="12"/>
  <c r="L135" i="12"/>
  <c r="M135" i="12" s="1"/>
  <c r="N135" i="12" s="1"/>
  <c r="O135" i="12" s="1"/>
  <c r="K135" i="12"/>
  <c r="G135" i="12"/>
  <c r="I135" i="12" s="1"/>
  <c r="BP134" i="12"/>
  <c r="BM134" i="12"/>
  <c r="BA134" i="12"/>
  <c r="AY134" i="12"/>
  <c r="AW134" i="12"/>
  <c r="AU134" i="12"/>
  <c r="AS134" i="12"/>
  <c r="AQ134" i="12"/>
  <c r="AO134" i="12"/>
  <c r="AM134" i="12"/>
  <c r="AK134" i="12"/>
  <c r="AI134" i="12"/>
  <c r="AG134" i="12"/>
  <c r="AE134" i="12"/>
  <c r="Z134" i="12"/>
  <c r="AA134" i="12" s="1"/>
  <c r="AB134" i="12" s="1"/>
  <c r="AC134" i="12" s="1"/>
  <c r="Y134" i="12"/>
  <c r="W134" i="12"/>
  <c r="U134" i="12"/>
  <c r="S134" i="12"/>
  <c r="Q134" i="12"/>
  <c r="K134" i="12"/>
  <c r="L134" i="12" s="1"/>
  <c r="M134" i="12" s="1"/>
  <c r="N134" i="12" s="1"/>
  <c r="O134" i="12" s="1"/>
  <c r="G134" i="12"/>
  <c r="I134" i="12" s="1"/>
  <c r="BP133" i="12"/>
  <c r="BM133" i="12"/>
  <c r="BA133" i="12"/>
  <c r="AY133" i="12"/>
  <c r="AW133" i="12"/>
  <c r="AU133" i="12"/>
  <c r="AS133" i="12"/>
  <c r="AQ133" i="12"/>
  <c r="AO133" i="12"/>
  <c r="AM133" i="12"/>
  <c r="AK133" i="12"/>
  <c r="AI133" i="12"/>
  <c r="AG133" i="12"/>
  <c r="AE133" i="12"/>
  <c r="Y133" i="12"/>
  <c r="Z133" i="12" s="1"/>
  <c r="AA133" i="12" s="1"/>
  <c r="AB133" i="12" s="1"/>
  <c r="AC133" i="12" s="1"/>
  <c r="W133" i="12"/>
  <c r="U133" i="12"/>
  <c r="S133" i="12"/>
  <c r="Q133" i="12"/>
  <c r="K133" i="12"/>
  <c r="L133" i="12" s="1"/>
  <c r="M133" i="12" s="1"/>
  <c r="N133" i="12" s="1"/>
  <c r="O133" i="12" s="1"/>
  <c r="BC133" i="12" s="1"/>
  <c r="G133" i="12"/>
  <c r="I133" i="12" s="1"/>
  <c r="BP132" i="12"/>
  <c r="BM132" i="12"/>
  <c r="BA132" i="12"/>
  <c r="AY132" i="12"/>
  <c r="AW132" i="12"/>
  <c r="AU132" i="12"/>
  <c r="AS132" i="12"/>
  <c r="AQ132" i="12"/>
  <c r="AO132" i="12"/>
  <c r="AM132" i="12"/>
  <c r="AK132" i="12"/>
  <c r="AI132" i="12"/>
  <c r="AG132" i="12"/>
  <c r="AE132" i="12"/>
  <c r="Y132" i="12"/>
  <c r="Z132" i="12" s="1"/>
  <c r="AA132" i="12" s="1"/>
  <c r="AB132" i="12" s="1"/>
  <c r="AC132" i="12" s="1"/>
  <c r="W132" i="12"/>
  <c r="U132" i="12"/>
  <c r="S132" i="12"/>
  <c r="Q132" i="12"/>
  <c r="K132" i="12"/>
  <c r="L132" i="12" s="1"/>
  <c r="M132" i="12" s="1"/>
  <c r="N132" i="12" s="1"/>
  <c r="G132" i="12"/>
  <c r="I132" i="12" s="1"/>
  <c r="BP131" i="12"/>
  <c r="BM131" i="12"/>
  <c r="BA131" i="12"/>
  <c r="AY131" i="12"/>
  <c r="AW131" i="12"/>
  <c r="AU131" i="12"/>
  <c r="AS131" i="12"/>
  <c r="AQ131" i="12"/>
  <c r="AO131" i="12"/>
  <c r="AM131" i="12"/>
  <c r="AK131" i="12"/>
  <c r="AI131" i="12"/>
  <c r="AG131" i="12"/>
  <c r="AE131" i="12"/>
  <c r="Y131" i="12"/>
  <c r="Z131" i="12" s="1"/>
  <c r="AA131" i="12" s="1"/>
  <c r="AB131" i="12" s="1"/>
  <c r="AC131" i="12" s="1"/>
  <c r="W131" i="12"/>
  <c r="U131" i="12"/>
  <c r="S131" i="12"/>
  <c r="Q131" i="12"/>
  <c r="K131" i="12"/>
  <c r="L131" i="12" s="1"/>
  <c r="M131" i="12" s="1"/>
  <c r="N131" i="12" s="1"/>
  <c r="G131" i="12"/>
  <c r="I131" i="12" s="1"/>
  <c r="BP130" i="12"/>
  <c r="BM130" i="12"/>
  <c r="BA130" i="12"/>
  <c r="AY130" i="12"/>
  <c r="AW130" i="12"/>
  <c r="AU130" i="12"/>
  <c r="AS130" i="12"/>
  <c r="AQ130" i="12"/>
  <c r="AO130" i="12"/>
  <c r="AM130" i="12"/>
  <c r="AK130" i="12"/>
  <c r="AI130" i="12"/>
  <c r="AG130" i="12"/>
  <c r="AE130" i="12"/>
  <c r="Y130" i="12"/>
  <c r="Z130" i="12" s="1"/>
  <c r="AA130" i="12" s="1"/>
  <c r="AB130" i="12" s="1"/>
  <c r="AC130" i="12" s="1"/>
  <c r="W130" i="12"/>
  <c r="U130" i="12"/>
  <c r="S130" i="12"/>
  <c r="Q130" i="12"/>
  <c r="K130" i="12"/>
  <c r="L130" i="12" s="1"/>
  <c r="M130" i="12" s="1"/>
  <c r="N130" i="12" s="1"/>
  <c r="O130" i="12" s="1"/>
  <c r="BC130" i="12" s="1"/>
  <c r="G130" i="12"/>
  <c r="I130" i="12" s="1"/>
  <c r="BP129" i="12"/>
  <c r="BM129" i="12"/>
  <c r="BA129" i="12"/>
  <c r="AY129" i="12"/>
  <c r="AW129" i="12"/>
  <c r="AU129" i="12"/>
  <c r="AS129" i="12"/>
  <c r="AQ129" i="12"/>
  <c r="AO129" i="12"/>
  <c r="AM129" i="12"/>
  <c r="AK129" i="12"/>
  <c r="AI129" i="12"/>
  <c r="AG129" i="12"/>
  <c r="AE129" i="12"/>
  <c r="Y129" i="12"/>
  <c r="Z129" i="12" s="1"/>
  <c r="AA129" i="12" s="1"/>
  <c r="AB129" i="12" s="1"/>
  <c r="AC129" i="12" s="1"/>
  <c r="W129" i="12"/>
  <c r="U129" i="12"/>
  <c r="S129" i="12"/>
  <c r="Q129" i="12"/>
  <c r="K129" i="12"/>
  <c r="L129" i="12" s="1"/>
  <c r="M129" i="12" s="1"/>
  <c r="N129" i="12" s="1"/>
  <c r="G129" i="12"/>
  <c r="I129" i="12" s="1"/>
  <c r="BP128" i="12"/>
  <c r="BM128" i="12"/>
  <c r="BA128" i="12"/>
  <c r="AY128" i="12"/>
  <c r="AW128" i="12"/>
  <c r="AU128" i="12"/>
  <c r="AS128" i="12"/>
  <c r="AQ128" i="12"/>
  <c r="AO128" i="12"/>
  <c r="AM128" i="12"/>
  <c r="AK128" i="12"/>
  <c r="AI128" i="12"/>
  <c r="AG128" i="12"/>
  <c r="AE128" i="12"/>
  <c r="Y128" i="12"/>
  <c r="Z128" i="12" s="1"/>
  <c r="AA128" i="12" s="1"/>
  <c r="AB128" i="12" s="1"/>
  <c r="AC128" i="12" s="1"/>
  <c r="W128" i="12"/>
  <c r="U128" i="12"/>
  <c r="S128" i="12"/>
  <c r="Q128" i="12"/>
  <c r="K128" i="12"/>
  <c r="L128" i="12" s="1"/>
  <c r="M128" i="12" s="1"/>
  <c r="N128" i="12" s="1"/>
  <c r="O128" i="12" s="1"/>
  <c r="G128" i="12"/>
  <c r="I128" i="12" s="1"/>
  <c r="BP127" i="12"/>
  <c r="BM127" i="12"/>
  <c r="BA127" i="12"/>
  <c r="AY127" i="12"/>
  <c r="AW127" i="12"/>
  <c r="AU127" i="12"/>
  <c r="AS127" i="12"/>
  <c r="AQ127" i="12"/>
  <c r="AO127" i="12"/>
  <c r="AM127" i="12"/>
  <c r="AK127" i="12"/>
  <c r="AI127" i="12"/>
  <c r="AG127" i="12"/>
  <c r="AE127" i="12"/>
  <c r="Z127" i="12"/>
  <c r="AA127" i="12" s="1"/>
  <c r="AB127" i="12" s="1"/>
  <c r="AC127" i="12" s="1"/>
  <c r="Y127" i="12"/>
  <c r="W127" i="12"/>
  <c r="U127" i="12"/>
  <c r="S127" i="12"/>
  <c r="Q127" i="12"/>
  <c r="K127" i="12"/>
  <c r="L127" i="12" s="1"/>
  <c r="M127" i="12" s="1"/>
  <c r="N127" i="12" s="1"/>
  <c r="G127" i="12"/>
  <c r="I127" i="12" s="1"/>
  <c r="BP126" i="12"/>
  <c r="BM126" i="12"/>
  <c r="BA126" i="12"/>
  <c r="AY126" i="12"/>
  <c r="AW126" i="12"/>
  <c r="AU126" i="12"/>
  <c r="AS126" i="12"/>
  <c r="AQ126" i="12"/>
  <c r="AO126" i="12"/>
  <c r="AM126" i="12"/>
  <c r="AK126" i="12"/>
  <c r="AI126" i="12"/>
  <c r="AG126" i="12"/>
  <c r="AE126" i="12"/>
  <c r="Y126" i="12"/>
  <c r="Z126" i="12" s="1"/>
  <c r="AA126" i="12" s="1"/>
  <c r="AB126" i="12" s="1"/>
  <c r="AC126" i="12" s="1"/>
  <c r="W126" i="12"/>
  <c r="U126" i="12"/>
  <c r="S126" i="12"/>
  <c r="Q126" i="12"/>
  <c r="K126" i="12"/>
  <c r="L126" i="12" s="1"/>
  <c r="M126" i="12" s="1"/>
  <c r="N126" i="12" s="1"/>
  <c r="G126" i="12"/>
  <c r="I126" i="12" s="1"/>
  <c r="BP125" i="12"/>
  <c r="BM125" i="12"/>
  <c r="BA125" i="12"/>
  <c r="AY125" i="12"/>
  <c r="AW125" i="12"/>
  <c r="AU125" i="12"/>
  <c r="AS125" i="12"/>
  <c r="AQ125" i="12"/>
  <c r="AO125" i="12"/>
  <c r="AM125" i="12"/>
  <c r="AK125" i="12"/>
  <c r="AI125" i="12"/>
  <c r="AG125" i="12"/>
  <c r="AE125" i="12"/>
  <c r="Y125" i="12"/>
  <c r="Z125" i="12" s="1"/>
  <c r="AA125" i="12" s="1"/>
  <c r="AB125" i="12" s="1"/>
  <c r="AC125" i="12" s="1"/>
  <c r="W125" i="12"/>
  <c r="U125" i="12"/>
  <c r="S125" i="12"/>
  <c r="Q125" i="12"/>
  <c r="K125" i="12"/>
  <c r="L125" i="12" s="1"/>
  <c r="M125" i="12" s="1"/>
  <c r="N125" i="12" s="1"/>
  <c r="G125" i="12"/>
  <c r="I125" i="12" s="1"/>
  <c r="BP124" i="12"/>
  <c r="BM124" i="12"/>
  <c r="BA124" i="12"/>
  <c r="AY124" i="12"/>
  <c r="AW124" i="12"/>
  <c r="AU124" i="12"/>
  <c r="AS124" i="12"/>
  <c r="AQ124" i="12"/>
  <c r="AO124" i="12"/>
  <c r="AM124" i="12"/>
  <c r="AK124" i="12"/>
  <c r="AI124" i="12"/>
  <c r="AG124" i="12"/>
  <c r="AE124" i="12"/>
  <c r="Z124" i="12"/>
  <c r="AA124" i="12" s="1"/>
  <c r="AB124" i="12" s="1"/>
  <c r="AC124" i="12" s="1"/>
  <c r="Y124" i="12"/>
  <c r="W124" i="12"/>
  <c r="U124" i="12"/>
  <c r="S124" i="12"/>
  <c r="Q124" i="12"/>
  <c r="M124" i="12"/>
  <c r="N124" i="12" s="1"/>
  <c r="K124" i="12"/>
  <c r="L124" i="12" s="1"/>
  <c r="G124" i="12"/>
  <c r="I124" i="12" s="1"/>
  <c r="BP123" i="12"/>
  <c r="BM123" i="12"/>
  <c r="BA123" i="12"/>
  <c r="AY123" i="12"/>
  <c r="AW123" i="12"/>
  <c r="AU123" i="12"/>
  <c r="AS123" i="12"/>
  <c r="AQ123" i="12"/>
  <c r="AO123" i="12"/>
  <c r="AM123" i="12"/>
  <c r="AK123" i="12"/>
  <c r="AI123" i="12"/>
  <c r="AG123" i="12"/>
  <c r="AE123" i="12"/>
  <c r="Y123" i="12"/>
  <c r="Z123" i="12" s="1"/>
  <c r="AA123" i="12" s="1"/>
  <c r="AB123" i="12" s="1"/>
  <c r="AC123" i="12" s="1"/>
  <c r="W123" i="12"/>
  <c r="U123" i="12"/>
  <c r="S123" i="12"/>
  <c r="Q123" i="12"/>
  <c r="K123" i="12"/>
  <c r="L123" i="12" s="1"/>
  <c r="M123" i="12" s="1"/>
  <c r="N123" i="12" s="1"/>
  <c r="O123" i="12" s="1"/>
  <c r="G123" i="12"/>
  <c r="I123" i="12" s="1"/>
  <c r="BP122" i="12"/>
  <c r="BM122" i="12"/>
  <c r="BA122" i="12"/>
  <c r="AY122" i="12"/>
  <c r="AW122" i="12"/>
  <c r="AU122" i="12"/>
  <c r="AS122" i="12"/>
  <c r="AQ122" i="12"/>
  <c r="AO122" i="12"/>
  <c r="AM122" i="12"/>
  <c r="AK122" i="12"/>
  <c r="AI122" i="12"/>
  <c r="AG122" i="12"/>
  <c r="AE122" i="12"/>
  <c r="Z122" i="12"/>
  <c r="AA122" i="12" s="1"/>
  <c r="AB122" i="12" s="1"/>
  <c r="AC122" i="12" s="1"/>
  <c r="Y122" i="12"/>
  <c r="W122" i="12"/>
  <c r="U122" i="12"/>
  <c r="S122" i="12"/>
  <c r="Q122" i="12"/>
  <c r="K122" i="12"/>
  <c r="L122" i="12" s="1"/>
  <c r="M122" i="12" s="1"/>
  <c r="N122" i="12" s="1"/>
  <c r="G122" i="12"/>
  <c r="I122" i="12" s="1"/>
  <c r="BP121" i="12"/>
  <c r="BM121" i="12"/>
  <c r="BA121" i="12"/>
  <c r="AY121" i="12"/>
  <c r="AW121" i="12"/>
  <c r="AU121" i="12"/>
  <c r="AS121" i="12"/>
  <c r="AQ121" i="12"/>
  <c r="AO121" i="12"/>
  <c r="AM121" i="12"/>
  <c r="AK121" i="12"/>
  <c r="AI121" i="12"/>
  <c r="AG121" i="12"/>
  <c r="AE121" i="12"/>
  <c r="Y121" i="12"/>
  <c r="Z121" i="12" s="1"/>
  <c r="AA121" i="12" s="1"/>
  <c r="AB121" i="12" s="1"/>
  <c r="AC121" i="12" s="1"/>
  <c r="W121" i="12"/>
  <c r="U121" i="12"/>
  <c r="S121" i="12"/>
  <c r="Q121" i="12"/>
  <c r="L121" i="12"/>
  <c r="M121" i="12" s="1"/>
  <c r="N121" i="12" s="1"/>
  <c r="K121" i="12"/>
  <c r="G121" i="12"/>
  <c r="I121" i="12" s="1"/>
  <c r="BP120" i="12"/>
  <c r="BM120" i="12"/>
  <c r="BA120" i="12"/>
  <c r="AY120" i="12"/>
  <c r="AW120" i="12"/>
  <c r="AU120" i="12"/>
  <c r="AS120" i="12"/>
  <c r="AQ120" i="12"/>
  <c r="AO120" i="12"/>
  <c r="AM120" i="12"/>
  <c r="AK120" i="12"/>
  <c r="AI120" i="12"/>
  <c r="AG120" i="12"/>
  <c r="AE120" i="12"/>
  <c r="Y120" i="12"/>
  <c r="Z120" i="12" s="1"/>
  <c r="AA120" i="12" s="1"/>
  <c r="AB120" i="12" s="1"/>
  <c r="AC120" i="12" s="1"/>
  <c r="W120" i="12"/>
  <c r="U120" i="12"/>
  <c r="S120" i="12"/>
  <c r="Q120" i="12"/>
  <c r="K120" i="12"/>
  <c r="L120" i="12" s="1"/>
  <c r="M120" i="12" s="1"/>
  <c r="N120" i="12" s="1"/>
  <c r="O120" i="12" s="1"/>
  <c r="G120" i="12"/>
  <c r="I120" i="12" s="1"/>
  <c r="BP119" i="12"/>
  <c r="BM119" i="12"/>
  <c r="BA119" i="12"/>
  <c r="AY119" i="12"/>
  <c r="AW119" i="12"/>
  <c r="AU119" i="12"/>
  <c r="AS119" i="12"/>
  <c r="AQ119" i="12"/>
  <c r="AO119" i="12"/>
  <c r="AM119" i="12"/>
  <c r="AK119" i="12"/>
  <c r="AI119" i="12"/>
  <c r="AG119" i="12"/>
  <c r="AE119" i="12"/>
  <c r="Z119" i="12"/>
  <c r="AA119" i="12" s="1"/>
  <c r="AB119" i="12" s="1"/>
  <c r="AC119" i="12" s="1"/>
  <c r="Y119" i="12"/>
  <c r="W119" i="12"/>
  <c r="U119" i="12"/>
  <c r="S119" i="12"/>
  <c r="Q119" i="12"/>
  <c r="K119" i="12"/>
  <c r="L119" i="12" s="1"/>
  <c r="M119" i="12" s="1"/>
  <c r="N119" i="12" s="1"/>
  <c r="BB119" i="12" s="1"/>
  <c r="G119" i="12"/>
  <c r="I119" i="12" s="1"/>
  <c r="BP118" i="12"/>
  <c r="BM118" i="12"/>
  <c r="BA118" i="12"/>
  <c r="AY118" i="12"/>
  <c r="AW118" i="12"/>
  <c r="AU118" i="12"/>
  <c r="AS118" i="12"/>
  <c r="AQ118" i="12"/>
  <c r="AO118" i="12"/>
  <c r="AM118" i="12"/>
  <c r="AK118" i="12"/>
  <c r="AI118" i="12"/>
  <c r="AG118" i="12"/>
  <c r="AE118" i="12"/>
  <c r="Z118" i="12"/>
  <c r="AA118" i="12" s="1"/>
  <c r="AB118" i="12" s="1"/>
  <c r="AC118" i="12" s="1"/>
  <c r="Y118" i="12"/>
  <c r="W118" i="12"/>
  <c r="U118" i="12"/>
  <c r="S118" i="12"/>
  <c r="Q118" i="12"/>
  <c r="K118" i="12"/>
  <c r="L118" i="12" s="1"/>
  <c r="M118" i="12" s="1"/>
  <c r="N118" i="12" s="1"/>
  <c r="O118" i="12" s="1"/>
  <c r="G118" i="12"/>
  <c r="I118" i="12" s="1"/>
  <c r="BP117" i="12"/>
  <c r="BM117" i="12"/>
  <c r="BA117" i="12"/>
  <c r="AY117" i="12"/>
  <c r="AW117" i="12"/>
  <c r="AU117" i="12"/>
  <c r="AS117" i="12"/>
  <c r="AQ117" i="12"/>
  <c r="AO117" i="12"/>
  <c r="AM117" i="12"/>
  <c r="AK117" i="12"/>
  <c r="AI117" i="12"/>
  <c r="AG117" i="12"/>
  <c r="AE117" i="12"/>
  <c r="Y117" i="12"/>
  <c r="Z117" i="12" s="1"/>
  <c r="AA117" i="12" s="1"/>
  <c r="AB117" i="12" s="1"/>
  <c r="AC117" i="12" s="1"/>
  <c r="W117" i="12"/>
  <c r="U117" i="12"/>
  <c r="S117" i="12"/>
  <c r="Q117" i="12"/>
  <c r="K117" i="12"/>
  <c r="L117" i="12" s="1"/>
  <c r="M117" i="12" s="1"/>
  <c r="N117" i="12" s="1"/>
  <c r="O117" i="12" s="1"/>
  <c r="G117" i="12"/>
  <c r="I117" i="12" s="1"/>
  <c r="BP116" i="12"/>
  <c r="BM116" i="12"/>
  <c r="BA116" i="12"/>
  <c r="AY116" i="12"/>
  <c r="AW116" i="12"/>
  <c r="AU116" i="12"/>
  <c r="AS116" i="12"/>
  <c r="AQ116" i="12"/>
  <c r="AO116" i="12"/>
  <c r="AM116" i="12"/>
  <c r="AK116" i="12"/>
  <c r="AI116" i="12"/>
  <c r="AG116" i="12"/>
  <c r="AE116" i="12"/>
  <c r="Y116" i="12"/>
  <c r="Z116" i="12" s="1"/>
  <c r="AA116" i="12" s="1"/>
  <c r="AB116" i="12" s="1"/>
  <c r="AC116" i="12" s="1"/>
  <c r="W116" i="12"/>
  <c r="U116" i="12"/>
  <c r="S116" i="12"/>
  <c r="Q116" i="12"/>
  <c r="K116" i="12"/>
  <c r="L116" i="12" s="1"/>
  <c r="M116" i="12" s="1"/>
  <c r="N116" i="12" s="1"/>
  <c r="G116" i="12"/>
  <c r="I116" i="12" s="1"/>
  <c r="BP115" i="12"/>
  <c r="BM115" i="12"/>
  <c r="BA115" i="12"/>
  <c r="AY115" i="12"/>
  <c r="AW115" i="12"/>
  <c r="AU115" i="12"/>
  <c r="AS115" i="12"/>
  <c r="AQ115" i="12"/>
  <c r="AO115" i="12"/>
  <c r="AM115" i="12"/>
  <c r="AK115" i="12"/>
  <c r="AI115" i="12"/>
  <c r="AG115" i="12"/>
  <c r="AE115" i="12"/>
  <c r="Y115" i="12"/>
  <c r="Z115" i="12" s="1"/>
  <c r="AA115" i="12" s="1"/>
  <c r="AB115" i="12" s="1"/>
  <c r="AC115" i="12" s="1"/>
  <c r="W115" i="12"/>
  <c r="U115" i="12"/>
  <c r="S115" i="12"/>
  <c r="Q115" i="12"/>
  <c r="K115" i="12"/>
  <c r="L115" i="12" s="1"/>
  <c r="M115" i="12" s="1"/>
  <c r="N115" i="12" s="1"/>
  <c r="O115" i="12" s="1"/>
  <c r="BC115" i="12" s="1"/>
  <c r="G115" i="12"/>
  <c r="I115" i="12" s="1"/>
  <c r="BP114" i="12"/>
  <c r="BM114" i="12"/>
  <c r="BA114" i="12"/>
  <c r="AY114" i="12"/>
  <c r="AW114" i="12"/>
  <c r="AU114" i="12"/>
  <c r="AS114" i="12"/>
  <c r="AQ114" i="12"/>
  <c r="AO114" i="12"/>
  <c r="AM114" i="12"/>
  <c r="AK114" i="12"/>
  <c r="AI114" i="12"/>
  <c r="AG114" i="12"/>
  <c r="AE114" i="12"/>
  <c r="Y114" i="12"/>
  <c r="Z114" i="12" s="1"/>
  <c r="AA114" i="12" s="1"/>
  <c r="AB114" i="12" s="1"/>
  <c r="AC114" i="12" s="1"/>
  <c r="W114" i="12"/>
  <c r="U114" i="12"/>
  <c r="S114" i="12"/>
  <c r="Q114" i="12"/>
  <c r="K114" i="12"/>
  <c r="L114" i="12" s="1"/>
  <c r="M114" i="12" s="1"/>
  <c r="N114" i="12" s="1"/>
  <c r="G114" i="12"/>
  <c r="I114" i="12" s="1"/>
  <c r="BP113" i="12"/>
  <c r="BM113" i="12"/>
  <c r="BA113" i="12"/>
  <c r="AY113" i="12"/>
  <c r="AW113" i="12"/>
  <c r="AU113" i="12"/>
  <c r="AS113" i="12"/>
  <c r="AQ113" i="12"/>
  <c r="AO113" i="12"/>
  <c r="AM113" i="12"/>
  <c r="AK113" i="12"/>
  <c r="AI113" i="12"/>
  <c r="AG113" i="12"/>
  <c r="AE113" i="12"/>
  <c r="Z113" i="12"/>
  <c r="AA113" i="12" s="1"/>
  <c r="AB113" i="12" s="1"/>
  <c r="AC113" i="12" s="1"/>
  <c r="Y113" i="12"/>
  <c r="W113" i="12"/>
  <c r="U113" i="12"/>
  <c r="S113" i="12"/>
  <c r="Q113" i="12"/>
  <c r="K113" i="12"/>
  <c r="L113" i="12" s="1"/>
  <c r="M113" i="12" s="1"/>
  <c r="N113" i="12" s="1"/>
  <c r="G113" i="12"/>
  <c r="I113" i="12" s="1"/>
  <c r="BP112" i="12"/>
  <c r="BM112" i="12"/>
  <c r="BA112" i="12"/>
  <c r="AY112" i="12"/>
  <c r="AW112" i="12"/>
  <c r="AU112" i="12"/>
  <c r="AS112" i="12"/>
  <c r="AQ112" i="12"/>
  <c r="AO112" i="12"/>
  <c r="AM112" i="12"/>
  <c r="AK112" i="12"/>
  <c r="AI112" i="12"/>
  <c r="AG112" i="12"/>
  <c r="AE112" i="12"/>
  <c r="Z112" i="12"/>
  <c r="AA112" i="12" s="1"/>
  <c r="AB112" i="12" s="1"/>
  <c r="AC112" i="12" s="1"/>
  <c r="Y112" i="12"/>
  <c r="W112" i="12"/>
  <c r="U112" i="12"/>
  <c r="S112" i="12"/>
  <c r="Q112" i="12"/>
  <c r="K112" i="12"/>
  <c r="L112" i="12" s="1"/>
  <c r="M112" i="12" s="1"/>
  <c r="N112" i="12" s="1"/>
  <c r="G112" i="12"/>
  <c r="I112" i="12" s="1"/>
  <c r="BP111" i="12"/>
  <c r="BM111" i="12"/>
  <c r="BA111" i="12"/>
  <c r="AY111" i="12"/>
  <c r="AW111" i="12"/>
  <c r="AU111" i="12"/>
  <c r="AS111" i="12"/>
  <c r="AQ111" i="12"/>
  <c r="AO111" i="12"/>
  <c r="AM111" i="12"/>
  <c r="AK111" i="12"/>
  <c r="AI111" i="12"/>
  <c r="AG111" i="12"/>
  <c r="AE111" i="12"/>
  <c r="Y111" i="12"/>
  <c r="Z111" i="12" s="1"/>
  <c r="AA111" i="12" s="1"/>
  <c r="AB111" i="12" s="1"/>
  <c r="AC111" i="12" s="1"/>
  <c r="W111" i="12"/>
  <c r="U111" i="12"/>
  <c r="S111" i="12"/>
  <c r="Q111" i="12"/>
  <c r="K111" i="12"/>
  <c r="L111" i="12" s="1"/>
  <c r="M111" i="12" s="1"/>
  <c r="N111" i="12" s="1"/>
  <c r="G111" i="12"/>
  <c r="I111" i="12" s="1"/>
  <c r="BP110" i="12"/>
  <c r="BM110" i="12"/>
  <c r="BA110" i="12"/>
  <c r="AY110" i="12"/>
  <c r="AW110" i="12"/>
  <c r="AU110" i="12"/>
  <c r="AS110" i="12"/>
  <c r="AQ110" i="12"/>
  <c r="AO110" i="12"/>
  <c r="AM110" i="12"/>
  <c r="AK110" i="12"/>
  <c r="AI110" i="12"/>
  <c r="AG110" i="12"/>
  <c r="AE110" i="12"/>
  <c r="Y110" i="12"/>
  <c r="Z110" i="12" s="1"/>
  <c r="AA110" i="12" s="1"/>
  <c r="AB110" i="12" s="1"/>
  <c r="W110" i="12"/>
  <c r="U110" i="12"/>
  <c r="S110" i="12"/>
  <c r="Q110" i="12"/>
  <c r="K110" i="12"/>
  <c r="L110" i="12" s="1"/>
  <c r="M110" i="12" s="1"/>
  <c r="N110" i="12" s="1"/>
  <c r="O110" i="12" s="1"/>
  <c r="G110" i="12"/>
  <c r="I110" i="12" s="1"/>
  <c r="BP109" i="12"/>
  <c r="BM109" i="12"/>
  <c r="BA109" i="12"/>
  <c r="AY109" i="12"/>
  <c r="AW109" i="12"/>
  <c r="AU109" i="12"/>
  <c r="AS109" i="12"/>
  <c r="AQ109" i="12"/>
  <c r="AO109" i="12"/>
  <c r="AM109" i="12"/>
  <c r="AK109" i="12"/>
  <c r="AI109" i="12"/>
  <c r="AG109" i="12"/>
  <c r="AE109" i="12"/>
  <c r="Y109" i="12"/>
  <c r="Z109" i="12" s="1"/>
  <c r="AA109" i="12" s="1"/>
  <c r="AB109" i="12" s="1"/>
  <c r="AC109" i="12" s="1"/>
  <c r="W109" i="12"/>
  <c r="U109" i="12"/>
  <c r="S109" i="12"/>
  <c r="Q109" i="12"/>
  <c r="K109" i="12"/>
  <c r="L109" i="12" s="1"/>
  <c r="M109" i="12" s="1"/>
  <c r="N109" i="12" s="1"/>
  <c r="G109" i="12"/>
  <c r="I109" i="12" s="1"/>
  <c r="BP108" i="12"/>
  <c r="BM108" i="12"/>
  <c r="BA108" i="12"/>
  <c r="AY108" i="12"/>
  <c r="AW108" i="12"/>
  <c r="AU108" i="12"/>
  <c r="AS108" i="12"/>
  <c r="AQ108" i="12"/>
  <c r="AO108" i="12"/>
  <c r="AM108" i="12"/>
  <c r="AK108" i="12"/>
  <c r="AI108" i="12"/>
  <c r="AG108" i="12"/>
  <c r="AE108" i="12"/>
  <c r="Y108" i="12"/>
  <c r="Z108" i="12" s="1"/>
  <c r="AA108" i="12" s="1"/>
  <c r="AB108" i="12" s="1"/>
  <c r="W108" i="12"/>
  <c r="U108" i="12"/>
  <c r="S108" i="12"/>
  <c r="Q108" i="12"/>
  <c r="K108" i="12"/>
  <c r="L108" i="12" s="1"/>
  <c r="M108" i="12" s="1"/>
  <c r="N108" i="12" s="1"/>
  <c r="O108" i="12" s="1"/>
  <c r="G108" i="12"/>
  <c r="I108" i="12" s="1"/>
  <c r="BP107" i="12"/>
  <c r="BM107" i="12"/>
  <c r="BA107" i="12"/>
  <c r="AY107" i="12"/>
  <c r="AW107" i="12"/>
  <c r="AU107" i="12"/>
  <c r="AS107" i="12"/>
  <c r="AQ107" i="12"/>
  <c r="AO107" i="12"/>
  <c r="AM107" i="12"/>
  <c r="AK107" i="12"/>
  <c r="AI107" i="12"/>
  <c r="AG107" i="12"/>
  <c r="AE107" i="12"/>
  <c r="Y107" i="12"/>
  <c r="Z107" i="12" s="1"/>
  <c r="AA107" i="12" s="1"/>
  <c r="AB107" i="12" s="1"/>
  <c r="AC107" i="12" s="1"/>
  <c r="W107" i="12"/>
  <c r="U107" i="12"/>
  <c r="S107" i="12"/>
  <c r="Q107" i="12"/>
  <c r="K107" i="12"/>
  <c r="L107" i="12" s="1"/>
  <c r="M107" i="12" s="1"/>
  <c r="N107" i="12" s="1"/>
  <c r="G107" i="12"/>
  <c r="I107" i="12" s="1"/>
  <c r="BP106" i="12"/>
  <c r="BM106" i="12"/>
  <c r="BA106" i="12"/>
  <c r="AY106" i="12"/>
  <c r="AW106" i="12"/>
  <c r="AU106" i="12"/>
  <c r="AS106" i="12"/>
  <c r="AQ106" i="12"/>
  <c r="AO106" i="12"/>
  <c r="AM106" i="12"/>
  <c r="AK106" i="12"/>
  <c r="AI106" i="12"/>
  <c r="AG106" i="12"/>
  <c r="AE106" i="12"/>
  <c r="Y106" i="12"/>
  <c r="Z106" i="12" s="1"/>
  <c r="AA106" i="12" s="1"/>
  <c r="AB106" i="12" s="1"/>
  <c r="AC106" i="12" s="1"/>
  <c r="W106" i="12"/>
  <c r="U106" i="12"/>
  <c r="S106" i="12"/>
  <c r="Q106" i="12"/>
  <c r="K106" i="12"/>
  <c r="L106" i="12" s="1"/>
  <c r="M106" i="12" s="1"/>
  <c r="N106" i="12" s="1"/>
  <c r="G106" i="12"/>
  <c r="I106" i="12" s="1"/>
  <c r="BP105" i="12"/>
  <c r="BM105" i="12"/>
  <c r="BA105" i="12"/>
  <c r="AY105" i="12"/>
  <c r="AW105" i="12"/>
  <c r="AU105" i="12"/>
  <c r="AS105" i="12"/>
  <c r="AQ105" i="12"/>
  <c r="AO105" i="12"/>
  <c r="AM105" i="12"/>
  <c r="AK105" i="12"/>
  <c r="AI105" i="12"/>
  <c r="AG105" i="12"/>
  <c r="AE105" i="12"/>
  <c r="Y105" i="12"/>
  <c r="Z105" i="12" s="1"/>
  <c r="AA105" i="12" s="1"/>
  <c r="AB105" i="12" s="1"/>
  <c r="AC105" i="12" s="1"/>
  <c r="W105" i="12"/>
  <c r="U105" i="12"/>
  <c r="S105" i="12"/>
  <c r="Q105" i="12"/>
  <c r="K105" i="12"/>
  <c r="L105" i="12" s="1"/>
  <c r="M105" i="12" s="1"/>
  <c r="N105" i="12" s="1"/>
  <c r="G105" i="12"/>
  <c r="I105" i="12" s="1"/>
  <c r="BP104" i="12"/>
  <c r="BM104" i="12"/>
  <c r="BA104" i="12"/>
  <c r="AY104" i="12"/>
  <c r="AW104" i="12"/>
  <c r="AU104" i="12"/>
  <c r="AS104" i="12"/>
  <c r="AQ104" i="12"/>
  <c r="AO104" i="12"/>
  <c r="AM104" i="12"/>
  <c r="AK104" i="12"/>
  <c r="AI104" i="12"/>
  <c r="AG104" i="12"/>
  <c r="AE104" i="12"/>
  <c r="Y104" i="12"/>
  <c r="Z104" i="12" s="1"/>
  <c r="AA104" i="12" s="1"/>
  <c r="AB104" i="12" s="1"/>
  <c r="AC104" i="12" s="1"/>
  <c r="W104" i="12"/>
  <c r="U104" i="12"/>
  <c r="S104" i="12"/>
  <c r="Q104" i="12"/>
  <c r="K104" i="12"/>
  <c r="L104" i="12" s="1"/>
  <c r="M104" i="12" s="1"/>
  <c r="N104" i="12" s="1"/>
  <c r="G104" i="12"/>
  <c r="I104" i="12" s="1"/>
  <c r="BP103" i="12"/>
  <c r="BM103" i="12"/>
  <c r="BA103" i="12"/>
  <c r="AY103" i="12"/>
  <c r="AW103" i="12"/>
  <c r="AU103" i="12"/>
  <c r="AS103" i="12"/>
  <c r="AQ103" i="12"/>
  <c r="AO103" i="12"/>
  <c r="AM103" i="12"/>
  <c r="AK103" i="12"/>
  <c r="AI103" i="12"/>
  <c r="AG103" i="12"/>
  <c r="AE103" i="12"/>
  <c r="Y103" i="12"/>
  <c r="Z103" i="12" s="1"/>
  <c r="AA103" i="12" s="1"/>
  <c r="AB103" i="12" s="1"/>
  <c r="AC103" i="12" s="1"/>
  <c r="W103" i="12"/>
  <c r="U103" i="12"/>
  <c r="S103" i="12"/>
  <c r="Q103" i="12"/>
  <c r="L103" i="12"/>
  <c r="M103" i="12" s="1"/>
  <c r="N103" i="12" s="1"/>
  <c r="K103" i="12"/>
  <c r="G103" i="12"/>
  <c r="I103" i="12" s="1"/>
  <c r="BP102" i="12"/>
  <c r="BM102" i="12"/>
  <c r="BA102" i="12"/>
  <c r="AY102" i="12"/>
  <c r="AW102" i="12"/>
  <c r="AU102" i="12"/>
  <c r="AS102" i="12"/>
  <c r="AQ102" i="12"/>
  <c r="AO102" i="12"/>
  <c r="AM102" i="12"/>
  <c r="AK102" i="12"/>
  <c r="AI102" i="12"/>
  <c r="AG102" i="12"/>
  <c r="AE102" i="12"/>
  <c r="Y102" i="12"/>
  <c r="Z102" i="12" s="1"/>
  <c r="AA102" i="12" s="1"/>
  <c r="AB102" i="12" s="1"/>
  <c r="AC102" i="12" s="1"/>
  <c r="W102" i="12"/>
  <c r="U102" i="12"/>
  <c r="S102" i="12"/>
  <c r="Q102" i="12"/>
  <c r="L102" i="12"/>
  <c r="M102" i="12" s="1"/>
  <c r="N102" i="12" s="1"/>
  <c r="K102" i="12"/>
  <c r="G102" i="12"/>
  <c r="I102" i="12" s="1"/>
  <c r="BP101" i="12"/>
  <c r="BM101" i="12"/>
  <c r="BA101" i="12"/>
  <c r="AY101" i="12"/>
  <c r="AW101" i="12"/>
  <c r="AU101" i="12"/>
  <c r="AS101" i="12"/>
  <c r="AQ101" i="12"/>
  <c r="AO101" i="12"/>
  <c r="AM101" i="12"/>
  <c r="AK101" i="12"/>
  <c r="AI101" i="12"/>
  <c r="AG101" i="12"/>
  <c r="AE101" i="12"/>
  <c r="Z101" i="12"/>
  <c r="AA101" i="12" s="1"/>
  <c r="AB101" i="12" s="1"/>
  <c r="AC101" i="12" s="1"/>
  <c r="Y101" i="12"/>
  <c r="W101" i="12"/>
  <c r="U101" i="12"/>
  <c r="S101" i="12"/>
  <c r="Q101" i="12"/>
  <c r="K101" i="12"/>
  <c r="L101" i="12" s="1"/>
  <c r="M101" i="12" s="1"/>
  <c r="N101" i="12" s="1"/>
  <c r="G101" i="12"/>
  <c r="I101" i="12" s="1"/>
  <c r="BP100" i="12"/>
  <c r="BM100" i="12"/>
  <c r="BA100" i="12"/>
  <c r="AY100" i="12"/>
  <c r="AW100" i="12"/>
  <c r="AU100" i="12"/>
  <c r="AS100" i="12"/>
  <c r="AQ100" i="12"/>
  <c r="AO100" i="12"/>
  <c r="AM100" i="12"/>
  <c r="AK100" i="12"/>
  <c r="AI100" i="12"/>
  <c r="AG100" i="12"/>
  <c r="AE100" i="12"/>
  <c r="Z100" i="12"/>
  <c r="AA100" i="12" s="1"/>
  <c r="AB100" i="12" s="1"/>
  <c r="AC100" i="12" s="1"/>
  <c r="Y100" i="12"/>
  <c r="W100" i="12"/>
  <c r="U100" i="12"/>
  <c r="S100" i="12"/>
  <c r="Q100" i="12"/>
  <c r="K100" i="12"/>
  <c r="L100" i="12" s="1"/>
  <c r="M100" i="12" s="1"/>
  <c r="N100" i="12" s="1"/>
  <c r="G100" i="12"/>
  <c r="I100" i="12" s="1"/>
  <c r="BP99" i="12"/>
  <c r="BM99" i="12"/>
  <c r="BA99" i="12"/>
  <c r="AY99" i="12"/>
  <c r="AW99" i="12"/>
  <c r="AU99" i="12"/>
  <c r="AS99" i="12"/>
  <c r="AQ99" i="12"/>
  <c r="AO99" i="12"/>
  <c r="AM99" i="12"/>
  <c r="AK99" i="12"/>
  <c r="AI99" i="12"/>
  <c r="AG99" i="12"/>
  <c r="AE99" i="12"/>
  <c r="AB99" i="12"/>
  <c r="AC99" i="12" s="1"/>
  <c r="AA99" i="12"/>
  <c r="Y99" i="12"/>
  <c r="Z99" i="12" s="1"/>
  <c r="W99" i="12"/>
  <c r="U99" i="12"/>
  <c r="S99" i="12"/>
  <c r="Q99" i="12"/>
  <c r="N99" i="12"/>
  <c r="BB99" i="12" s="1"/>
  <c r="BK99" i="12" s="1"/>
  <c r="L99" i="12"/>
  <c r="M99" i="12" s="1"/>
  <c r="K99" i="12"/>
  <c r="G99" i="12"/>
  <c r="I99" i="12" s="1"/>
  <c r="BP98" i="12"/>
  <c r="BM98" i="12"/>
  <c r="BA98" i="12"/>
  <c r="AY98" i="12"/>
  <c r="AW98" i="12"/>
  <c r="AU98" i="12"/>
  <c r="AS98" i="12"/>
  <c r="AQ98" i="12"/>
  <c r="AO98" i="12"/>
  <c r="AM98" i="12"/>
  <c r="AK98" i="12"/>
  <c r="AI98" i="12"/>
  <c r="AG98" i="12"/>
  <c r="AE98" i="12"/>
  <c r="Y98" i="12"/>
  <c r="Z98" i="12" s="1"/>
  <c r="AA98" i="12" s="1"/>
  <c r="AB98" i="12" s="1"/>
  <c r="AC98" i="12" s="1"/>
  <c r="W98" i="12"/>
  <c r="U98" i="12"/>
  <c r="S98" i="12"/>
  <c r="Q98" i="12"/>
  <c r="M98" i="12"/>
  <c r="N98" i="12" s="1"/>
  <c r="L98" i="12"/>
  <c r="K98" i="12"/>
  <c r="G98" i="12"/>
  <c r="I98" i="12" s="1"/>
  <c r="BP97" i="12"/>
  <c r="BM97" i="12"/>
  <c r="BA97" i="12"/>
  <c r="AY97" i="12"/>
  <c r="AW97" i="12"/>
  <c r="AU97" i="12"/>
  <c r="AS97" i="12"/>
  <c r="AQ97" i="12"/>
  <c r="AO97" i="12"/>
  <c r="AM97" i="12"/>
  <c r="AK97" i="12"/>
  <c r="AI97" i="12"/>
  <c r="AG97" i="12"/>
  <c r="AE97" i="12"/>
  <c r="Y97" i="12"/>
  <c r="Z97" i="12" s="1"/>
  <c r="AA97" i="12" s="1"/>
  <c r="AB97" i="12" s="1"/>
  <c r="AC97" i="12" s="1"/>
  <c r="W97" i="12"/>
  <c r="U97" i="12"/>
  <c r="S97" i="12"/>
  <c r="Q97" i="12"/>
  <c r="L97" i="12"/>
  <c r="M97" i="12" s="1"/>
  <c r="N97" i="12" s="1"/>
  <c r="O97" i="12" s="1"/>
  <c r="K97" i="12"/>
  <c r="G97" i="12"/>
  <c r="I97" i="12" s="1"/>
  <c r="BP96" i="12"/>
  <c r="BM96" i="12"/>
  <c r="BA96" i="12"/>
  <c r="AY96" i="12"/>
  <c r="AW96" i="12"/>
  <c r="AU96" i="12"/>
  <c r="AS96" i="12"/>
  <c r="AQ96" i="12"/>
  <c r="AO96" i="12"/>
  <c r="AM96" i="12"/>
  <c r="AK96" i="12"/>
  <c r="AI96" i="12"/>
  <c r="AG96" i="12"/>
  <c r="AE96" i="12"/>
  <c r="Y96" i="12"/>
  <c r="Z96" i="12" s="1"/>
  <c r="AA96" i="12" s="1"/>
  <c r="AB96" i="12" s="1"/>
  <c r="AC96" i="12" s="1"/>
  <c r="W96" i="12"/>
  <c r="U96" i="12"/>
  <c r="S96" i="12"/>
  <c r="Q96" i="12"/>
  <c r="K96" i="12"/>
  <c r="L96" i="12" s="1"/>
  <c r="M96" i="12" s="1"/>
  <c r="N96" i="12" s="1"/>
  <c r="G96" i="12"/>
  <c r="I96" i="12" s="1"/>
  <c r="BP95" i="12"/>
  <c r="BM95" i="12"/>
  <c r="BA95" i="12"/>
  <c r="AY95" i="12"/>
  <c r="AW95" i="12"/>
  <c r="AU95" i="12"/>
  <c r="AS95" i="12"/>
  <c r="AQ95" i="12"/>
  <c r="AO95" i="12"/>
  <c r="AM95" i="12"/>
  <c r="AK95" i="12"/>
  <c r="AI95" i="12"/>
  <c r="AG95" i="12"/>
  <c r="AE95" i="12"/>
  <c r="Y95" i="12"/>
  <c r="Z95" i="12" s="1"/>
  <c r="AA95" i="12" s="1"/>
  <c r="AB95" i="12" s="1"/>
  <c r="AC95" i="12" s="1"/>
  <c r="W95" i="12"/>
  <c r="U95" i="12"/>
  <c r="S95" i="12"/>
  <c r="Q95" i="12"/>
  <c r="L95" i="12"/>
  <c r="M95" i="12" s="1"/>
  <c r="N95" i="12" s="1"/>
  <c r="K95" i="12"/>
  <c r="G95" i="12"/>
  <c r="I95" i="12" s="1"/>
  <c r="BP94" i="12"/>
  <c r="BM94" i="12"/>
  <c r="BA94" i="12"/>
  <c r="AY94" i="12"/>
  <c r="AW94" i="12"/>
  <c r="AU94" i="12"/>
  <c r="AS94" i="12"/>
  <c r="AQ94" i="12"/>
  <c r="AO94" i="12"/>
  <c r="AM94" i="12"/>
  <c r="AK94" i="12"/>
  <c r="AI94" i="12"/>
  <c r="AG94" i="12"/>
  <c r="AE94" i="12"/>
  <c r="Y94" i="12"/>
  <c r="Z94" i="12" s="1"/>
  <c r="AA94" i="12" s="1"/>
  <c r="AB94" i="12" s="1"/>
  <c r="AC94" i="12" s="1"/>
  <c r="W94" i="12"/>
  <c r="U94" i="12"/>
  <c r="S94" i="12"/>
  <c r="Q94" i="12"/>
  <c r="M94" i="12"/>
  <c r="N94" i="12" s="1"/>
  <c r="L94" i="12"/>
  <c r="K94" i="12"/>
  <c r="G94" i="12"/>
  <c r="I94" i="12" s="1"/>
  <c r="BP93" i="12"/>
  <c r="BM93" i="12"/>
  <c r="BA93" i="12"/>
  <c r="AY93" i="12"/>
  <c r="AW93" i="12"/>
  <c r="AU93" i="12"/>
  <c r="AS93" i="12"/>
  <c r="AQ93" i="12"/>
  <c r="AO93" i="12"/>
  <c r="AM93" i="12"/>
  <c r="AK93" i="12"/>
  <c r="AI93" i="12"/>
  <c r="AG93" i="12"/>
  <c r="AE93" i="12"/>
  <c r="Y93" i="12"/>
  <c r="Z93" i="12" s="1"/>
  <c r="AA93" i="12" s="1"/>
  <c r="AB93" i="12" s="1"/>
  <c r="AC93" i="12" s="1"/>
  <c r="W93" i="12"/>
  <c r="U93" i="12"/>
  <c r="S93" i="12"/>
  <c r="Q93" i="12"/>
  <c r="L93" i="12"/>
  <c r="M93" i="12" s="1"/>
  <c r="N93" i="12" s="1"/>
  <c r="K93" i="12"/>
  <c r="G93" i="12"/>
  <c r="I93" i="12" s="1"/>
  <c r="BP92" i="12"/>
  <c r="BM92" i="12"/>
  <c r="BA92" i="12"/>
  <c r="AY92" i="12"/>
  <c r="AW92" i="12"/>
  <c r="AU92" i="12"/>
  <c r="AS92" i="12"/>
  <c r="AQ92" i="12"/>
  <c r="AO92" i="12"/>
  <c r="AM92" i="12"/>
  <c r="AK92" i="12"/>
  <c r="AI92" i="12"/>
  <c r="AG92" i="12"/>
  <c r="AE92" i="12"/>
  <c r="Y92" i="12"/>
  <c r="Z92" i="12" s="1"/>
  <c r="AA92" i="12" s="1"/>
  <c r="AB92" i="12" s="1"/>
  <c r="AC92" i="12" s="1"/>
  <c r="W92" i="12"/>
  <c r="U92" i="12"/>
  <c r="S92" i="12"/>
  <c r="Q92" i="12"/>
  <c r="K92" i="12"/>
  <c r="L92" i="12" s="1"/>
  <c r="M92" i="12" s="1"/>
  <c r="N92" i="12" s="1"/>
  <c r="G92" i="12"/>
  <c r="I92" i="12" s="1"/>
  <c r="BP91" i="12"/>
  <c r="BM91" i="12"/>
  <c r="BA91" i="12"/>
  <c r="AY91" i="12"/>
  <c r="AW91" i="12"/>
  <c r="AU91" i="12"/>
  <c r="AS91" i="12"/>
  <c r="AQ91" i="12"/>
  <c r="AO91" i="12"/>
  <c r="AM91" i="12"/>
  <c r="AK91" i="12"/>
  <c r="AI91" i="12"/>
  <c r="AG91" i="12"/>
  <c r="AE91" i="12"/>
  <c r="Y91" i="12"/>
  <c r="Z91" i="12" s="1"/>
  <c r="AA91" i="12" s="1"/>
  <c r="AB91" i="12" s="1"/>
  <c r="AC91" i="12" s="1"/>
  <c r="W91" i="12"/>
  <c r="U91" i="12"/>
  <c r="S91" i="12"/>
  <c r="Q91" i="12"/>
  <c r="K91" i="12"/>
  <c r="L91" i="12" s="1"/>
  <c r="M91" i="12" s="1"/>
  <c r="N91" i="12" s="1"/>
  <c r="G91" i="12"/>
  <c r="I91" i="12" s="1"/>
  <c r="BP90" i="12"/>
  <c r="BM90" i="12"/>
  <c r="BA90" i="12"/>
  <c r="AY90" i="12"/>
  <c r="AW90" i="12"/>
  <c r="AU90" i="12"/>
  <c r="AS90" i="12"/>
  <c r="AQ90" i="12"/>
  <c r="AO90" i="12"/>
  <c r="AM90" i="12"/>
  <c r="AK90" i="12"/>
  <c r="AI90" i="12"/>
  <c r="AG90" i="12"/>
  <c r="AE90" i="12"/>
  <c r="Y90" i="12"/>
  <c r="Z90" i="12" s="1"/>
  <c r="AA90" i="12" s="1"/>
  <c r="AB90" i="12" s="1"/>
  <c r="AC90" i="12" s="1"/>
  <c r="W90" i="12"/>
  <c r="U90" i="12"/>
  <c r="S90" i="12"/>
  <c r="Q90" i="12"/>
  <c r="L90" i="12"/>
  <c r="M90" i="12" s="1"/>
  <c r="N90" i="12" s="1"/>
  <c r="K90" i="12"/>
  <c r="G90" i="12"/>
  <c r="I90" i="12" s="1"/>
  <c r="BP89" i="12"/>
  <c r="BM89" i="12"/>
  <c r="BA89" i="12"/>
  <c r="AY89" i="12"/>
  <c r="AW89" i="12"/>
  <c r="AU89" i="12"/>
  <c r="AS89" i="12"/>
  <c r="AQ89" i="12"/>
  <c r="AO89" i="12"/>
  <c r="AM89" i="12"/>
  <c r="AK89" i="12"/>
  <c r="AI89" i="12"/>
  <c r="AG89" i="12"/>
  <c r="AE89" i="12"/>
  <c r="Z89" i="12"/>
  <c r="AA89" i="12" s="1"/>
  <c r="AB89" i="12" s="1"/>
  <c r="AC89" i="12" s="1"/>
  <c r="Y89" i="12"/>
  <c r="W89" i="12"/>
  <c r="U89" i="12"/>
  <c r="S89" i="12"/>
  <c r="Q89" i="12"/>
  <c r="K89" i="12"/>
  <c r="L89" i="12" s="1"/>
  <c r="M89" i="12" s="1"/>
  <c r="N89" i="12" s="1"/>
  <c r="G89" i="12"/>
  <c r="I89" i="12" s="1"/>
  <c r="BP88" i="12"/>
  <c r="BM88" i="12"/>
  <c r="BA88" i="12"/>
  <c r="AY88" i="12"/>
  <c r="AW88" i="12"/>
  <c r="AU88" i="12"/>
  <c r="AS88" i="12"/>
  <c r="AQ88" i="12"/>
  <c r="AO88" i="12"/>
  <c r="AM88" i="12"/>
  <c r="AK88" i="12"/>
  <c r="AI88" i="12"/>
  <c r="AG88" i="12"/>
  <c r="AE88" i="12"/>
  <c r="Y88" i="12"/>
  <c r="Z88" i="12" s="1"/>
  <c r="AA88" i="12" s="1"/>
  <c r="AB88" i="12" s="1"/>
  <c r="AC88" i="12" s="1"/>
  <c r="W88" i="12"/>
  <c r="U88" i="12"/>
  <c r="S88" i="12"/>
  <c r="Q88" i="12"/>
  <c r="K88" i="12"/>
  <c r="L88" i="12" s="1"/>
  <c r="M88" i="12" s="1"/>
  <c r="N88" i="12" s="1"/>
  <c r="I88" i="12"/>
  <c r="G88" i="12"/>
  <c r="BP87" i="12"/>
  <c r="BM87" i="12"/>
  <c r="BA87" i="12"/>
  <c r="AY87" i="12"/>
  <c r="AW87" i="12"/>
  <c r="AU87" i="12"/>
  <c r="AS87" i="12"/>
  <c r="AQ87" i="12"/>
  <c r="AO87" i="12"/>
  <c r="AM87" i="12"/>
  <c r="AK87" i="12"/>
  <c r="AI87" i="12"/>
  <c r="AG87" i="12"/>
  <c r="AE87" i="12"/>
  <c r="Y87" i="12"/>
  <c r="Z87" i="12" s="1"/>
  <c r="AA87" i="12" s="1"/>
  <c r="AB87" i="12" s="1"/>
  <c r="AC87" i="12" s="1"/>
  <c r="W87" i="12"/>
  <c r="U87" i="12"/>
  <c r="S87" i="12"/>
  <c r="Q87" i="12"/>
  <c r="K87" i="12"/>
  <c r="L87" i="12" s="1"/>
  <c r="M87" i="12" s="1"/>
  <c r="N87" i="12" s="1"/>
  <c r="G87" i="12"/>
  <c r="I87" i="12" s="1"/>
  <c r="BP86" i="12"/>
  <c r="BM86" i="12"/>
  <c r="BA86" i="12"/>
  <c r="AY86" i="12"/>
  <c r="AW86" i="12"/>
  <c r="AU86" i="12"/>
  <c r="AS86" i="12"/>
  <c r="AQ86" i="12"/>
  <c r="AO86" i="12"/>
  <c r="AM86" i="12"/>
  <c r="AK86" i="12"/>
  <c r="AI86" i="12"/>
  <c r="AG86" i="12"/>
  <c r="AE86" i="12"/>
  <c r="Y86" i="12"/>
  <c r="Z86" i="12" s="1"/>
  <c r="AA86" i="12" s="1"/>
  <c r="AB86" i="12" s="1"/>
  <c r="AC86" i="12" s="1"/>
  <c r="W86" i="12"/>
  <c r="U86" i="12"/>
  <c r="S86" i="12"/>
  <c r="Q86" i="12"/>
  <c r="K86" i="12"/>
  <c r="L86" i="12" s="1"/>
  <c r="M86" i="12" s="1"/>
  <c r="N86" i="12" s="1"/>
  <c r="O86" i="12" s="1"/>
  <c r="G86" i="12"/>
  <c r="I86" i="12" s="1"/>
  <c r="BP85" i="12"/>
  <c r="BM85" i="12"/>
  <c r="BA85" i="12"/>
  <c r="AY85" i="12"/>
  <c r="AW85" i="12"/>
  <c r="AU85" i="12"/>
  <c r="AS85" i="12"/>
  <c r="AQ85" i="12"/>
  <c r="AO85" i="12"/>
  <c r="AM85" i="12"/>
  <c r="AK85" i="12"/>
  <c r="AI85" i="12"/>
  <c r="AG85" i="12"/>
  <c r="AE85" i="12"/>
  <c r="Y85" i="12"/>
  <c r="Z85" i="12" s="1"/>
  <c r="AA85" i="12" s="1"/>
  <c r="AB85" i="12" s="1"/>
  <c r="AC85" i="12" s="1"/>
  <c r="W85" i="12"/>
  <c r="U85" i="12"/>
  <c r="S85" i="12"/>
  <c r="Q85" i="12"/>
  <c r="K85" i="12"/>
  <c r="L85" i="12" s="1"/>
  <c r="M85" i="12" s="1"/>
  <c r="N85" i="12" s="1"/>
  <c r="G85" i="12"/>
  <c r="I85" i="12" s="1"/>
  <c r="BP84" i="12"/>
  <c r="BM84" i="12"/>
  <c r="BA84" i="12"/>
  <c r="AY84" i="12"/>
  <c r="AW84" i="12"/>
  <c r="AU84" i="12"/>
  <c r="AS84" i="12"/>
  <c r="AQ84" i="12"/>
  <c r="AO84" i="12"/>
  <c r="AM84" i="12"/>
  <c r="AK84" i="12"/>
  <c r="AI84" i="12"/>
  <c r="AG84" i="12"/>
  <c r="AE84" i="12"/>
  <c r="Y84" i="12"/>
  <c r="Z84" i="12" s="1"/>
  <c r="AA84" i="12" s="1"/>
  <c r="AB84" i="12" s="1"/>
  <c r="AC84" i="12" s="1"/>
  <c r="W84" i="12"/>
  <c r="U84" i="12"/>
  <c r="S84" i="12"/>
  <c r="Q84" i="12"/>
  <c r="K84" i="12"/>
  <c r="L84" i="12" s="1"/>
  <c r="M84" i="12" s="1"/>
  <c r="N84" i="12" s="1"/>
  <c r="G84" i="12"/>
  <c r="I84" i="12" s="1"/>
  <c r="BP83" i="12"/>
  <c r="BM83" i="12"/>
  <c r="BA83" i="12"/>
  <c r="AY83" i="12"/>
  <c r="AW83" i="12"/>
  <c r="AU83" i="12"/>
  <c r="AS83" i="12"/>
  <c r="AQ83" i="12"/>
  <c r="AO83" i="12"/>
  <c r="AM83" i="12"/>
  <c r="AK83" i="12"/>
  <c r="AI83" i="12"/>
  <c r="AG83" i="12"/>
  <c r="AE83" i="12"/>
  <c r="Y83" i="12"/>
  <c r="Z83" i="12" s="1"/>
  <c r="AA83" i="12" s="1"/>
  <c r="AB83" i="12" s="1"/>
  <c r="AC83" i="12" s="1"/>
  <c r="W83" i="12"/>
  <c r="U83" i="12"/>
  <c r="S83" i="12"/>
  <c r="Q83" i="12"/>
  <c r="L83" i="12"/>
  <c r="M83" i="12" s="1"/>
  <c r="N83" i="12" s="1"/>
  <c r="K83" i="12"/>
  <c r="G83" i="12"/>
  <c r="I83" i="12" s="1"/>
  <c r="BP82" i="12"/>
  <c r="BM82" i="12"/>
  <c r="BA82" i="12"/>
  <c r="AY82" i="12"/>
  <c r="AW82" i="12"/>
  <c r="AU82" i="12"/>
  <c r="AS82" i="12"/>
  <c r="AQ82" i="12"/>
  <c r="AO82" i="12"/>
  <c r="AM82" i="12"/>
  <c r="AK82" i="12"/>
  <c r="AI82" i="12"/>
  <c r="AG82" i="12"/>
  <c r="AE82" i="12"/>
  <c r="Y82" i="12"/>
  <c r="Z82" i="12" s="1"/>
  <c r="AA82" i="12" s="1"/>
  <c r="AB82" i="12" s="1"/>
  <c r="AC82" i="12" s="1"/>
  <c r="W82" i="12"/>
  <c r="U82" i="12"/>
  <c r="S82" i="12"/>
  <c r="Q82" i="12"/>
  <c r="K82" i="12"/>
  <c r="L82" i="12" s="1"/>
  <c r="M82" i="12" s="1"/>
  <c r="N82" i="12" s="1"/>
  <c r="O82" i="12" s="1"/>
  <c r="G82" i="12"/>
  <c r="I82" i="12" s="1"/>
  <c r="BP81" i="12"/>
  <c r="BM81" i="12"/>
  <c r="BA81" i="12"/>
  <c r="AY81" i="12"/>
  <c r="AW81" i="12"/>
  <c r="AU81" i="12"/>
  <c r="AS81" i="12"/>
  <c r="AQ81" i="12"/>
  <c r="AO81" i="12"/>
  <c r="AM81" i="12"/>
  <c r="AK81" i="12"/>
  <c r="AI81" i="12"/>
  <c r="AG81" i="12"/>
  <c r="AE81" i="12"/>
  <c r="Y81" i="12"/>
  <c r="Z81" i="12" s="1"/>
  <c r="AA81" i="12" s="1"/>
  <c r="AB81" i="12" s="1"/>
  <c r="AC81" i="12" s="1"/>
  <c r="W81" i="12"/>
  <c r="U81" i="12"/>
  <c r="S81" i="12"/>
  <c r="Q81" i="12"/>
  <c r="K81" i="12"/>
  <c r="L81" i="12" s="1"/>
  <c r="M81" i="12" s="1"/>
  <c r="N81" i="12" s="1"/>
  <c r="G81" i="12"/>
  <c r="I81" i="12" s="1"/>
  <c r="BP80" i="12"/>
  <c r="BM80" i="12"/>
  <c r="BA80" i="12"/>
  <c r="AY80" i="12"/>
  <c r="AW80" i="12"/>
  <c r="AU80" i="12"/>
  <c r="AS80" i="12"/>
  <c r="AQ80" i="12"/>
  <c r="AO80" i="12"/>
  <c r="AM80" i="12"/>
  <c r="AK80" i="12"/>
  <c r="AI80" i="12"/>
  <c r="AG80" i="12"/>
  <c r="AE80" i="12"/>
  <c r="Y80" i="12"/>
  <c r="Z80" i="12" s="1"/>
  <c r="AA80" i="12" s="1"/>
  <c r="AB80" i="12" s="1"/>
  <c r="AC80" i="12" s="1"/>
  <c r="W80" i="12"/>
  <c r="U80" i="12"/>
  <c r="S80" i="12"/>
  <c r="Q80" i="12"/>
  <c r="K80" i="12"/>
  <c r="L80" i="12" s="1"/>
  <c r="M80" i="12" s="1"/>
  <c r="N80" i="12" s="1"/>
  <c r="I80" i="12"/>
  <c r="G80" i="12"/>
  <c r="BP79" i="12"/>
  <c r="BM79" i="12"/>
  <c r="BA79" i="12"/>
  <c r="AY79" i="12"/>
  <c r="AW79" i="12"/>
  <c r="AU79" i="12"/>
  <c r="AS79" i="12"/>
  <c r="AQ79" i="12"/>
  <c r="AO79" i="12"/>
  <c r="AM79" i="12"/>
  <c r="AK79" i="12"/>
  <c r="AI79" i="12"/>
  <c r="AG79" i="12"/>
  <c r="AE79" i="12"/>
  <c r="Y79" i="12"/>
  <c r="Z79" i="12" s="1"/>
  <c r="AA79" i="12" s="1"/>
  <c r="AB79" i="12" s="1"/>
  <c r="AC79" i="12" s="1"/>
  <c r="W79" i="12"/>
  <c r="U79" i="12"/>
  <c r="S79" i="12"/>
  <c r="Q79" i="12"/>
  <c r="K79" i="12"/>
  <c r="L79" i="12" s="1"/>
  <c r="M79" i="12" s="1"/>
  <c r="N79" i="12" s="1"/>
  <c r="G79" i="12"/>
  <c r="I79" i="12" s="1"/>
  <c r="BP78" i="12"/>
  <c r="BM78" i="12"/>
  <c r="BA78" i="12"/>
  <c r="AY78" i="12"/>
  <c r="AW78" i="12"/>
  <c r="AU78" i="12"/>
  <c r="AS78" i="12"/>
  <c r="AQ78" i="12"/>
  <c r="AO78" i="12"/>
  <c r="AM78" i="12"/>
  <c r="AK78" i="12"/>
  <c r="AI78" i="12"/>
  <c r="AG78" i="12"/>
  <c r="AE78" i="12"/>
  <c r="Y78" i="12"/>
  <c r="Z78" i="12" s="1"/>
  <c r="AA78" i="12" s="1"/>
  <c r="AB78" i="12" s="1"/>
  <c r="AC78" i="12" s="1"/>
  <c r="W78" i="12"/>
  <c r="U78" i="12"/>
  <c r="S78" i="12"/>
  <c r="Q78" i="12"/>
  <c r="K78" i="12"/>
  <c r="L78" i="12" s="1"/>
  <c r="M78" i="12" s="1"/>
  <c r="N78" i="12" s="1"/>
  <c r="G78" i="12"/>
  <c r="I78" i="12" s="1"/>
  <c r="BP77" i="12"/>
  <c r="BM77" i="12"/>
  <c r="BA77" i="12"/>
  <c r="AY77" i="12"/>
  <c r="AW77" i="12"/>
  <c r="AU77" i="12"/>
  <c r="AS77" i="12"/>
  <c r="AQ77" i="12"/>
  <c r="AO77" i="12"/>
  <c r="AM77" i="12"/>
  <c r="AK77" i="12"/>
  <c r="AI77" i="12"/>
  <c r="AG77" i="12"/>
  <c r="AE77" i="12"/>
  <c r="Y77" i="12"/>
  <c r="Z77" i="12" s="1"/>
  <c r="AA77" i="12" s="1"/>
  <c r="AB77" i="12" s="1"/>
  <c r="AC77" i="12" s="1"/>
  <c r="W77" i="12"/>
  <c r="U77" i="12"/>
  <c r="S77" i="12"/>
  <c r="Q77" i="12"/>
  <c r="L77" i="12"/>
  <c r="M77" i="12" s="1"/>
  <c r="N77" i="12" s="1"/>
  <c r="K77" i="12"/>
  <c r="G77" i="12"/>
  <c r="I77" i="12" s="1"/>
  <c r="BP76" i="12"/>
  <c r="BM76" i="12"/>
  <c r="BA76" i="12"/>
  <c r="AY76" i="12"/>
  <c r="AW76" i="12"/>
  <c r="AU76" i="12"/>
  <c r="AS76" i="12"/>
  <c r="AQ76" i="12"/>
  <c r="AO76" i="12"/>
  <c r="AM76" i="12"/>
  <c r="AK76" i="12"/>
  <c r="AI76" i="12"/>
  <c r="AG76" i="12"/>
  <c r="AE76" i="12"/>
  <c r="Y76" i="12"/>
  <c r="Z76" i="12" s="1"/>
  <c r="AA76" i="12" s="1"/>
  <c r="AB76" i="12" s="1"/>
  <c r="AC76" i="12" s="1"/>
  <c r="W76" i="12"/>
  <c r="U76" i="12"/>
  <c r="S76" i="12"/>
  <c r="Q76" i="12"/>
  <c r="K76" i="12"/>
  <c r="L76" i="12" s="1"/>
  <c r="M76" i="12" s="1"/>
  <c r="N76" i="12" s="1"/>
  <c r="G76" i="12"/>
  <c r="I76" i="12" s="1"/>
  <c r="BP75" i="12"/>
  <c r="BM75" i="12"/>
  <c r="BA75" i="12"/>
  <c r="AY75" i="12"/>
  <c r="AW75" i="12"/>
  <c r="AU75" i="12"/>
  <c r="AS75" i="12"/>
  <c r="AQ75" i="12"/>
  <c r="AO75" i="12"/>
  <c r="AM75" i="12"/>
  <c r="AK75" i="12"/>
  <c r="AI75" i="12"/>
  <c r="AG75" i="12"/>
  <c r="AE75" i="12"/>
  <c r="Y75" i="12"/>
  <c r="Z75" i="12" s="1"/>
  <c r="AA75" i="12" s="1"/>
  <c r="AB75" i="12" s="1"/>
  <c r="AC75" i="12" s="1"/>
  <c r="W75" i="12"/>
  <c r="U75" i="12"/>
  <c r="S75" i="12"/>
  <c r="Q75" i="12"/>
  <c r="K75" i="12"/>
  <c r="L75" i="12" s="1"/>
  <c r="M75" i="12" s="1"/>
  <c r="N75" i="12" s="1"/>
  <c r="G75" i="12"/>
  <c r="I75" i="12" s="1"/>
  <c r="BP74" i="12"/>
  <c r="BM74" i="12"/>
  <c r="BA74" i="12"/>
  <c r="AY74" i="12"/>
  <c r="AW74" i="12"/>
  <c r="AU74" i="12"/>
  <c r="AS74" i="12"/>
  <c r="AQ74" i="12"/>
  <c r="AO74" i="12"/>
  <c r="AM74" i="12"/>
  <c r="AK74" i="12"/>
  <c r="AI74" i="12"/>
  <c r="AG74" i="12"/>
  <c r="AE74" i="12"/>
  <c r="Y74" i="12"/>
  <c r="Z74" i="12" s="1"/>
  <c r="AA74" i="12" s="1"/>
  <c r="AB74" i="12" s="1"/>
  <c r="AC74" i="12" s="1"/>
  <c r="W74" i="12"/>
  <c r="U74" i="12"/>
  <c r="S74" i="12"/>
  <c r="Q74" i="12"/>
  <c r="K74" i="12"/>
  <c r="L74" i="12" s="1"/>
  <c r="M74" i="12" s="1"/>
  <c r="N74" i="12" s="1"/>
  <c r="G74" i="12"/>
  <c r="I74" i="12" s="1"/>
  <c r="BP73" i="12"/>
  <c r="BM73" i="12"/>
  <c r="BA73" i="12"/>
  <c r="AY73" i="12"/>
  <c r="AW73" i="12"/>
  <c r="AU73" i="12"/>
  <c r="AS73" i="12"/>
  <c r="AQ73" i="12"/>
  <c r="AO73" i="12"/>
  <c r="AM73" i="12"/>
  <c r="AK73" i="12"/>
  <c r="AI73" i="12"/>
  <c r="AG73" i="12"/>
  <c r="AE73" i="12"/>
  <c r="Y73" i="12"/>
  <c r="Z73" i="12" s="1"/>
  <c r="AA73" i="12" s="1"/>
  <c r="AB73" i="12" s="1"/>
  <c r="AC73" i="12" s="1"/>
  <c r="W73" i="12"/>
  <c r="U73" i="12"/>
  <c r="S73" i="12"/>
  <c r="Q73" i="12"/>
  <c r="K73" i="12"/>
  <c r="L73" i="12" s="1"/>
  <c r="M73" i="12" s="1"/>
  <c r="N73" i="12" s="1"/>
  <c r="G73" i="12"/>
  <c r="I73" i="12" s="1"/>
  <c r="BP72" i="12"/>
  <c r="BM72" i="12"/>
  <c r="BA72" i="12"/>
  <c r="AY72" i="12"/>
  <c r="AW72" i="12"/>
  <c r="AU72" i="12"/>
  <c r="AS72" i="12"/>
  <c r="AQ72" i="12"/>
  <c r="AO72" i="12"/>
  <c r="AM72" i="12"/>
  <c r="AK72" i="12"/>
  <c r="AI72" i="12"/>
  <c r="AG72" i="12"/>
  <c r="AE72" i="12"/>
  <c r="Y72" i="12"/>
  <c r="Z72" i="12" s="1"/>
  <c r="AA72" i="12" s="1"/>
  <c r="AB72" i="12" s="1"/>
  <c r="AC72" i="12" s="1"/>
  <c r="W72" i="12"/>
  <c r="U72" i="12"/>
  <c r="S72" i="12"/>
  <c r="Q72" i="12"/>
  <c r="K72" i="12"/>
  <c r="L72" i="12" s="1"/>
  <c r="M72" i="12" s="1"/>
  <c r="N72" i="12" s="1"/>
  <c r="O72" i="12" s="1"/>
  <c r="G72" i="12"/>
  <c r="I72" i="12" s="1"/>
  <c r="BP71" i="12"/>
  <c r="BM71" i="12"/>
  <c r="BA71" i="12"/>
  <c r="AY71" i="12"/>
  <c r="AW71" i="12"/>
  <c r="AU71" i="12"/>
  <c r="AS71" i="12"/>
  <c r="AQ71" i="12"/>
  <c r="AO71" i="12"/>
  <c r="AM71" i="12"/>
  <c r="AK71" i="12"/>
  <c r="AI71" i="12"/>
  <c r="AG71" i="12"/>
  <c r="AE71" i="12"/>
  <c r="Y71" i="12"/>
  <c r="Z71" i="12" s="1"/>
  <c r="AA71" i="12" s="1"/>
  <c r="AB71" i="12" s="1"/>
  <c r="AC71" i="12" s="1"/>
  <c r="W71" i="12"/>
  <c r="U71" i="12"/>
  <c r="S71" i="12"/>
  <c r="Q71" i="12"/>
  <c r="K71" i="12"/>
  <c r="L71" i="12" s="1"/>
  <c r="M71" i="12" s="1"/>
  <c r="N71" i="12" s="1"/>
  <c r="G71" i="12"/>
  <c r="I71" i="12" s="1"/>
  <c r="BP70" i="12"/>
  <c r="BM70" i="12"/>
  <c r="BA70" i="12"/>
  <c r="AY70" i="12"/>
  <c r="AW70" i="12"/>
  <c r="AU70" i="12"/>
  <c r="AS70" i="12"/>
  <c r="AQ70" i="12"/>
  <c r="AO70" i="12"/>
  <c r="AM70" i="12"/>
  <c r="AK70" i="12"/>
  <c r="AI70" i="12"/>
  <c r="AG70" i="12"/>
  <c r="AE70" i="12"/>
  <c r="Y70" i="12"/>
  <c r="Z70" i="12" s="1"/>
  <c r="AA70" i="12" s="1"/>
  <c r="AB70" i="12" s="1"/>
  <c r="W70" i="12"/>
  <c r="U70" i="12"/>
  <c r="S70" i="12"/>
  <c r="Q70" i="12"/>
  <c r="K70" i="12"/>
  <c r="L70" i="12" s="1"/>
  <c r="M70" i="12" s="1"/>
  <c r="N70" i="12" s="1"/>
  <c r="O70" i="12" s="1"/>
  <c r="G70" i="12"/>
  <c r="I70" i="12" s="1"/>
  <c r="BP69" i="12"/>
  <c r="BM69" i="12"/>
  <c r="BA69" i="12"/>
  <c r="AY69" i="12"/>
  <c r="AW69" i="12"/>
  <c r="AU69" i="12"/>
  <c r="AS69" i="12"/>
  <c r="AQ69" i="12"/>
  <c r="AO69" i="12"/>
  <c r="AM69" i="12"/>
  <c r="AK69" i="12"/>
  <c r="AI69" i="12"/>
  <c r="AG69" i="12"/>
  <c r="AE69" i="12"/>
  <c r="Y69" i="12"/>
  <c r="Z69" i="12" s="1"/>
  <c r="AA69" i="12" s="1"/>
  <c r="AB69" i="12" s="1"/>
  <c r="AC69" i="12" s="1"/>
  <c r="W69" i="12"/>
  <c r="U69" i="12"/>
  <c r="S69" i="12"/>
  <c r="Q69" i="12"/>
  <c r="K69" i="12"/>
  <c r="L69" i="12" s="1"/>
  <c r="M69" i="12" s="1"/>
  <c r="N69" i="12" s="1"/>
  <c r="G69" i="12"/>
  <c r="I69" i="12" s="1"/>
  <c r="BP68" i="12"/>
  <c r="BM68" i="12"/>
  <c r="BA68" i="12"/>
  <c r="AY68" i="12"/>
  <c r="AW68" i="12"/>
  <c r="AU68" i="12"/>
  <c r="AS68" i="12"/>
  <c r="AQ68" i="12"/>
  <c r="AO68" i="12"/>
  <c r="AM68" i="12"/>
  <c r="AK68" i="12"/>
  <c r="AI68" i="12"/>
  <c r="AG68" i="12"/>
  <c r="AE68" i="12"/>
  <c r="Y68" i="12"/>
  <c r="Z68" i="12" s="1"/>
  <c r="AA68" i="12" s="1"/>
  <c r="AB68" i="12" s="1"/>
  <c r="AC68" i="12" s="1"/>
  <c r="W68" i="12"/>
  <c r="U68" i="12"/>
  <c r="S68" i="12"/>
  <c r="Q68" i="12"/>
  <c r="K68" i="12"/>
  <c r="L68" i="12" s="1"/>
  <c r="M68" i="12" s="1"/>
  <c r="N68" i="12" s="1"/>
  <c r="G68" i="12"/>
  <c r="I68" i="12" s="1"/>
  <c r="BP67" i="12"/>
  <c r="BM67" i="12"/>
  <c r="BA67" i="12"/>
  <c r="AY67" i="12"/>
  <c r="AW67" i="12"/>
  <c r="AU67" i="12"/>
  <c r="AS67" i="12"/>
  <c r="AQ67" i="12"/>
  <c r="AO67" i="12"/>
  <c r="AM67" i="12"/>
  <c r="AK67" i="12"/>
  <c r="AI67" i="12"/>
  <c r="AG67" i="12"/>
  <c r="AE67" i="12"/>
  <c r="Y67" i="12"/>
  <c r="Z67" i="12" s="1"/>
  <c r="AA67" i="12" s="1"/>
  <c r="AB67" i="12" s="1"/>
  <c r="AC67" i="12" s="1"/>
  <c r="W67" i="12"/>
  <c r="U67" i="12"/>
  <c r="S67" i="12"/>
  <c r="Q67" i="12"/>
  <c r="L67" i="12"/>
  <c r="M67" i="12" s="1"/>
  <c r="N67" i="12" s="1"/>
  <c r="K67" i="12"/>
  <c r="G67" i="12"/>
  <c r="I67" i="12" s="1"/>
  <c r="BP66" i="12"/>
  <c r="BM66" i="12"/>
  <c r="BA66" i="12"/>
  <c r="AY66" i="12"/>
  <c r="AW66" i="12"/>
  <c r="AU66" i="12"/>
  <c r="AS66" i="12"/>
  <c r="AQ66" i="12"/>
  <c r="AO66" i="12"/>
  <c r="AM66" i="12"/>
  <c r="AK66" i="12"/>
  <c r="AI66" i="12"/>
  <c r="AG66" i="12"/>
  <c r="AE66" i="12"/>
  <c r="Y66" i="12"/>
  <c r="Z66" i="12" s="1"/>
  <c r="AA66" i="12" s="1"/>
  <c r="AB66" i="12" s="1"/>
  <c r="AC66" i="12" s="1"/>
  <c r="W66" i="12"/>
  <c r="U66" i="12"/>
  <c r="S66" i="12"/>
  <c r="Q66" i="12"/>
  <c r="K66" i="12"/>
  <c r="L66" i="12" s="1"/>
  <c r="M66" i="12" s="1"/>
  <c r="N66" i="12" s="1"/>
  <c r="G66" i="12"/>
  <c r="I66" i="12" s="1"/>
  <c r="BP65" i="12"/>
  <c r="BM65" i="12"/>
  <c r="BA65" i="12"/>
  <c r="AY65" i="12"/>
  <c r="AW65" i="12"/>
  <c r="AU65" i="12"/>
  <c r="AS65" i="12"/>
  <c r="AQ65" i="12"/>
  <c r="AO65" i="12"/>
  <c r="AM65" i="12"/>
  <c r="AK65" i="12"/>
  <c r="AI65" i="12"/>
  <c r="AG65" i="12"/>
  <c r="AE65" i="12"/>
  <c r="Y65" i="12"/>
  <c r="Z65" i="12" s="1"/>
  <c r="AA65" i="12" s="1"/>
  <c r="AB65" i="12" s="1"/>
  <c r="AC65" i="12" s="1"/>
  <c r="W65" i="12"/>
  <c r="U65" i="12"/>
  <c r="S65" i="12"/>
  <c r="Q65" i="12"/>
  <c r="L65" i="12"/>
  <c r="M65" i="12" s="1"/>
  <c r="N65" i="12" s="1"/>
  <c r="K65" i="12"/>
  <c r="G65" i="12"/>
  <c r="I65" i="12" s="1"/>
  <c r="BP64" i="12"/>
  <c r="BM64" i="12"/>
  <c r="BA64" i="12"/>
  <c r="AY64" i="12"/>
  <c r="AW64" i="12"/>
  <c r="AU64" i="12"/>
  <c r="AS64" i="12"/>
  <c r="AQ64" i="12"/>
  <c r="AO64" i="12"/>
  <c r="AM64" i="12"/>
  <c r="AK64" i="12"/>
  <c r="AI64" i="12"/>
  <c r="AG64" i="12"/>
  <c r="AE64" i="12"/>
  <c r="Y64" i="12"/>
  <c r="Z64" i="12" s="1"/>
  <c r="AA64" i="12" s="1"/>
  <c r="AB64" i="12" s="1"/>
  <c r="AC64" i="12" s="1"/>
  <c r="W64" i="12"/>
  <c r="U64" i="12"/>
  <c r="S64" i="12"/>
  <c r="Q64" i="12"/>
  <c r="L64" i="12"/>
  <c r="M64" i="12" s="1"/>
  <c r="N64" i="12" s="1"/>
  <c r="K64" i="12"/>
  <c r="I64" i="12"/>
  <c r="G64" i="12"/>
  <c r="BP63" i="12"/>
  <c r="BM63" i="12"/>
  <c r="BA63" i="12"/>
  <c r="AY63" i="12"/>
  <c r="AW63" i="12"/>
  <c r="AU63" i="12"/>
  <c r="AS63" i="12"/>
  <c r="AQ63" i="12"/>
  <c r="AO63" i="12"/>
  <c r="AM63" i="12"/>
  <c r="AK63" i="12"/>
  <c r="AI63" i="12"/>
  <c r="AG63" i="12"/>
  <c r="AE63" i="12"/>
  <c r="Y63" i="12"/>
  <c r="Z63" i="12" s="1"/>
  <c r="AA63" i="12" s="1"/>
  <c r="AB63" i="12" s="1"/>
  <c r="AC63" i="12" s="1"/>
  <c r="W63" i="12"/>
  <c r="U63" i="12"/>
  <c r="S63" i="12"/>
  <c r="Q63" i="12"/>
  <c r="K63" i="12"/>
  <c r="L63" i="12" s="1"/>
  <c r="M63" i="12" s="1"/>
  <c r="N63" i="12" s="1"/>
  <c r="G63" i="12"/>
  <c r="I63" i="12" s="1"/>
  <c r="BP62" i="12"/>
  <c r="BM62" i="12"/>
  <c r="BA62" i="12"/>
  <c r="AY62" i="12"/>
  <c r="AW62" i="12"/>
  <c r="AU62" i="12"/>
  <c r="AS62" i="12"/>
  <c r="AQ62" i="12"/>
  <c r="AO62" i="12"/>
  <c r="AM62" i="12"/>
  <c r="AK62" i="12"/>
  <c r="AI62" i="12"/>
  <c r="AG62" i="12"/>
  <c r="AE62" i="12"/>
  <c r="Y62" i="12"/>
  <c r="Z62" i="12" s="1"/>
  <c r="AA62" i="12" s="1"/>
  <c r="AB62" i="12" s="1"/>
  <c r="AC62" i="12" s="1"/>
  <c r="W62" i="12"/>
  <c r="U62" i="12"/>
  <c r="S62" i="12"/>
  <c r="Q62" i="12"/>
  <c r="K62" i="12"/>
  <c r="L62" i="12" s="1"/>
  <c r="M62" i="12" s="1"/>
  <c r="N62" i="12" s="1"/>
  <c r="I62" i="12"/>
  <c r="G62" i="12"/>
  <c r="BP61" i="12"/>
  <c r="BM61" i="12"/>
  <c r="BA61" i="12"/>
  <c r="AY61" i="12"/>
  <c r="AW61" i="12"/>
  <c r="AU61" i="12"/>
  <c r="AS61" i="12"/>
  <c r="AQ61" i="12"/>
  <c r="AO61" i="12"/>
  <c r="AM61" i="12"/>
  <c r="AK61" i="12"/>
  <c r="AI61" i="12"/>
  <c r="AG61" i="12"/>
  <c r="AE61" i="12"/>
  <c r="Y61" i="12"/>
  <c r="Z61" i="12" s="1"/>
  <c r="AA61" i="12" s="1"/>
  <c r="AB61" i="12" s="1"/>
  <c r="AC61" i="12" s="1"/>
  <c r="W61" i="12"/>
  <c r="U61" i="12"/>
  <c r="S61" i="12"/>
  <c r="Q61" i="12"/>
  <c r="K61" i="12"/>
  <c r="L61" i="12" s="1"/>
  <c r="M61" i="12" s="1"/>
  <c r="N61" i="12" s="1"/>
  <c r="G61" i="12"/>
  <c r="I61" i="12" s="1"/>
  <c r="BP60" i="12"/>
  <c r="BM60" i="12"/>
  <c r="BA60" i="12"/>
  <c r="AY60" i="12"/>
  <c r="AW60" i="12"/>
  <c r="AU60" i="12"/>
  <c r="AS60" i="12"/>
  <c r="AQ60" i="12"/>
  <c r="AO60" i="12"/>
  <c r="AM60" i="12"/>
  <c r="AK60" i="12"/>
  <c r="AI60" i="12"/>
  <c r="AG60" i="12"/>
  <c r="AE60" i="12"/>
  <c r="Y60" i="12"/>
  <c r="Z60" i="12" s="1"/>
  <c r="AA60" i="12" s="1"/>
  <c r="AB60" i="12" s="1"/>
  <c r="AC60" i="12" s="1"/>
  <c r="W60" i="12"/>
  <c r="U60" i="12"/>
  <c r="S60" i="12"/>
  <c r="Q60" i="12"/>
  <c r="K60" i="12"/>
  <c r="L60" i="12" s="1"/>
  <c r="M60" i="12" s="1"/>
  <c r="N60" i="12" s="1"/>
  <c r="BB60" i="12" s="1"/>
  <c r="G60" i="12"/>
  <c r="I60" i="12" s="1"/>
  <c r="BP59" i="12"/>
  <c r="BM59" i="12"/>
  <c r="BA59" i="12"/>
  <c r="AY59" i="12"/>
  <c r="AW59" i="12"/>
  <c r="AU59" i="12"/>
  <c r="AS59" i="12"/>
  <c r="AQ59" i="12"/>
  <c r="AO59" i="12"/>
  <c r="AM59" i="12"/>
  <c r="AK59" i="12"/>
  <c r="AI59" i="12"/>
  <c r="AG59" i="12"/>
  <c r="AE59" i="12"/>
  <c r="Y59" i="12"/>
  <c r="Z59" i="12" s="1"/>
  <c r="AA59" i="12" s="1"/>
  <c r="AB59" i="12" s="1"/>
  <c r="AC59" i="12" s="1"/>
  <c r="W59" i="12"/>
  <c r="U59" i="12"/>
  <c r="S59" i="12"/>
  <c r="Q59" i="12"/>
  <c r="K59" i="12"/>
  <c r="L59" i="12" s="1"/>
  <c r="M59" i="12" s="1"/>
  <c r="N59" i="12" s="1"/>
  <c r="G59" i="12"/>
  <c r="I59" i="12" s="1"/>
  <c r="BP58" i="12"/>
  <c r="BM58" i="12"/>
  <c r="BA58" i="12"/>
  <c r="AY58" i="12"/>
  <c r="AW58" i="12"/>
  <c r="AU58" i="12"/>
  <c r="AS58" i="12"/>
  <c r="AQ58" i="12"/>
  <c r="AO58" i="12"/>
  <c r="AM58" i="12"/>
  <c r="AK58" i="12"/>
  <c r="AI58" i="12"/>
  <c r="AG58" i="12"/>
  <c r="AE58" i="12"/>
  <c r="Y58" i="12"/>
  <c r="Z58" i="12" s="1"/>
  <c r="AA58" i="12" s="1"/>
  <c r="AB58" i="12" s="1"/>
  <c r="AC58" i="12" s="1"/>
  <c r="W58" i="12"/>
  <c r="U58" i="12"/>
  <c r="S58" i="12"/>
  <c r="Q58" i="12"/>
  <c r="K58" i="12"/>
  <c r="L58" i="12" s="1"/>
  <c r="M58" i="12" s="1"/>
  <c r="N58" i="12" s="1"/>
  <c r="O58" i="12" s="1"/>
  <c r="G58" i="12"/>
  <c r="I58" i="12" s="1"/>
  <c r="BP57" i="12"/>
  <c r="BM57" i="12"/>
  <c r="BA57" i="12"/>
  <c r="AY57" i="12"/>
  <c r="AW57" i="12"/>
  <c r="AU57" i="12"/>
  <c r="AS57" i="12"/>
  <c r="AQ57" i="12"/>
  <c r="AO57" i="12"/>
  <c r="AM57" i="12"/>
  <c r="AK57" i="12"/>
  <c r="AI57" i="12"/>
  <c r="AG57" i="12"/>
  <c r="AE57" i="12"/>
  <c r="Y57" i="12"/>
  <c r="Z57" i="12" s="1"/>
  <c r="AA57" i="12" s="1"/>
  <c r="AB57" i="12" s="1"/>
  <c r="AC57" i="12" s="1"/>
  <c r="W57" i="12"/>
  <c r="U57" i="12"/>
  <c r="S57" i="12"/>
  <c r="Q57" i="12"/>
  <c r="L57" i="12"/>
  <c r="M57" i="12" s="1"/>
  <c r="N57" i="12" s="1"/>
  <c r="K57" i="12"/>
  <c r="G57" i="12"/>
  <c r="I57" i="12" s="1"/>
  <c r="BP56" i="12"/>
  <c r="BM56" i="12"/>
  <c r="BA56" i="12"/>
  <c r="AY56" i="12"/>
  <c r="AW56" i="12"/>
  <c r="AU56" i="12"/>
  <c r="AS56" i="12"/>
  <c r="AQ56" i="12"/>
  <c r="AO56" i="12"/>
  <c r="AM56" i="12"/>
  <c r="AK56" i="12"/>
  <c r="AI56" i="12"/>
  <c r="AG56" i="12"/>
  <c r="AE56" i="12"/>
  <c r="Y56" i="12"/>
  <c r="Z56" i="12" s="1"/>
  <c r="AA56" i="12" s="1"/>
  <c r="AB56" i="12" s="1"/>
  <c r="AC56" i="12" s="1"/>
  <c r="W56" i="12"/>
  <c r="U56" i="12"/>
  <c r="S56" i="12"/>
  <c r="Q56" i="12"/>
  <c r="K56" i="12"/>
  <c r="L56" i="12" s="1"/>
  <c r="M56" i="12" s="1"/>
  <c r="N56" i="12" s="1"/>
  <c r="I56" i="12"/>
  <c r="G56" i="12"/>
  <c r="BP55" i="12"/>
  <c r="BM55" i="12"/>
  <c r="BA55" i="12"/>
  <c r="AY55" i="12"/>
  <c r="AW55" i="12"/>
  <c r="AU55" i="12"/>
  <c r="AS55" i="12"/>
  <c r="AQ55" i="12"/>
  <c r="AO55" i="12"/>
  <c r="AM55" i="12"/>
  <c r="AK55" i="12"/>
  <c r="AI55" i="12"/>
  <c r="AG55" i="12"/>
  <c r="AE55" i="12"/>
  <c r="Y55" i="12"/>
  <c r="Z55" i="12" s="1"/>
  <c r="AA55" i="12" s="1"/>
  <c r="AB55" i="12" s="1"/>
  <c r="AC55" i="12" s="1"/>
  <c r="W55" i="12"/>
  <c r="U55" i="12"/>
  <c r="S55" i="12"/>
  <c r="Q55" i="12"/>
  <c r="L55" i="12"/>
  <c r="M55" i="12" s="1"/>
  <c r="N55" i="12" s="1"/>
  <c r="K55" i="12"/>
  <c r="G55" i="12"/>
  <c r="I55" i="12" s="1"/>
  <c r="BP54" i="12"/>
  <c r="BM54" i="12"/>
  <c r="BA54" i="12"/>
  <c r="AY54" i="12"/>
  <c r="AW54" i="12"/>
  <c r="AU54" i="12"/>
  <c r="AS54" i="12"/>
  <c r="AQ54" i="12"/>
  <c r="AO54" i="12"/>
  <c r="AM54" i="12"/>
  <c r="AK54" i="12"/>
  <c r="AI54" i="12"/>
  <c r="AG54" i="12"/>
  <c r="AE54" i="12"/>
  <c r="Y54" i="12"/>
  <c r="Z54" i="12" s="1"/>
  <c r="AA54" i="12" s="1"/>
  <c r="AB54" i="12" s="1"/>
  <c r="AC54" i="12" s="1"/>
  <c r="W54" i="12"/>
  <c r="U54" i="12"/>
  <c r="S54" i="12"/>
  <c r="Q54" i="12"/>
  <c r="K54" i="12"/>
  <c r="L54" i="12" s="1"/>
  <c r="M54" i="12" s="1"/>
  <c r="N54" i="12" s="1"/>
  <c r="O54" i="12" s="1"/>
  <c r="G54" i="12"/>
  <c r="I54" i="12" s="1"/>
  <c r="BP53" i="12"/>
  <c r="BM53" i="12"/>
  <c r="BA53" i="12"/>
  <c r="AY53" i="12"/>
  <c r="AW53" i="12"/>
  <c r="AU53" i="12"/>
  <c r="AS53" i="12"/>
  <c r="AQ53" i="12"/>
  <c r="AO53" i="12"/>
  <c r="AM53" i="12"/>
  <c r="AK53" i="12"/>
  <c r="AI53" i="12"/>
  <c r="AG53" i="12"/>
  <c r="AE53" i="12"/>
  <c r="Y53" i="12"/>
  <c r="Z53" i="12" s="1"/>
  <c r="AA53" i="12" s="1"/>
  <c r="AB53" i="12" s="1"/>
  <c r="AC53" i="12" s="1"/>
  <c r="W53" i="12"/>
  <c r="U53" i="12"/>
  <c r="S53" i="12"/>
  <c r="Q53" i="12"/>
  <c r="K53" i="12"/>
  <c r="L53" i="12" s="1"/>
  <c r="M53" i="12" s="1"/>
  <c r="N53" i="12" s="1"/>
  <c r="G53" i="12"/>
  <c r="I53" i="12" s="1"/>
  <c r="BP52" i="12"/>
  <c r="BM52" i="12"/>
  <c r="BA52" i="12"/>
  <c r="AY52" i="12"/>
  <c r="AW52" i="12"/>
  <c r="AU52" i="12"/>
  <c r="AS52" i="12"/>
  <c r="AQ52" i="12"/>
  <c r="AO52" i="12"/>
  <c r="AM52" i="12"/>
  <c r="AK52" i="12"/>
  <c r="AI52" i="12"/>
  <c r="AG52" i="12"/>
  <c r="AE52" i="12"/>
  <c r="Y52" i="12"/>
  <c r="Z52" i="12" s="1"/>
  <c r="AA52" i="12" s="1"/>
  <c r="AB52" i="12" s="1"/>
  <c r="AC52" i="12" s="1"/>
  <c r="W52" i="12"/>
  <c r="U52" i="12"/>
  <c r="S52" i="12"/>
  <c r="Q52" i="12"/>
  <c r="K52" i="12"/>
  <c r="L52" i="12" s="1"/>
  <c r="M52" i="12" s="1"/>
  <c r="N52" i="12" s="1"/>
  <c r="G52" i="12"/>
  <c r="I52" i="12" s="1"/>
  <c r="BP51" i="12"/>
  <c r="BM51" i="12"/>
  <c r="BA51" i="12"/>
  <c r="AY51" i="12"/>
  <c r="AW51" i="12"/>
  <c r="AU51" i="12"/>
  <c r="AS51" i="12"/>
  <c r="AQ51" i="12"/>
  <c r="AO51" i="12"/>
  <c r="AM51" i="12"/>
  <c r="AK51" i="12"/>
  <c r="AI51" i="12"/>
  <c r="AG51" i="12"/>
  <c r="AE51" i="12"/>
  <c r="Y51" i="12"/>
  <c r="Z51" i="12" s="1"/>
  <c r="AA51" i="12" s="1"/>
  <c r="AB51" i="12" s="1"/>
  <c r="AC51" i="12" s="1"/>
  <c r="W51" i="12"/>
  <c r="U51" i="12"/>
  <c r="S51" i="12"/>
  <c r="Q51" i="12"/>
  <c r="K51" i="12"/>
  <c r="L51" i="12" s="1"/>
  <c r="M51" i="12" s="1"/>
  <c r="N51" i="12" s="1"/>
  <c r="G51" i="12"/>
  <c r="I51" i="12" s="1"/>
  <c r="BP50" i="12"/>
  <c r="BM50" i="12"/>
  <c r="BA50" i="12"/>
  <c r="AY50" i="12"/>
  <c r="AW50" i="12"/>
  <c r="AU50" i="12"/>
  <c r="AS50" i="12"/>
  <c r="AQ50" i="12"/>
  <c r="AO50" i="12"/>
  <c r="AM50" i="12"/>
  <c r="AK50" i="12"/>
  <c r="AI50" i="12"/>
  <c r="AG50" i="12"/>
  <c r="AE50" i="12"/>
  <c r="Y50" i="12"/>
  <c r="Z50" i="12" s="1"/>
  <c r="AA50" i="12" s="1"/>
  <c r="AB50" i="12" s="1"/>
  <c r="AC50" i="12" s="1"/>
  <c r="W50" i="12"/>
  <c r="U50" i="12"/>
  <c r="S50" i="12"/>
  <c r="Q50" i="12"/>
  <c r="K50" i="12"/>
  <c r="L50" i="12" s="1"/>
  <c r="M50" i="12" s="1"/>
  <c r="N50" i="12" s="1"/>
  <c r="O50" i="12" s="1"/>
  <c r="G50" i="12"/>
  <c r="I50" i="12" s="1"/>
  <c r="BP49" i="12"/>
  <c r="BM49" i="12"/>
  <c r="BA49" i="12"/>
  <c r="AY49" i="12"/>
  <c r="AW49" i="12"/>
  <c r="AU49" i="12"/>
  <c r="AS49" i="12"/>
  <c r="AQ49" i="12"/>
  <c r="AO49" i="12"/>
  <c r="AM49" i="12"/>
  <c r="AK49" i="12"/>
  <c r="AI49" i="12"/>
  <c r="AG49" i="12"/>
  <c r="AE49" i="12"/>
  <c r="Y49" i="12"/>
  <c r="Z49" i="12" s="1"/>
  <c r="AA49" i="12" s="1"/>
  <c r="AB49" i="12" s="1"/>
  <c r="AC49" i="12" s="1"/>
  <c r="W49" i="12"/>
  <c r="U49" i="12"/>
  <c r="S49" i="12"/>
  <c r="Q49" i="12"/>
  <c r="K49" i="12"/>
  <c r="L49" i="12" s="1"/>
  <c r="M49" i="12" s="1"/>
  <c r="N49" i="12" s="1"/>
  <c r="O49" i="12" s="1"/>
  <c r="G49" i="12"/>
  <c r="I49" i="12" s="1"/>
  <c r="BP48" i="12"/>
  <c r="BM48" i="12"/>
  <c r="BA48" i="12"/>
  <c r="AY48" i="12"/>
  <c r="AW48" i="12"/>
  <c r="AU48" i="12"/>
  <c r="AS48" i="12"/>
  <c r="AQ48" i="12"/>
  <c r="AO48" i="12"/>
  <c r="AM48" i="12"/>
  <c r="AK48" i="12"/>
  <c r="AI48" i="12"/>
  <c r="AG48" i="12"/>
  <c r="AE48" i="12"/>
  <c r="Y48" i="12"/>
  <c r="Z48" i="12" s="1"/>
  <c r="AA48" i="12" s="1"/>
  <c r="AB48" i="12" s="1"/>
  <c r="AC48" i="12" s="1"/>
  <c r="W48" i="12"/>
  <c r="U48" i="12"/>
  <c r="S48" i="12"/>
  <c r="Q48" i="12"/>
  <c r="K48" i="12"/>
  <c r="L48" i="12" s="1"/>
  <c r="M48" i="12" s="1"/>
  <c r="N48" i="12" s="1"/>
  <c r="G48" i="12"/>
  <c r="I48" i="12" s="1"/>
  <c r="BP47" i="12"/>
  <c r="BM47" i="12"/>
  <c r="BA47" i="12"/>
  <c r="AY47" i="12"/>
  <c r="AW47" i="12"/>
  <c r="AU47" i="12"/>
  <c r="AS47" i="12"/>
  <c r="AQ47" i="12"/>
  <c r="AO47" i="12"/>
  <c r="AM47" i="12"/>
  <c r="AK47" i="12"/>
  <c r="AI47" i="12"/>
  <c r="AG47" i="12"/>
  <c r="AE47" i="12"/>
  <c r="Y47" i="12"/>
  <c r="Z47" i="12" s="1"/>
  <c r="AA47" i="12" s="1"/>
  <c r="AB47" i="12" s="1"/>
  <c r="AC47" i="12" s="1"/>
  <c r="W47" i="12"/>
  <c r="U47" i="12"/>
  <c r="S47" i="12"/>
  <c r="Q47" i="12"/>
  <c r="K47" i="12"/>
  <c r="L47" i="12" s="1"/>
  <c r="M47" i="12" s="1"/>
  <c r="N47" i="12" s="1"/>
  <c r="G47" i="12"/>
  <c r="I47" i="12" s="1"/>
  <c r="BP46" i="12"/>
  <c r="BM46" i="12"/>
  <c r="AY46" i="12"/>
  <c r="AU46" i="12"/>
  <c r="AS46" i="12"/>
  <c r="AQ46" i="12"/>
  <c r="AM46" i="12"/>
  <c r="AK46" i="12"/>
  <c r="AG46" i="12"/>
  <c r="Y46" i="12"/>
  <c r="Z46" i="12" s="1"/>
  <c r="AA46" i="12" s="1"/>
  <c r="AB46" i="12" s="1"/>
  <c r="AC46" i="12" s="1"/>
  <c r="U46" i="12"/>
  <c r="V46" i="12" s="1"/>
  <c r="W46" i="12" s="1"/>
  <c r="S46" i="12"/>
  <c r="Q46" i="12"/>
  <c r="K46" i="12"/>
  <c r="L46" i="12" s="1"/>
  <c r="M46" i="12" s="1"/>
  <c r="N46" i="12" s="1"/>
  <c r="G46" i="12"/>
  <c r="BP45" i="12"/>
  <c r="BM45" i="12"/>
  <c r="AY45" i="12"/>
  <c r="AU45" i="12"/>
  <c r="AS45" i="12"/>
  <c r="AQ45" i="12"/>
  <c r="AM45" i="12"/>
  <c r="AK45" i="12"/>
  <c r="AG45" i="12"/>
  <c r="Y45" i="12"/>
  <c r="Z45" i="12" s="1"/>
  <c r="AA45" i="12" s="1"/>
  <c r="AB45" i="12" s="1"/>
  <c r="AC45" i="12" s="1"/>
  <c r="U45" i="12"/>
  <c r="V45" i="12" s="1"/>
  <c r="W45" i="12" s="1"/>
  <c r="S45" i="12"/>
  <c r="Q45" i="12"/>
  <c r="K45" i="12"/>
  <c r="L45" i="12" s="1"/>
  <c r="M45" i="12" s="1"/>
  <c r="N45" i="12" s="1"/>
  <c r="O45" i="12" s="1"/>
  <c r="G45" i="12"/>
  <c r="BP44" i="12"/>
  <c r="BM44" i="12"/>
  <c r="AY44" i="12"/>
  <c r="AU44" i="12"/>
  <c r="AS44" i="12"/>
  <c r="AQ44" i="12"/>
  <c r="AM44" i="12"/>
  <c r="AK44" i="12"/>
  <c r="AG44" i="12"/>
  <c r="Y44" i="12"/>
  <c r="Z44" i="12" s="1"/>
  <c r="AA44" i="12" s="1"/>
  <c r="AB44" i="12" s="1"/>
  <c r="AC44" i="12" s="1"/>
  <c r="U44" i="12"/>
  <c r="V44" i="12" s="1"/>
  <c r="W44" i="12" s="1"/>
  <c r="S44" i="12"/>
  <c r="Q44" i="12"/>
  <c r="K44" i="12"/>
  <c r="L44" i="12" s="1"/>
  <c r="M44" i="12" s="1"/>
  <c r="N44" i="12" s="1"/>
  <c r="O44" i="12" s="1"/>
  <c r="G44" i="12"/>
  <c r="BP43" i="12"/>
  <c r="BM43" i="12"/>
  <c r="AY43" i="12"/>
  <c r="AU43" i="12"/>
  <c r="AS43" i="12"/>
  <c r="AQ43" i="12"/>
  <c r="AM43" i="12"/>
  <c r="AK43" i="12"/>
  <c r="AG43" i="12"/>
  <c r="Y43" i="12"/>
  <c r="Z43" i="12" s="1"/>
  <c r="AA43" i="12" s="1"/>
  <c r="AB43" i="12" s="1"/>
  <c r="AC43" i="12" s="1"/>
  <c r="U43" i="12"/>
  <c r="V43" i="12" s="1"/>
  <c r="W43" i="12" s="1"/>
  <c r="S43" i="12"/>
  <c r="Q43" i="12"/>
  <c r="K43" i="12"/>
  <c r="L43" i="12" s="1"/>
  <c r="M43" i="12" s="1"/>
  <c r="N43" i="12" s="1"/>
  <c r="G43" i="12"/>
  <c r="BP42" i="12"/>
  <c r="BM42" i="12"/>
  <c r="AY42" i="12"/>
  <c r="AU42" i="12"/>
  <c r="AS42" i="12"/>
  <c r="AQ42" i="12"/>
  <c r="AM42" i="12"/>
  <c r="AK42" i="12"/>
  <c r="AG42" i="12"/>
  <c r="Y42" i="12"/>
  <c r="Z42" i="12" s="1"/>
  <c r="AA42" i="12" s="1"/>
  <c r="AB42" i="12" s="1"/>
  <c r="AC42" i="12" s="1"/>
  <c r="U42" i="12"/>
  <c r="V42" i="12" s="1"/>
  <c r="W42" i="12" s="1"/>
  <c r="S42" i="12"/>
  <c r="Q42" i="12"/>
  <c r="K42" i="12"/>
  <c r="L42" i="12" s="1"/>
  <c r="M42" i="12" s="1"/>
  <c r="N42" i="12" s="1"/>
  <c r="G42" i="12"/>
  <c r="BP41" i="12"/>
  <c r="BM41" i="12"/>
  <c r="AY41" i="12"/>
  <c r="AU41" i="12"/>
  <c r="AS41" i="12"/>
  <c r="AQ41" i="12"/>
  <c r="AM41" i="12"/>
  <c r="AK41" i="12"/>
  <c r="AG41" i="12"/>
  <c r="Y41" i="12"/>
  <c r="Z41" i="12" s="1"/>
  <c r="AA41" i="12" s="1"/>
  <c r="AB41" i="12" s="1"/>
  <c r="AC41" i="12" s="1"/>
  <c r="U41" i="12"/>
  <c r="V41" i="12" s="1"/>
  <c r="W41" i="12" s="1"/>
  <c r="S41" i="12"/>
  <c r="Q41" i="12"/>
  <c r="K41" i="12"/>
  <c r="L41" i="12" s="1"/>
  <c r="M41" i="12" s="1"/>
  <c r="N41" i="12" s="1"/>
  <c r="O41" i="12" s="1"/>
  <c r="G41" i="12"/>
  <c r="BP40" i="12"/>
  <c r="BM40" i="12"/>
  <c r="AY40" i="12"/>
  <c r="AU40" i="12"/>
  <c r="AS40" i="12"/>
  <c r="AQ40" i="12"/>
  <c r="AM40" i="12"/>
  <c r="AK40" i="12"/>
  <c r="AG40" i="12"/>
  <c r="Y40" i="12"/>
  <c r="Z40" i="12" s="1"/>
  <c r="AA40" i="12" s="1"/>
  <c r="AB40" i="12" s="1"/>
  <c r="AC40" i="12" s="1"/>
  <c r="U40" i="12"/>
  <c r="V40" i="12" s="1"/>
  <c r="W40" i="12" s="1"/>
  <c r="S40" i="12"/>
  <c r="Q40" i="12"/>
  <c r="K40" i="12"/>
  <c r="L40" i="12" s="1"/>
  <c r="M40" i="12" s="1"/>
  <c r="N40" i="12" s="1"/>
  <c r="O40" i="12" s="1"/>
  <c r="G40" i="12"/>
  <c r="BP39" i="12"/>
  <c r="BM39" i="12"/>
  <c r="AY39" i="12"/>
  <c r="AU39" i="12"/>
  <c r="AS39" i="12"/>
  <c r="AQ39" i="12"/>
  <c r="AM39" i="12"/>
  <c r="AK39" i="12"/>
  <c r="AG39" i="12"/>
  <c r="Y39" i="12"/>
  <c r="Z39" i="12" s="1"/>
  <c r="AA39" i="12" s="1"/>
  <c r="AB39" i="12" s="1"/>
  <c r="AC39" i="12" s="1"/>
  <c r="U39" i="12"/>
  <c r="V39" i="12" s="1"/>
  <c r="W39" i="12" s="1"/>
  <c r="S39" i="12"/>
  <c r="Q39" i="12"/>
  <c r="K39" i="12"/>
  <c r="L39" i="12" s="1"/>
  <c r="M39" i="12" s="1"/>
  <c r="N39" i="12" s="1"/>
  <c r="O39" i="12" s="1"/>
  <c r="G39" i="12"/>
  <c r="BP38" i="12"/>
  <c r="BM38" i="12"/>
  <c r="AY38" i="12"/>
  <c r="AU38" i="12"/>
  <c r="AS38" i="12"/>
  <c r="AQ38" i="12"/>
  <c r="AM38" i="12"/>
  <c r="AK38" i="12"/>
  <c r="AG38" i="12"/>
  <c r="Y38" i="12"/>
  <c r="Z38" i="12" s="1"/>
  <c r="AA38" i="12" s="1"/>
  <c r="AB38" i="12" s="1"/>
  <c r="AC38" i="12" s="1"/>
  <c r="U38" i="12"/>
  <c r="V38" i="12" s="1"/>
  <c r="W38" i="12" s="1"/>
  <c r="S38" i="12"/>
  <c r="Q38" i="12"/>
  <c r="K38" i="12"/>
  <c r="L38" i="12" s="1"/>
  <c r="M38" i="12" s="1"/>
  <c r="N38" i="12" s="1"/>
  <c r="G38" i="12"/>
  <c r="BP37" i="12"/>
  <c r="BM37" i="12"/>
  <c r="AY37" i="12"/>
  <c r="AU37" i="12"/>
  <c r="AS37" i="12"/>
  <c r="AM37" i="12"/>
  <c r="AK37" i="12"/>
  <c r="AG37" i="12"/>
  <c r="Y37" i="12"/>
  <c r="Z37" i="12" s="1"/>
  <c r="AA37" i="12" s="1"/>
  <c r="AB37" i="12" s="1"/>
  <c r="AC37" i="12" s="1"/>
  <c r="U37" i="12"/>
  <c r="V37" i="12" s="1"/>
  <c r="W37" i="12" s="1"/>
  <c r="S37" i="12"/>
  <c r="Q37" i="12"/>
  <c r="K37" i="12"/>
  <c r="L37" i="12" s="1"/>
  <c r="M37" i="12" s="1"/>
  <c r="N37" i="12" s="1"/>
  <c r="G37" i="12"/>
  <c r="BP36" i="12"/>
  <c r="BM36" i="12"/>
  <c r="AY36" i="12"/>
  <c r="AU36" i="12"/>
  <c r="AS36" i="12"/>
  <c r="AQ36" i="12"/>
  <c r="AM36" i="12"/>
  <c r="AK36" i="12"/>
  <c r="AG36" i="12"/>
  <c r="Y36" i="12"/>
  <c r="Z36" i="12" s="1"/>
  <c r="AA36" i="12" s="1"/>
  <c r="AB36" i="12" s="1"/>
  <c r="AC36" i="12" s="1"/>
  <c r="U36" i="12"/>
  <c r="V36" i="12" s="1"/>
  <c r="W36" i="12" s="1"/>
  <c r="S36" i="12"/>
  <c r="Q36" i="12"/>
  <c r="K36" i="12"/>
  <c r="L36" i="12" s="1"/>
  <c r="M36" i="12" s="1"/>
  <c r="N36" i="12" s="1"/>
  <c r="G36" i="12"/>
  <c r="BP35" i="12"/>
  <c r="BM35" i="12"/>
  <c r="AY35" i="12"/>
  <c r="AU35" i="12"/>
  <c r="AS35" i="12"/>
  <c r="AQ35" i="12"/>
  <c r="AM35" i="12"/>
  <c r="AK35" i="12"/>
  <c r="AG35" i="12"/>
  <c r="Y35" i="12"/>
  <c r="Z35" i="12" s="1"/>
  <c r="AA35" i="12" s="1"/>
  <c r="AB35" i="12" s="1"/>
  <c r="AC35" i="12" s="1"/>
  <c r="U35" i="12"/>
  <c r="V35" i="12" s="1"/>
  <c r="W35" i="12" s="1"/>
  <c r="S35" i="12"/>
  <c r="Q35" i="12"/>
  <c r="K35" i="12"/>
  <c r="L35" i="12" s="1"/>
  <c r="M35" i="12" s="1"/>
  <c r="N35" i="12" s="1"/>
  <c r="G35" i="12"/>
  <c r="BP34" i="12"/>
  <c r="BM34" i="12"/>
  <c r="AY34" i="12"/>
  <c r="AU34" i="12"/>
  <c r="AS34" i="12"/>
  <c r="AQ34" i="12"/>
  <c r="AM34" i="12"/>
  <c r="AK34" i="12"/>
  <c r="AG34" i="12"/>
  <c r="Y34" i="12"/>
  <c r="Z34" i="12" s="1"/>
  <c r="AA34" i="12" s="1"/>
  <c r="AB34" i="12" s="1"/>
  <c r="AC34" i="12" s="1"/>
  <c r="U34" i="12"/>
  <c r="V34" i="12" s="1"/>
  <c r="W34" i="12" s="1"/>
  <c r="S34" i="12"/>
  <c r="Q34" i="12"/>
  <c r="K34" i="12"/>
  <c r="L34" i="12" s="1"/>
  <c r="M34" i="12" s="1"/>
  <c r="N34" i="12" s="1"/>
  <c r="G34" i="12"/>
  <c r="BP33" i="12"/>
  <c r="BM33" i="12"/>
  <c r="AY33" i="12"/>
  <c r="AU33" i="12"/>
  <c r="AS33" i="12"/>
  <c r="AQ33" i="12"/>
  <c r="AM33" i="12"/>
  <c r="AK33" i="12"/>
  <c r="AG33" i="12"/>
  <c r="Y33" i="12"/>
  <c r="Z33" i="12" s="1"/>
  <c r="AA33" i="12" s="1"/>
  <c r="AB33" i="12" s="1"/>
  <c r="AC33" i="12" s="1"/>
  <c r="U33" i="12"/>
  <c r="V33" i="12" s="1"/>
  <c r="W33" i="12" s="1"/>
  <c r="S33" i="12"/>
  <c r="Q33" i="12"/>
  <c r="K33" i="12"/>
  <c r="L33" i="12" s="1"/>
  <c r="M33" i="12" s="1"/>
  <c r="N33" i="12" s="1"/>
  <c r="G33" i="12"/>
  <c r="BP32" i="12"/>
  <c r="BM32" i="12"/>
  <c r="AY32" i="12"/>
  <c r="AU32" i="12"/>
  <c r="AS32" i="12"/>
  <c r="AQ32" i="12"/>
  <c r="AM32" i="12"/>
  <c r="AK32" i="12"/>
  <c r="AG32" i="12"/>
  <c r="Y32" i="12"/>
  <c r="Z32" i="12" s="1"/>
  <c r="AA32" i="12" s="1"/>
  <c r="AB32" i="12" s="1"/>
  <c r="AC32" i="12" s="1"/>
  <c r="U32" i="12"/>
  <c r="V32" i="12" s="1"/>
  <c r="W32" i="12" s="1"/>
  <c r="S32" i="12"/>
  <c r="Q32" i="12"/>
  <c r="K32" i="12"/>
  <c r="L32" i="12" s="1"/>
  <c r="M32" i="12" s="1"/>
  <c r="N32" i="12" s="1"/>
  <c r="G32" i="12"/>
  <c r="BP31" i="12"/>
  <c r="BM31" i="12"/>
  <c r="AY31" i="12"/>
  <c r="AU31" i="12"/>
  <c r="AS31" i="12"/>
  <c r="AQ31" i="12"/>
  <c r="AM31" i="12"/>
  <c r="AK31" i="12"/>
  <c r="AG31" i="12"/>
  <c r="Y31" i="12"/>
  <c r="Z31" i="12" s="1"/>
  <c r="AA31" i="12" s="1"/>
  <c r="AB31" i="12" s="1"/>
  <c r="AC31" i="12" s="1"/>
  <c r="U31" i="12"/>
  <c r="V31" i="12" s="1"/>
  <c r="W31" i="12" s="1"/>
  <c r="S31" i="12"/>
  <c r="Q31" i="12"/>
  <c r="K31" i="12"/>
  <c r="L31" i="12" s="1"/>
  <c r="M31" i="12" s="1"/>
  <c r="N31" i="12" s="1"/>
  <c r="G31" i="12"/>
  <c r="BP30" i="12"/>
  <c r="BM30" i="12"/>
  <c r="AY30" i="12"/>
  <c r="AU30" i="12"/>
  <c r="AS30" i="12"/>
  <c r="AQ30" i="12"/>
  <c r="AM30" i="12"/>
  <c r="AK30" i="12"/>
  <c r="AG30" i="12"/>
  <c r="Y30" i="12"/>
  <c r="Z30" i="12" s="1"/>
  <c r="AA30" i="12" s="1"/>
  <c r="AB30" i="12" s="1"/>
  <c r="AC30" i="12" s="1"/>
  <c r="U30" i="12"/>
  <c r="V30" i="12" s="1"/>
  <c r="W30" i="12" s="1"/>
  <c r="S30" i="12"/>
  <c r="Q30" i="12"/>
  <c r="K30" i="12"/>
  <c r="L30" i="12" s="1"/>
  <c r="M30" i="12" s="1"/>
  <c r="N30" i="12" s="1"/>
  <c r="G30" i="12"/>
  <c r="BP29" i="12"/>
  <c r="BM29" i="12"/>
  <c r="AY29" i="12"/>
  <c r="AU29" i="12"/>
  <c r="AS29" i="12"/>
  <c r="AQ29" i="12"/>
  <c r="AM29" i="12"/>
  <c r="AG29" i="12"/>
  <c r="Y29" i="12"/>
  <c r="Z29" i="12" s="1"/>
  <c r="AA29" i="12" s="1"/>
  <c r="AB29" i="12" s="1"/>
  <c r="AC29" i="12" s="1"/>
  <c r="U29" i="12"/>
  <c r="V29" i="12" s="1"/>
  <c r="W29" i="12" s="1"/>
  <c r="S29" i="12"/>
  <c r="Q29" i="12"/>
  <c r="K29" i="12"/>
  <c r="L29" i="12" s="1"/>
  <c r="M29" i="12" s="1"/>
  <c r="N29" i="12" s="1"/>
  <c r="G29" i="12"/>
  <c r="BP28" i="12"/>
  <c r="BM28" i="12"/>
  <c r="AY28" i="12"/>
  <c r="AW28" i="12"/>
  <c r="AU28" i="12"/>
  <c r="AS28" i="12"/>
  <c r="AQ28" i="12"/>
  <c r="AO28" i="12"/>
  <c r="AM28" i="12"/>
  <c r="AK28" i="12"/>
  <c r="AI28" i="12"/>
  <c r="AG28" i="12"/>
  <c r="Y28" i="12"/>
  <c r="Z28" i="12" s="1"/>
  <c r="AA28" i="12" s="1"/>
  <c r="AB28" i="12" s="1"/>
  <c r="AC28" i="12" s="1"/>
  <c r="U28" i="12"/>
  <c r="V28" i="12" s="1"/>
  <c r="W28" i="12" s="1"/>
  <c r="S28" i="12"/>
  <c r="Q28" i="12"/>
  <c r="K28" i="12"/>
  <c r="L28" i="12" s="1"/>
  <c r="M28" i="12" s="1"/>
  <c r="N28" i="12" s="1"/>
  <c r="G28" i="12"/>
  <c r="AD28" i="12" s="1"/>
  <c r="AE28" i="12" s="1"/>
  <c r="BP27" i="12"/>
  <c r="BM27" i="12"/>
  <c r="AY27" i="12"/>
  <c r="AU27" i="12"/>
  <c r="AS27" i="12"/>
  <c r="AQ27" i="12"/>
  <c r="AO27" i="12"/>
  <c r="AM27" i="12"/>
  <c r="AK27" i="12"/>
  <c r="AI27" i="12"/>
  <c r="AG27" i="12"/>
  <c r="Y27" i="12"/>
  <c r="Z27" i="12" s="1"/>
  <c r="AA27" i="12" s="1"/>
  <c r="AB27" i="12" s="1"/>
  <c r="AC27" i="12" s="1"/>
  <c r="U27" i="12"/>
  <c r="V27" i="12" s="1"/>
  <c r="W27" i="12" s="1"/>
  <c r="S27" i="12"/>
  <c r="Q27" i="12"/>
  <c r="K27" i="12"/>
  <c r="L27" i="12" s="1"/>
  <c r="M27" i="12" s="1"/>
  <c r="N27" i="12" s="1"/>
  <c r="G27" i="12"/>
  <c r="BP26" i="12"/>
  <c r="BM26" i="12"/>
  <c r="AY26" i="12"/>
  <c r="AU26" i="12"/>
  <c r="AS26" i="12"/>
  <c r="AQ26" i="12"/>
  <c r="AO26" i="12"/>
  <c r="AM26" i="12"/>
  <c r="AK26" i="12"/>
  <c r="AI26" i="12"/>
  <c r="AG26" i="12"/>
  <c r="Y26" i="12"/>
  <c r="Z26" i="12" s="1"/>
  <c r="AA26" i="12" s="1"/>
  <c r="AB26" i="12" s="1"/>
  <c r="AC26" i="12" s="1"/>
  <c r="U26" i="12"/>
  <c r="V26" i="12" s="1"/>
  <c r="W26" i="12" s="1"/>
  <c r="S26" i="12"/>
  <c r="Q26" i="12"/>
  <c r="K26" i="12"/>
  <c r="L26" i="12" s="1"/>
  <c r="M26" i="12" s="1"/>
  <c r="N26" i="12" s="1"/>
  <c r="G26" i="12"/>
  <c r="BP25" i="12"/>
  <c r="BM25" i="12"/>
  <c r="AY25" i="12"/>
  <c r="AU25" i="12"/>
  <c r="AS25" i="12"/>
  <c r="AQ25" i="12"/>
  <c r="AO25" i="12"/>
  <c r="AM25" i="12"/>
  <c r="AK25" i="12"/>
  <c r="AI25" i="12"/>
  <c r="AG25" i="12"/>
  <c r="Y25" i="12"/>
  <c r="Z25" i="12" s="1"/>
  <c r="AA25" i="12" s="1"/>
  <c r="AB25" i="12" s="1"/>
  <c r="AC25" i="12" s="1"/>
  <c r="U25" i="12"/>
  <c r="V25" i="12" s="1"/>
  <c r="W25" i="12" s="1"/>
  <c r="S25" i="12"/>
  <c r="Q25" i="12"/>
  <c r="K25" i="12"/>
  <c r="L25" i="12" s="1"/>
  <c r="M25" i="12" s="1"/>
  <c r="N25" i="12" s="1"/>
  <c r="G25" i="12"/>
  <c r="BP24" i="12"/>
  <c r="BM24" i="12"/>
  <c r="AY24" i="12"/>
  <c r="AU24" i="12"/>
  <c r="AS24" i="12"/>
  <c r="AQ24" i="12"/>
  <c r="AO24" i="12"/>
  <c r="AM24" i="12"/>
  <c r="AK24" i="12"/>
  <c r="AI24" i="12"/>
  <c r="AG24" i="12"/>
  <c r="Y24" i="12"/>
  <c r="Z24" i="12" s="1"/>
  <c r="AA24" i="12" s="1"/>
  <c r="AB24" i="12" s="1"/>
  <c r="AC24" i="12" s="1"/>
  <c r="U24" i="12"/>
  <c r="V24" i="12" s="1"/>
  <c r="W24" i="12" s="1"/>
  <c r="S24" i="12"/>
  <c r="Q24" i="12"/>
  <c r="K24" i="12"/>
  <c r="L24" i="12" s="1"/>
  <c r="M24" i="12" s="1"/>
  <c r="N24" i="12" s="1"/>
  <c r="G24" i="12"/>
  <c r="BP23" i="12"/>
  <c r="BM23" i="12"/>
  <c r="AY23" i="12"/>
  <c r="AU23" i="12"/>
  <c r="AS23" i="12"/>
  <c r="AQ23" i="12"/>
  <c r="AO23" i="12"/>
  <c r="AM23" i="12"/>
  <c r="AK23" i="12"/>
  <c r="AI23" i="12"/>
  <c r="AG23" i="12"/>
  <c r="Y23" i="12"/>
  <c r="Z23" i="12" s="1"/>
  <c r="AA23" i="12" s="1"/>
  <c r="AB23" i="12" s="1"/>
  <c r="AC23" i="12" s="1"/>
  <c r="U23" i="12"/>
  <c r="V23" i="12" s="1"/>
  <c r="W23" i="12" s="1"/>
  <c r="S23" i="12"/>
  <c r="Q23" i="12"/>
  <c r="K23" i="12"/>
  <c r="L23" i="12" s="1"/>
  <c r="M23" i="12" s="1"/>
  <c r="N23" i="12" s="1"/>
  <c r="G23" i="12"/>
  <c r="BP22" i="12"/>
  <c r="BM22" i="12"/>
  <c r="AY22" i="12"/>
  <c r="AU22" i="12"/>
  <c r="AS22" i="12"/>
  <c r="AM22" i="12"/>
  <c r="AK22" i="12"/>
  <c r="AG22" i="12"/>
  <c r="Y22" i="12"/>
  <c r="Z22" i="12" s="1"/>
  <c r="AA22" i="12" s="1"/>
  <c r="AB22" i="12" s="1"/>
  <c r="AC22" i="12" s="1"/>
  <c r="U22" i="12"/>
  <c r="V22" i="12" s="1"/>
  <c r="W22" i="12" s="1"/>
  <c r="S22" i="12"/>
  <c r="Q22" i="12"/>
  <c r="K22" i="12"/>
  <c r="L22" i="12" s="1"/>
  <c r="M22" i="12" s="1"/>
  <c r="N22" i="12" s="1"/>
  <c r="O22" i="12" s="1"/>
  <c r="G22" i="12"/>
  <c r="BP21" i="12"/>
  <c r="BM21" i="12"/>
  <c r="AY21" i="12"/>
  <c r="AU21" i="12"/>
  <c r="AS21" i="12"/>
  <c r="AM21" i="12"/>
  <c r="AK21" i="12"/>
  <c r="AG21" i="12"/>
  <c r="Y21" i="12"/>
  <c r="Z21" i="12" s="1"/>
  <c r="AA21" i="12" s="1"/>
  <c r="AB21" i="12" s="1"/>
  <c r="AC21" i="12" s="1"/>
  <c r="U21" i="12"/>
  <c r="V21" i="12" s="1"/>
  <c r="W21" i="12" s="1"/>
  <c r="S21" i="12"/>
  <c r="Q21" i="12"/>
  <c r="K21" i="12"/>
  <c r="L21" i="12" s="1"/>
  <c r="M21" i="12" s="1"/>
  <c r="N21" i="12" s="1"/>
  <c r="G21" i="12"/>
  <c r="BP20" i="12"/>
  <c r="BM20" i="12"/>
  <c r="AY20" i="12"/>
  <c r="AU20" i="12"/>
  <c r="AS20" i="12"/>
  <c r="AQ20" i="12"/>
  <c r="AO20" i="12"/>
  <c r="AM20" i="12"/>
  <c r="AK20" i="12"/>
  <c r="AI20" i="12"/>
  <c r="AG20" i="12"/>
  <c r="Y20" i="12"/>
  <c r="Z20" i="12" s="1"/>
  <c r="AA20" i="12" s="1"/>
  <c r="AB20" i="12" s="1"/>
  <c r="AC20" i="12" s="1"/>
  <c r="U20" i="12"/>
  <c r="V20" i="12" s="1"/>
  <c r="W20" i="12" s="1"/>
  <c r="S20" i="12"/>
  <c r="Q20" i="12"/>
  <c r="K20" i="12"/>
  <c r="L20" i="12" s="1"/>
  <c r="M20" i="12" s="1"/>
  <c r="N20" i="12" s="1"/>
  <c r="G20" i="12"/>
  <c r="BP19" i="12"/>
  <c r="BM19" i="12"/>
  <c r="AY19" i="12"/>
  <c r="AU19" i="12"/>
  <c r="AS19" i="12"/>
  <c r="AQ19" i="12"/>
  <c r="AO19" i="12"/>
  <c r="AM19" i="12"/>
  <c r="AK19" i="12"/>
  <c r="AI19" i="12"/>
  <c r="AG19" i="12"/>
  <c r="Y19" i="12"/>
  <c r="Z19" i="12" s="1"/>
  <c r="AA19" i="12" s="1"/>
  <c r="AB19" i="12" s="1"/>
  <c r="AC19" i="12" s="1"/>
  <c r="U19" i="12"/>
  <c r="V19" i="12" s="1"/>
  <c r="W19" i="12" s="1"/>
  <c r="S19" i="12"/>
  <c r="Q19" i="12"/>
  <c r="K19" i="12"/>
  <c r="L19" i="12" s="1"/>
  <c r="M19" i="12" s="1"/>
  <c r="N19" i="12" s="1"/>
  <c r="O19" i="12" s="1"/>
  <c r="G19" i="12"/>
  <c r="BP18" i="12"/>
  <c r="BM18" i="12"/>
  <c r="AY18" i="12"/>
  <c r="AU18" i="12"/>
  <c r="AS18" i="12"/>
  <c r="AQ18" i="12"/>
  <c r="AO18" i="12"/>
  <c r="AM18" i="12"/>
  <c r="AK18" i="12"/>
  <c r="AI18" i="12"/>
  <c r="AG18" i="12"/>
  <c r="Y18" i="12"/>
  <c r="Z18" i="12" s="1"/>
  <c r="AA18" i="12" s="1"/>
  <c r="AB18" i="12" s="1"/>
  <c r="AC18" i="12" s="1"/>
  <c r="U18" i="12"/>
  <c r="V18" i="12" s="1"/>
  <c r="W18" i="12" s="1"/>
  <c r="S18" i="12"/>
  <c r="Q18" i="12"/>
  <c r="K18" i="12"/>
  <c r="L18" i="12" s="1"/>
  <c r="M18" i="12" s="1"/>
  <c r="N18" i="12" s="1"/>
  <c r="G18" i="12"/>
  <c r="BP17" i="12"/>
  <c r="BM17" i="12"/>
  <c r="AY17" i="12"/>
  <c r="AU17" i="12"/>
  <c r="AS17" i="12"/>
  <c r="AQ17" i="12"/>
  <c r="AO17" i="12"/>
  <c r="AM17" i="12"/>
  <c r="AK17" i="12"/>
  <c r="AI17" i="12"/>
  <c r="AG17" i="12"/>
  <c r="Y17" i="12"/>
  <c r="Z17" i="12" s="1"/>
  <c r="AA17" i="12" s="1"/>
  <c r="AB17" i="12" s="1"/>
  <c r="AC17" i="12" s="1"/>
  <c r="U17" i="12"/>
  <c r="V17" i="12" s="1"/>
  <c r="W17" i="12" s="1"/>
  <c r="S17" i="12"/>
  <c r="Q17" i="12"/>
  <c r="K17" i="12"/>
  <c r="L17" i="12" s="1"/>
  <c r="M17" i="12" s="1"/>
  <c r="N17" i="12" s="1"/>
  <c r="G17" i="12"/>
  <c r="BP16" i="12"/>
  <c r="BM16" i="12"/>
  <c r="AY16" i="12"/>
  <c r="AU16" i="12"/>
  <c r="AS16" i="12"/>
  <c r="AM16" i="12"/>
  <c r="AK16" i="12"/>
  <c r="AI16" i="12"/>
  <c r="AG16" i="12"/>
  <c r="Y16" i="12"/>
  <c r="Z16" i="12" s="1"/>
  <c r="AA16" i="12" s="1"/>
  <c r="AB16" i="12" s="1"/>
  <c r="AC16" i="12" s="1"/>
  <c r="U16" i="12"/>
  <c r="V16" i="12" s="1"/>
  <c r="W16" i="12" s="1"/>
  <c r="S16" i="12"/>
  <c r="Q16" i="12"/>
  <c r="K16" i="12"/>
  <c r="L16" i="12" s="1"/>
  <c r="M16" i="12" s="1"/>
  <c r="G16" i="12"/>
  <c r="BP15" i="12"/>
  <c r="BM15" i="12"/>
  <c r="AY15" i="12"/>
  <c r="AU15" i="12"/>
  <c r="AS15" i="12"/>
  <c r="AQ15" i="12"/>
  <c r="AO15" i="12"/>
  <c r="AM15" i="12"/>
  <c r="AK15" i="12"/>
  <c r="AI15" i="12"/>
  <c r="AG15" i="12"/>
  <c r="Y15" i="12"/>
  <c r="Z15" i="12" s="1"/>
  <c r="AA15" i="12" s="1"/>
  <c r="AB15" i="12" s="1"/>
  <c r="AC15" i="12" s="1"/>
  <c r="U15" i="12"/>
  <c r="V15" i="12" s="1"/>
  <c r="W15" i="12" s="1"/>
  <c r="S15" i="12"/>
  <c r="Q15" i="12"/>
  <c r="K15" i="12"/>
  <c r="L15" i="12" s="1"/>
  <c r="M15" i="12" s="1"/>
  <c r="N15" i="12" s="1"/>
  <c r="G15" i="12"/>
  <c r="BP14" i="12"/>
  <c r="BM14" i="12"/>
  <c r="AY14" i="12"/>
  <c r="AU14" i="12"/>
  <c r="AS14" i="12"/>
  <c r="AQ14" i="12"/>
  <c r="AO14" i="12"/>
  <c r="AM14" i="12"/>
  <c r="AK14" i="12"/>
  <c r="AI14" i="12"/>
  <c r="AG14" i="12"/>
  <c r="Y14" i="12"/>
  <c r="Z14" i="12" s="1"/>
  <c r="AA14" i="12" s="1"/>
  <c r="AB14" i="12" s="1"/>
  <c r="AC14" i="12" s="1"/>
  <c r="U14" i="12"/>
  <c r="V14" i="12" s="1"/>
  <c r="W14" i="12" s="1"/>
  <c r="S14" i="12"/>
  <c r="Q14" i="12"/>
  <c r="K14" i="12"/>
  <c r="L14" i="12" s="1"/>
  <c r="M14" i="12" s="1"/>
  <c r="N14" i="12" s="1"/>
  <c r="G14" i="12"/>
  <c r="BP13" i="12"/>
  <c r="BM13" i="12"/>
  <c r="AY13" i="12"/>
  <c r="AU13" i="12"/>
  <c r="AS13" i="12"/>
  <c r="AQ13" i="12"/>
  <c r="AO13" i="12"/>
  <c r="AM13" i="12"/>
  <c r="AK13" i="12"/>
  <c r="AI13" i="12"/>
  <c r="AG13" i="12"/>
  <c r="Y13" i="12"/>
  <c r="Z13" i="12" s="1"/>
  <c r="AA13" i="12" s="1"/>
  <c r="AB13" i="12" s="1"/>
  <c r="AC13" i="12" s="1"/>
  <c r="U13" i="12"/>
  <c r="V13" i="12" s="1"/>
  <c r="W13" i="12" s="1"/>
  <c r="S13" i="12"/>
  <c r="Q13" i="12"/>
  <c r="K13" i="12"/>
  <c r="L13" i="12" s="1"/>
  <c r="M13" i="12" s="1"/>
  <c r="N13" i="12" s="1"/>
  <c r="G13" i="12"/>
  <c r="J26" i="38" l="1"/>
  <c r="J27" i="38" s="1"/>
  <c r="K27" i="38" s="1"/>
  <c r="L27" i="38" s="1"/>
  <c r="M27" i="38" s="1"/>
  <c r="N27" i="38" s="1"/>
  <c r="O27" i="38" s="1"/>
  <c r="P27" i="38" s="1"/>
  <c r="Q27" i="38" s="1"/>
  <c r="R27" i="38" s="1"/>
  <c r="S27" i="38" s="1"/>
  <c r="T27" i="38" s="1"/>
  <c r="U27" i="38" s="1"/>
  <c r="V27" i="38" s="1"/>
  <c r="W27" i="38" s="1"/>
  <c r="AA25" i="38"/>
  <c r="AA26" i="38" s="1"/>
  <c r="Z25" i="38"/>
  <c r="Z26" i="38" s="1"/>
  <c r="Y25" i="38"/>
  <c r="Y26" i="38" s="1"/>
  <c r="X25" i="38"/>
  <c r="X26" i="38" s="1"/>
  <c r="BC58" i="12"/>
  <c r="BF58" i="12" s="1"/>
  <c r="I22" i="12"/>
  <c r="AI22" i="12"/>
  <c r="AD22" i="12"/>
  <c r="AE22" i="12" s="1"/>
  <c r="AN22" i="12"/>
  <c r="AO22" i="12" s="1"/>
  <c r="I26" i="12"/>
  <c r="AD26" i="12"/>
  <c r="AE26" i="12" s="1"/>
  <c r="AV26" i="12"/>
  <c r="AW26" i="12" s="1"/>
  <c r="I28" i="12"/>
  <c r="I32" i="12"/>
  <c r="AV32" i="12"/>
  <c r="AW32" i="12" s="1"/>
  <c r="AD32" i="12"/>
  <c r="AE32" i="12" s="1"/>
  <c r="AN32" i="12"/>
  <c r="AO32" i="12" s="1"/>
  <c r="I34" i="12"/>
  <c r="AD34" i="12"/>
  <c r="AE34" i="12" s="1"/>
  <c r="AN34" i="12"/>
  <c r="AO34" i="12" s="1"/>
  <c r="AV34" i="12"/>
  <c r="AW34" i="12" s="1"/>
  <c r="AH34" i="12"/>
  <c r="AI34" i="12" s="1"/>
  <c r="I36" i="12"/>
  <c r="AH36" i="12"/>
  <c r="AI36" i="12" s="1"/>
  <c r="AN36" i="12"/>
  <c r="AO36" i="12" s="1"/>
  <c r="AD36" i="12"/>
  <c r="AE36" i="12" s="1"/>
  <c r="AV36" i="12"/>
  <c r="AW36" i="12" s="1"/>
  <c r="I43" i="12"/>
  <c r="AD43" i="12"/>
  <c r="AE43" i="12" s="1"/>
  <c r="AV43" i="12"/>
  <c r="AW43" i="12" s="1"/>
  <c r="AH43" i="12"/>
  <c r="AI43" i="12" s="1"/>
  <c r="AN43" i="12"/>
  <c r="AO43" i="12" s="1"/>
  <c r="I17" i="12"/>
  <c r="AD17" i="12"/>
  <c r="AE17" i="12" s="1"/>
  <c r="AV17" i="12"/>
  <c r="AW17" i="12" s="1"/>
  <c r="I46" i="12"/>
  <c r="AH46" i="12"/>
  <c r="AI46" i="12" s="1"/>
  <c r="AN46" i="12"/>
  <c r="AO46" i="12" s="1"/>
  <c r="AD46" i="12"/>
  <c r="AE46" i="12" s="1"/>
  <c r="AV46" i="12"/>
  <c r="AW46" i="12" s="1"/>
  <c r="I18" i="12"/>
  <c r="AV18" i="12"/>
  <c r="AW18" i="12" s="1"/>
  <c r="AD18" i="12"/>
  <c r="AE18" i="12" s="1"/>
  <c r="I24" i="12"/>
  <c r="AV24" i="12"/>
  <c r="AW24" i="12" s="1"/>
  <c r="AD24" i="12"/>
  <c r="AE24" i="12" s="1"/>
  <c r="I20" i="12"/>
  <c r="AV20" i="12"/>
  <c r="AW20" i="12" s="1"/>
  <c r="AD20" i="12"/>
  <c r="AE20" i="12" s="1"/>
  <c r="I38" i="12"/>
  <c r="AD38" i="12"/>
  <c r="AE38" i="12" s="1"/>
  <c r="AV38" i="12"/>
  <c r="AW38" i="12" s="1"/>
  <c r="AN38" i="12"/>
  <c r="AO38" i="12" s="1"/>
  <c r="AI38" i="12"/>
  <c r="I30" i="12"/>
  <c r="AH30" i="12"/>
  <c r="AI30" i="12" s="1"/>
  <c r="AD30" i="12"/>
  <c r="AE30" i="12" s="1"/>
  <c r="AN30" i="12"/>
  <c r="AO30" i="12" s="1"/>
  <c r="AV30" i="12"/>
  <c r="AW30" i="12" s="1"/>
  <c r="I13" i="12"/>
  <c r="AV13" i="12"/>
  <c r="AW13" i="12" s="1"/>
  <c r="AD13" i="12"/>
  <c r="AE13" i="12" s="1"/>
  <c r="I15" i="12"/>
  <c r="AD15" i="12"/>
  <c r="AE15" i="12" s="1"/>
  <c r="AV15" i="12"/>
  <c r="AW15" i="12" s="1"/>
  <c r="I23" i="12"/>
  <c r="AV23" i="12"/>
  <c r="AW23" i="12" s="1"/>
  <c r="AD23" i="12"/>
  <c r="AE23" i="12" s="1"/>
  <c r="I25" i="12"/>
  <c r="AV25" i="12"/>
  <c r="AW25" i="12" s="1"/>
  <c r="AD25" i="12"/>
  <c r="AE25" i="12" s="1"/>
  <c r="AH32" i="12"/>
  <c r="AI32" i="12" s="1"/>
  <c r="I27" i="12"/>
  <c r="AD27" i="12"/>
  <c r="AE27" i="12" s="1"/>
  <c r="AV27" i="12"/>
  <c r="AW27" i="12" s="1"/>
  <c r="I39" i="12"/>
  <c r="AN39" i="12"/>
  <c r="AO39" i="12" s="1"/>
  <c r="AD39" i="12"/>
  <c r="AE39" i="12" s="1"/>
  <c r="AI39" i="12"/>
  <c r="AV39" i="12"/>
  <c r="AW39" i="12" s="1"/>
  <c r="I41" i="12"/>
  <c r="AN41" i="12"/>
  <c r="AO41" i="12" s="1"/>
  <c r="AI41" i="12"/>
  <c r="AD41" i="12"/>
  <c r="AE41" i="12" s="1"/>
  <c r="AV41" i="12"/>
  <c r="AW41" i="12" s="1"/>
  <c r="I42" i="12"/>
  <c r="AD42" i="12"/>
  <c r="AE42" i="12" s="1"/>
  <c r="AV42" i="12"/>
  <c r="AW42" i="12" s="1"/>
  <c r="AN42" i="12"/>
  <c r="AO42" i="12" s="1"/>
  <c r="I45" i="12"/>
  <c r="AH45" i="12"/>
  <c r="AI45" i="12" s="1"/>
  <c r="AN45" i="12"/>
  <c r="AO45" i="12" s="1"/>
  <c r="AD45" i="12"/>
  <c r="AE45" i="12" s="1"/>
  <c r="AV45" i="12"/>
  <c r="AW45" i="12" s="1"/>
  <c r="I21" i="12"/>
  <c r="AN21" i="12"/>
  <c r="AO21" i="12" s="1"/>
  <c r="AD21" i="12"/>
  <c r="AE21" i="12" s="1"/>
  <c r="I31" i="12"/>
  <c r="AD31" i="12"/>
  <c r="AE31" i="12" s="1"/>
  <c r="AV31" i="12"/>
  <c r="AW31" i="12" s="1"/>
  <c r="AN31" i="12"/>
  <c r="AO31" i="12" s="1"/>
  <c r="AH31" i="12"/>
  <c r="AI31" i="12" s="1"/>
  <c r="I33" i="12"/>
  <c r="AD33" i="12"/>
  <c r="AE33" i="12" s="1"/>
  <c r="AN33" i="12"/>
  <c r="AO33" i="12" s="1"/>
  <c r="AV33" i="12"/>
  <c r="AW33" i="12" s="1"/>
  <c r="AH33" i="12"/>
  <c r="AI33" i="12" s="1"/>
  <c r="I35" i="12"/>
  <c r="AN35" i="12"/>
  <c r="AO35" i="12" s="1"/>
  <c r="AV35" i="12"/>
  <c r="AW35" i="12" s="1"/>
  <c r="AD35" i="12"/>
  <c r="AE35" i="12" s="1"/>
  <c r="AH35" i="12"/>
  <c r="AI35" i="12" s="1"/>
  <c r="I37" i="12"/>
  <c r="AI37" i="12"/>
  <c r="AD37" i="12"/>
  <c r="AE37" i="12" s="1"/>
  <c r="AN37" i="12"/>
  <c r="AO37" i="12" s="1"/>
  <c r="BC49" i="12"/>
  <c r="BH49" i="12" s="1"/>
  <c r="AI21" i="12"/>
  <c r="I14" i="12"/>
  <c r="AV14" i="12"/>
  <c r="AW14" i="12" s="1"/>
  <c r="AD14" i="12"/>
  <c r="AE14" i="12" s="1"/>
  <c r="I16" i="12"/>
  <c r="AN16" i="12"/>
  <c r="AO16" i="12" s="1"/>
  <c r="AD16" i="12"/>
  <c r="AE16" i="12" s="1"/>
  <c r="I19" i="12"/>
  <c r="AV19" i="12"/>
  <c r="AW19" i="12" s="1"/>
  <c r="AD19" i="12"/>
  <c r="AE19" i="12" s="1"/>
  <c r="I40" i="12"/>
  <c r="AI40" i="12"/>
  <c r="AD40" i="12"/>
  <c r="AE40" i="12" s="1"/>
  <c r="AN40" i="12"/>
  <c r="AO40" i="12" s="1"/>
  <c r="AV40" i="12"/>
  <c r="AW40" i="12" s="1"/>
  <c r="AH42" i="12"/>
  <c r="AI42" i="12" s="1"/>
  <c r="I29" i="12"/>
  <c r="AH29" i="12"/>
  <c r="AI29" i="12" s="1"/>
  <c r="AD29" i="12"/>
  <c r="AE29" i="12" s="1"/>
  <c r="AN29" i="12"/>
  <c r="AO29" i="12" s="1"/>
  <c r="AV29" i="12"/>
  <c r="AW29" i="12" s="1"/>
  <c r="I44" i="12"/>
  <c r="AN44" i="12"/>
  <c r="AO44" i="12" s="1"/>
  <c r="AV44" i="12"/>
  <c r="AW44" i="12" s="1"/>
  <c r="AD44" i="12"/>
  <c r="AE44" i="12" s="1"/>
  <c r="AH44" i="12"/>
  <c r="AI44" i="12" s="1"/>
  <c r="N16" i="12"/>
  <c r="O16" i="12" s="1"/>
  <c r="O101" i="12"/>
  <c r="BB101" i="12"/>
  <c r="BB88" i="12"/>
  <c r="BE88" i="12" s="1"/>
  <c r="O88" i="12"/>
  <c r="BC88" i="12" s="1"/>
  <c r="BD88" i="12" s="1"/>
  <c r="O107" i="12"/>
  <c r="BC107" i="12" s="1"/>
  <c r="BB107" i="12"/>
  <c r="O64" i="12"/>
  <c r="BC64" i="12" s="1"/>
  <c r="BB64" i="12"/>
  <c r="BI64" i="12" s="1"/>
  <c r="BC118" i="12"/>
  <c r="BB53" i="12"/>
  <c r="BQ53" i="12" s="1"/>
  <c r="O53" i="12"/>
  <c r="BC53" i="12" s="1"/>
  <c r="O56" i="12"/>
  <c r="BC56" i="12" s="1"/>
  <c r="BB56" i="12"/>
  <c r="BN56" i="12" s="1"/>
  <c r="BB51" i="12"/>
  <c r="BQ51" i="12" s="1"/>
  <c r="O51" i="12"/>
  <c r="BC51" i="12" s="1"/>
  <c r="BC120" i="12"/>
  <c r="BD120" i="12" s="1"/>
  <c r="O48" i="12"/>
  <c r="BC48" i="12" s="1"/>
  <c r="BB48" i="12"/>
  <c r="BN48" i="12" s="1"/>
  <c r="BI119" i="12"/>
  <c r="BE119" i="12"/>
  <c r="BB61" i="12"/>
  <c r="BE61" i="12" s="1"/>
  <c r="O61" i="12"/>
  <c r="BC61" i="12" s="1"/>
  <c r="BB74" i="12"/>
  <c r="BG74" i="12" s="1"/>
  <c r="O74" i="12"/>
  <c r="BC74" i="12" s="1"/>
  <c r="BB110" i="12"/>
  <c r="BI110" i="12" s="1"/>
  <c r="BC147" i="12"/>
  <c r="AC110" i="12"/>
  <c r="BB134" i="12"/>
  <c r="BC97" i="12"/>
  <c r="BJ97" i="12" s="1"/>
  <c r="BC134" i="12"/>
  <c r="BD134" i="12" s="1"/>
  <c r="O99" i="12"/>
  <c r="BC99" i="12" s="1"/>
  <c r="BH99" i="12" s="1"/>
  <c r="BB125" i="12"/>
  <c r="BQ125" i="12" s="1"/>
  <c r="BB122" i="12"/>
  <c r="O125" i="12"/>
  <c r="BC125" i="12" s="1"/>
  <c r="BD125" i="12" s="1"/>
  <c r="BB141" i="12"/>
  <c r="BG141" i="12" s="1"/>
  <c r="O93" i="12"/>
  <c r="BC93" i="12" s="1"/>
  <c r="BB93" i="12"/>
  <c r="O129" i="12"/>
  <c r="BC129" i="12" s="1"/>
  <c r="BB129" i="12"/>
  <c r="O46" i="12"/>
  <c r="BC86" i="12"/>
  <c r="BB52" i="12"/>
  <c r="O52" i="12"/>
  <c r="BC52" i="12" s="1"/>
  <c r="BB106" i="12"/>
  <c r="O106" i="12"/>
  <c r="BC106" i="12" s="1"/>
  <c r="AC70" i="12"/>
  <c r="BC70" i="12" s="1"/>
  <c r="BB70" i="12"/>
  <c r="BH97" i="12"/>
  <c r="BD97" i="12"/>
  <c r="BF134" i="12"/>
  <c r="BR134" i="12"/>
  <c r="BH134" i="12"/>
  <c r="BL134" i="12"/>
  <c r="BJ134" i="12"/>
  <c r="O59" i="12"/>
  <c r="BC59" i="12" s="1"/>
  <c r="BB59" i="12"/>
  <c r="O14" i="12"/>
  <c r="BC117" i="12"/>
  <c r="BJ58" i="12"/>
  <c r="BD58" i="12"/>
  <c r="BK60" i="12"/>
  <c r="BQ60" i="12"/>
  <c r="BI60" i="12"/>
  <c r="BG60" i="12"/>
  <c r="BN60" i="12"/>
  <c r="BB71" i="12"/>
  <c r="O71" i="12"/>
  <c r="BC71" i="12" s="1"/>
  <c r="O78" i="12"/>
  <c r="BC78" i="12" s="1"/>
  <c r="BB78" i="12"/>
  <c r="O124" i="12"/>
  <c r="BC124" i="12" s="1"/>
  <c r="BB124" i="12"/>
  <c r="O26" i="12"/>
  <c r="O43" i="12"/>
  <c r="O60" i="12"/>
  <c r="BC60" i="12" s="1"/>
  <c r="BH115" i="12"/>
  <c r="BR115" i="12"/>
  <c r="BJ115" i="12"/>
  <c r="BF115" i="12"/>
  <c r="BD115" i="12"/>
  <c r="BL115" i="12"/>
  <c r="O96" i="12"/>
  <c r="BC96" i="12" s="1"/>
  <c r="BB96" i="12"/>
  <c r="BG101" i="12"/>
  <c r="BI101" i="12"/>
  <c r="BK101" i="12"/>
  <c r="BQ101" i="12"/>
  <c r="BE101" i="12"/>
  <c r="BN101" i="12"/>
  <c r="BL133" i="12"/>
  <c r="BR133" i="12"/>
  <c r="BJ133" i="12"/>
  <c r="BH133" i="12"/>
  <c r="BF133" i="12"/>
  <c r="BD133" i="12"/>
  <c r="O69" i="12"/>
  <c r="BC69" i="12" s="1"/>
  <c r="BB69" i="12"/>
  <c r="O75" i="12"/>
  <c r="BC75" i="12" s="1"/>
  <c r="BB75" i="12"/>
  <c r="O83" i="12"/>
  <c r="BC83" i="12" s="1"/>
  <c r="BB83" i="12"/>
  <c r="BB86" i="12"/>
  <c r="O23" i="12"/>
  <c r="O25" i="12"/>
  <c r="O27" i="12"/>
  <c r="O29" i="12"/>
  <c r="O31" i="12"/>
  <c r="O33" i="12"/>
  <c r="O35" i="12"/>
  <c r="O37" i="12"/>
  <c r="BB47" i="12"/>
  <c r="O57" i="12"/>
  <c r="BC57" i="12" s="1"/>
  <c r="BB57" i="12"/>
  <c r="BB97" i="12"/>
  <c r="O151" i="12"/>
  <c r="BC151" i="12" s="1"/>
  <c r="BB151" i="12"/>
  <c r="O42" i="12"/>
  <c r="O85" i="12"/>
  <c r="BC85" i="12" s="1"/>
  <c r="BB85" i="12"/>
  <c r="BJ120" i="12"/>
  <c r="O18" i="12"/>
  <c r="O20" i="12"/>
  <c r="O21" i="12"/>
  <c r="O30" i="12"/>
  <c r="O32" i="12"/>
  <c r="O34" i="12"/>
  <c r="O36" i="12"/>
  <c r="O38" i="12"/>
  <c r="BG107" i="12"/>
  <c r="BI107" i="12"/>
  <c r="BQ107" i="12"/>
  <c r="BE107" i="12"/>
  <c r="BN107" i="12"/>
  <c r="BK107" i="12"/>
  <c r="BB58" i="12"/>
  <c r="BD99" i="12"/>
  <c r="BE134" i="12"/>
  <c r="BG134" i="12"/>
  <c r="BN134" i="12"/>
  <c r="BK134" i="12"/>
  <c r="BQ134" i="12"/>
  <c r="BI134" i="12"/>
  <c r="BB117" i="12"/>
  <c r="O152" i="12"/>
  <c r="BC152" i="12" s="1"/>
  <c r="BB152" i="12"/>
  <c r="BC50" i="12"/>
  <c r="O142" i="12"/>
  <c r="BC142" i="12" s="1"/>
  <c r="BB142" i="12"/>
  <c r="O47" i="12"/>
  <c r="BC47" i="12" s="1"/>
  <c r="BR58" i="12"/>
  <c r="BB87" i="12"/>
  <c r="O87" i="12"/>
  <c r="BC87" i="12" s="1"/>
  <c r="O112" i="12"/>
  <c r="BC112" i="12" s="1"/>
  <c r="BB112" i="12"/>
  <c r="BB121" i="12"/>
  <c r="O121" i="12"/>
  <c r="BC121" i="12" s="1"/>
  <c r="BB138" i="12"/>
  <c r="O138" i="12"/>
  <c r="BC138" i="12" s="1"/>
  <c r="AC146" i="12"/>
  <c r="BC146" i="12" s="1"/>
  <c r="BB146" i="12"/>
  <c r="O15" i="12"/>
  <c r="O17" i="12"/>
  <c r="O24" i="12"/>
  <c r="O28" i="12"/>
  <c r="BB49" i="12"/>
  <c r="BE60" i="12"/>
  <c r="O62" i="12"/>
  <c r="BC62" i="12" s="1"/>
  <c r="BB62" i="12"/>
  <c r="O77" i="12"/>
  <c r="BC77" i="12" s="1"/>
  <c r="BB77" i="12"/>
  <c r="BB95" i="12"/>
  <c r="O95" i="12"/>
  <c r="BC95" i="12" s="1"/>
  <c r="BC101" i="12"/>
  <c r="O102" i="12"/>
  <c r="BC102" i="12" s="1"/>
  <c r="BB102" i="12"/>
  <c r="AC135" i="12"/>
  <c r="BC135" i="12" s="1"/>
  <c r="BB135" i="12"/>
  <c r="BB50" i="12"/>
  <c r="O79" i="12"/>
  <c r="BC79" i="12" s="1"/>
  <c r="BB79" i="12"/>
  <c r="O100" i="12"/>
  <c r="BC100" i="12" s="1"/>
  <c r="BB100" i="12"/>
  <c r="BB105" i="12"/>
  <c r="O109" i="12"/>
  <c r="BC109" i="12" s="1"/>
  <c r="BB109" i="12"/>
  <c r="BH118" i="12"/>
  <c r="BF118" i="12"/>
  <c r="BR118" i="12"/>
  <c r="BL118" i="12"/>
  <c r="BJ118" i="12"/>
  <c r="BD118" i="12"/>
  <c r="O137" i="12"/>
  <c r="BC137" i="12" s="1"/>
  <c r="BB137" i="12"/>
  <c r="BB66" i="12"/>
  <c r="O66" i="12"/>
  <c r="BC66" i="12" s="1"/>
  <c r="BB72" i="12"/>
  <c r="BB73" i="12"/>
  <c r="O73" i="12"/>
  <c r="BC73" i="12" s="1"/>
  <c r="O76" i="12"/>
  <c r="BC76" i="12" s="1"/>
  <c r="BB76" i="12"/>
  <c r="BB82" i="12"/>
  <c r="BB90" i="12"/>
  <c r="O90" i="12"/>
  <c r="BC90" i="12" s="1"/>
  <c r="O103" i="12"/>
  <c r="BC103" i="12" s="1"/>
  <c r="BB103" i="12"/>
  <c r="O105" i="12"/>
  <c r="BC105" i="12" s="1"/>
  <c r="O113" i="12"/>
  <c r="BC113" i="12" s="1"/>
  <c r="BB113" i="12"/>
  <c r="BR130" i="12"/>
  <c r="BJ130" i="12"/>
  <c r="BD130" i="12"/>
  <c r="BF130" i="12"/>
  <c r="BL130" i="12"/>
  <c r="BH130" i="12"/>
  <c r="O150" i="12"/>
  <c r="BC150" i="12" s="1"/>
  <c r="BB150" i="12"/>
  <c r="BB54" i="12"/>
  <c r="BC72" i="12"/>
  <c r="O80" i="12"/>
  <c r="BC80" i="12" s="1"/>
  <c r="BB80" i="12"/>
  <c r="BC82" i="12"/>
  <c r="BQ88" i="12"/>
  <c r="BI88" i="12"/>
  <c r="BG88" i="12"/>
  <c r="BN88" i="12"/>
  <c r="BK88" i="12"/>
  <c r="BB111" i="12"/>
  <c r="O111" i="12"/>
  <c r="BC111" i="12" s="1"/>
  <c r="O114" i="12"/>
  <c r="BC114" i="12" s="1"/>
  <c r="BB114" i="12"/>
  <c r="O131" i="12"/>
  <c r="BC131" i="12" s="1"/>
  <c r="BB131" i="12"/>
  <c r="O145" i="12"/>
  <c r="BC145" i="12" s="1"/>
  <c r="BB145" i="12"/>
  <c r="BC54" i="12"/>
  <c r="O55" i="12"/>
  <c r="BC55" i="12" s="1"/>
  <c r="BB55" i="12"/>
  <c r="O63" i="12"/>
  <c r="BC63" i="12" s="1"/>
  <c r="BB63" i="12"/>
  <c r="BB65" i="12"/>
  <c r="O65" i="12"/>
  <c r="BC65" i="12" s="1"/>
  <c r="O84" i="12"/>
  <c r="BC84" i="12" s="1"/>
  <c r="BB84" i="12"/>
  <c r="BH88" i="12"/>
  <c r="BR88" i="12"/>
  <c r="BJ88" i="12"/>
  <c r="BF88" i="12"/>
  <c r="BL88" i="12"/>
  <c r="BG99" i="12"/>
  <c r="BI99" i="12"/>
  <c r="BQ99" i="12"/>
  <c r="BE99" i="12"/>
  <c r="BN99" i="12"/>
  <c r="AC108" i="12"/>
  <c r="BB108" i="12"/>
  <c r="BG110" i="12"/>
  <c r="BN110" i="12"/>
  <c r="BQ110" i="12"/>
  <c r="BE110" i="12"/>
  <c r="BK110" i="12"/>
  <c r="O144" i="12"/>
  <c r="BC144" i="12" s="1"/>
  <c r="BB144" i="12"/>
  <c r="BB81" i="12"/>
  <c r="BC108" i="12"/>
  <c r="BB116" i="12"/>
  <c r="O116" i="12"/>
  <c r="BC116" i="12" s="1"/>
  <c r="BL155" i="12"/>
  <c r="BD155" i="12"/>
  <c r="BR155" i="12"/>
  <c r="BH155" i="12"/>
  <c r="BF155" i="12"/>
  <c r="BJ155" i="12"/>
  <c r="O156" i="12"/>
  <c r="BC156" i="12" s="1"/>
  <c r="BB156" i="12"/>
  <c r="O68" i="12"/>
  <c r="BC68" i="12" s="1"/>
  <c r="BB68" i="12"/>
  <c r="O81" i="12"/>
  <c r="BC81" i="12" s="1"/>
  <c r="O91" i="12"/>
  <c r="BC91" i="12" s="1"/>
  <c r="BB91" i="12"/>
  <c r="O92" i="12"/>
  <c r="BC92" i="12" s="1"/>
  <c r="BB92" i="12"/>
  <c r="BC110" i="12"/>
  <c r="BB120" i="12"/>
  <c r="O67" i="12"/>
  <c r="BC67" i="12" s="1"/>
  <c r="BB67" i="12"/>
  <c r="BB89" i="12"/>
  <c r="BL125" i="12"/>
  <c r="BR125" i="12"/>
  <c r="BJ125" i="12"/>
  <c r="BH125" i="12"/>
  <c r="BF125" i="12"/>
  <c r="O126" i="12"/>
  <c r="BC126" i="12" s="1"/>
  <c r="BB126" i="12"/>
  <c r="BB136" i="12"/>
  <c r="O136" i="12"/>
  <c r="BC136" i="12" s="1"/>
  <c r="BE139" i="12"/>
  <c r="BN139" i="12"/>
  <c r="BQ139" i="12"/>
  <c r="BG139" i="12"/>
  <c r="BK139" i="12"/>
  <c r="O140" i="12"/>
  <c r="BC140" i="12" s="1"/>
  <c r="BB140" i="12"/>
  <c r="O149" i="12"/>
  <c r="BC149" i="12" s="1"/>
  <c r="BB149" i="12"/>
  <c r="BB155" i="12"/>
  <c r="O89" i="12"/>
  <c r="BC89" i="12" s="1"/>
  <c r="O94" i="12"/>
  <c r="BC94" i="12" s="1"/>
  <c r="BB94" i="12"/>
  <c r="O98" i="12"/>
  <c r="BC98" i="12" s="1"/>
  <c r="BB98" i="12"/>
  <c r="O104" i="12"/>
  <c r="BC104" i="12" s="1"/>
  <c r="BB104" i="12"/>
  <c r="BB118" i="12"/>
  <c r="O127" i="12"/>
  <c r="BC127" i="12" s="1"/>
  <c r="BB127" i="12"/>
  <c r="BG119" i="12"/>
  <c r="BN119" i="12"/>
  <c r="BQ119" i="12"/>
  <c r="BE122" i="12"/>
  <c r="BK122" i="12"/>
  <c r="BQ122" i="12"/>
  <c r="BI122" i="12"/>
  <c r="BC123" i="12"/>
  <c r="O143" i="12"/>
  <c r="BC143" i="12" s="1"/>
  <c r="BB143" i="12"/>
  <c r="BL147" i="12"/>
  <c r="BD147" i="12"/>
  <c r="BJ147" i="12"/>
  <c r="BR147" i="12"/>
  <c r="BH147" i="12"/>
  <c r="BC153" i="12"/>
  <c r="O119" i="12"/>
  <c r="BC119" i="12" s="1"/>
  <c r="BK119" i="12"/>
  <c r="O122" i="12"/>
  <c r="BC122" i="12" s="1"/>
  <c r="O132" i="12"/>
  <c r="BC132" i="12" s="1"/>
  <c r="BB132" i="12"/>
  <c r="BB115" i="12"/>
  <c r="BB123" i="12"/>
  <c r="BE125" i="12"/>
  <c r="BK125" i="12"/>
  <c r="BN125" i="12"/>
  <c r="BI125" i="12"/>
  <c r="BG125" i="12"/>
  <c r="BC139" i="12"/>
  <c r="BB147" i="12"/>
  <c r="O148" i="12"/>
  <c r="BC148" i="12" s="1"/>
  <c r="BB148" i="12"/>
  <c r="BB153" i="12"/>
  <c r="O154" i="12"/>
  <c r="BC154" i="12" s="1"/>
  <c r="BB154" i="12"/>
  <c r="BB128" i="12"/>
  <c r="BC128" i="12"/>
  <c r="BB130" i="12"/>
  <c r="BB133" i="12"/>
  <c r="BC141" i="12"/>
  <c r="BI141" i="12"/>
  <c r="O13" i="12"/>
  <c r="G25" i="31"/>
  <c r="A25" i="31"/>
  <c r="B25" i="31"/>
  <c r="E25" i="31"/>
  <c r="A26" i="31"/>
  <c r="B26" i="31"/>
  <c r="E26" i="31"/>
  <c r="A27" i="31"/>
  <c r="B27" i="31"/>
  <c r="E27" i="31"/>
  <c r="A28" i="31"/>
  <c r="B28" i="31"/>
  <c r="E28" i="31"/>
  <c r="A29" i="31"/>
  <c r="B29" i="31"/>
  <c r="E29" i="31"/>
  <c r="A30" i="31"/>
  <c r="B30" i="31"/>
  <c r="E30" i="31"/>
  <c r="A31" i="31"/>
  <c r="B31" i="31"/>
  <c r="E31" i="31"/>
  <c r="A32" i="31"/>
  <c r="B32" i="31"/>
  <c r="E32" i="31"/>
  <c r="A33" i="31"/>
  <c r="B33" i="31"/>
  <c r="E33" i="31"/>
  <c r="A34" i="31"/>
  <c r="B34" i="31"/>
  <c r="E34" i="31"/>
  <c r="A35" i="31"/>
  <c r="B35" i="31"/>
  <c r="E35" i="31"/>
  <c r="A36" i="31"/>
  <c r="B36" i="31"/>
  <c r="E36" i="31"/>
  <c r="A37" i="31"/>
  <c r="B37" i="31"/>
  <c r="E37" i="31"/>
  <c r="A38" i="31"/>
  <c r="B38" i="31"/>
  <c r="E38" i="31"/>
  <c r="A39" i="31"/>
  <c r="B39" i="31"/>
  <c r="E39" i="31"/>
  <c r="E40" i="31"/>
  <c r="A41" i="31"/>
  <c r="B41" i="31"/>
  <c r="E41" i="31"/>
  <c r="A42" i="31"/>
  <c r="B42" i="31"/>
  <c r="E42" i="31"/>
  <c r="A43" i="31"/>
  <c r="B43" i="31"/>
  <c r="E43" i="31"/>
  <c r="A44" i="31"/>
  <c r="B44" i="31"/>
  <c r="E44" i="31"/>
  <c r="A45" i="31"/>
  <c r="B45" i="31"/>
  <c r="E45" i="31"/>
  <c r="A46" i="31"/>
  <c r="B46" i="31"/>
  <c r="E46" i="31"/>
  <c r="A47" i="31"/>
  <c r="B47" i="31"/>
  <c r="E47" i="31"/>
  <c r="A48" i="31"/>
  <c r="B48" i="31"/>
  <c r="E48" i="31"/>
  <c r="A49" i="31"/>
  <c r="B49" i="31"/>
  <c r="E49" i="31"/>
  <c r="A50" i="31"/>
  <c r="B50" i="31"/>
  <c r="E50" i="31"/>
  <c r="A51" i="31"/>
  <c r="B51" i="31"/>
  <c r="E51" i="31"/>
  <c r="A52" i="31"/>
  <c r="B52" i="31"/>
  <c r="E52" i="31"/>
  <c r="A53" i="31"/>
  <c r="B53" i="31"/>
  <c r="E53" i="31"/>
  <c r="A54" i="31"/>
  <c r="B54" i="31"/>
  <c r="E54" i="31"/>
  <c r="A55" i="31"/>
  <c r="B55" i="31"/>
  <c r="E55" i="31"/>
  <c r="A56" i="31"/>
  <c r="B56" i="31"/>
  <c r="E56" i="31"/>
  <c r="A57" i="31"/>
  <c r="B57" i="31"/>
  <c r="E57" i="31"/>
  <c r="A58" i="31"/>
  <c r="B58" i="31"/>
  <c r="E58" i="31"/>
  <c r="A59" i="31"/>
  <c r="B59" i="31"/>
  <c r="E59" i="31"/>
  <c r="A60" i="31"/>
  <c r="B60" i="31"/>
  <c r="E60" i="31"/>
  <c r="A61" i="31"/>
  <c r="B61" i="31"/>
  <c r="E61" i="31"/>
  <c r="A62" i="31"/>
  <c r="B62" i="31"/>
  <c r="E62" i="31"/>
  <c r="A63" i="31"/>
  <c r="B63" i="31"/>
  <c r="E63" i="31"/>
  <c r="A64" i="31"/>
  <c r="B64" i="31"/>
  <c r="E64" i="31"/>
  <c r="A65" i="31"/>
  <c r="B65" i="31"/>
  <c r="E65" i="31"/>
  <c r="A66" i="31"/>
  <c r="B66" i="31"/>
  <c r="E66" i="31"/>
  <c r="A67" i="31"/>
  <c r="B67" i="31"/>
  <c r="E67" i="31"/>
  <c r="A68" i="31"/>
  <c r="B68" i="31"/>
  <c r="E68" i="31"/>
  <c r="A69" i="31"/>
  <c r="B69" i="31"/>
  <c r="E69" i="31"/>
  <c r="A70" i="31"/>
  <c r="B70" i="31"/>
  <c r="E70" i="31"/>
  <c r="A71" i="31"/>
  <c r="B71" i="31"/>
  <c r="E71" i="31"/>
  <c r="A72" i="31"/>
  <c r="B72" i="31"/>
  <c r="E72" i="31"/>
  <c r="A73" i="31"/>
  <c r="B73" i="31"/>
  <c r="E73" i="31"/>
  <c r="A74" i="31"/>
  <c r="B74" i="31"/>
  <c r="E74" i="31"/>
  <c r="A75" i="31"/>
  <c r="B75" i="31"/>
  <c r="E75" i="31"/>
  <c r="A76" i="31"/>
  <c r="B76" i="31"/>
  <c r="E76" i="31"/>
  <c r="A77" i="31"/>
  <c r="B77" i="31"/>
  <c r="E77" i="31"/>
  <c r="A78" i="31"/>
  <c r="B78" i="31"/>
  <c r="E78" i="31"/>
  <c r="A79" i="31"/>
  <c r="B79" i="31"/>
  <c r="E79" i="31"/>
  <c r="A80" i="31"/>
  <c r="B80" i="31"/>
  <c r="E80" i="31"/>
  <c r="A81" i="31"/>
  <c r="B81" i="31"/>
  <c r="E81" i="31"/>
  <c r="A82" i="31"/>
  <c r="B82" i="31"/>
  <c r="E82" i="31"/>
  <c r="A83" i="31"/>
  <c r="B83" i="31"/>
  <c r="E83" i="31"/>
  <c r="A84" i="31"/>
  <c r="B84" i="31"/>
  <c r="E84" i="31"/>
  <c r="A85" i="31"/>
  <c r="B85" i="31"/>
  <c r="E85" i="31"/>
  <c r="A86" i="31"/>
  <c r="B86" i="31"/>
  <c r="E86" i="31"/>
  <c r="A87" i="31"/>
  <c r="B87" i="31"/>
  <c r="E87" i="31"/>
  <c r="A88" i="31"/>
  <c r="B88" i="31"/>
  <c r="E88" i="31"/>
  <c r="A89" i="31"/>
  <c r="B89" i="31"/>
  <c r="E89" i="31"/>
  <c r="A90" i="31"/>
  <c r="B90" i="31"/>
  <c r="E90" i="31"/>
  <c r="A91" i="31"/>
  <c r="B91" i="31"/>
  <c r="E91" i="31"/>
  <c r="A92" i="31"/>
  <c r="B92" i="31"/>
  <c r="E92" i="31"/>
  <c r="A93" i="31"/>
  <c r="B93" i="31"/>
  <c r="E93" i="31"/>
  <c r="A94" i="31"/>
  <c r="B94" i="31"/>
  <c r="E94" i="31"/>
  <c r="A95" i="31"/>
  <c r="B95" i="31"/>
  <c r="E95" i="31"/>
  <c r="A96" i="31"/>
  <c r="B96" i="31"/>
  <c r="E96" i="31"/>
  <c r="A97" i="31"/>
  <c r="B97" i="31"/>
  <c r="E97" i="31"/>
  <c r="A98" i="31"/>
  <c r="B98" i="31"/>
  <c r="E98" i="31"/>
  <c r="A99" i="31"/>
  <c r="B99" i="31"/>
  <c r="E99" i="31"/>
  <c r="A100" i="31"/>
  <c r="B100" i="31"/>
  <c r="E100" i="31"/>
  <c r="A101" i="31"/>
  <c r="B101" i="31"/>
  <c r="E101" i="31"/>
  <c r="A102" i="31"/>
  <c r="B102" i="31"/>
  <c r="E102" i="31"/>
  <c r="A103" i="31"/>
  <c r="B103" i="31"/>
  <c r="E103" i="31"/>
  <c r="A104" i="31"/>
  <c r="B104" i="31"/>
  <c r="E104" i="31"/>
  <c r="A105" i="31"/>
  <c r="B105" i="31"/>
  <c r="E105" i="31"/>
  <c r="A106" i="31"/>
  <c r="B106" i="31"/>
  <c r="E106" i="31"/>
  <c r="A107" i="31"/>
  <c r="B107" i="31"/>
  <c r="E107" i="31"/>
  <c r="A108" i="31"/>
  <c r="B108" i="31"/>
  <c r="E108" i="31"/>
  <c r="A109" i="31"/>
  <c r="B109" i="31"/>
  <c r="E109" i="31"/>
  <c r="A110" i="31"/>
  <c r="B110" i="31"/>
  <c r="E110" i="31"/>
  <c r="A111" i="31"/>
  <c r="B111" i="31"/>
  <c r="E111" i="31"/>
  <c r="A112" i="31"/>
  <c r="B112" i="31"/>
  <c r="E112" i="31"/>
  <c r="A113" i="31"/>
  <c r="B113" i="31"/>
  <c r="E113" i="31"/>
  <c r="A114" i="31"/>
  <c r="B114" i="31"/>
  <c r="E114" i="31"/>
  <c r="A115" i="31"/>
  <c r="B115" i="31"/>
  <c r="E115" i="31"/>
  <c r="A116" i="31"/>
  <c r="B116" i="31"/>
  <c r="E116" i="31"/>
  <c r="A117" i="31"/>
  <c r="B117" i="31"/>
  <c r="E117" i="31"/>
  <c r="A118" i="31"/>
  <c r="B118" i="31"/>
  <c r="E118" i="31"/>
  <c r="A119" i="31"/>
  <c r="B119" i="31"/>
  <c r="E119" i="31"/>
  <c r="A120" i="31"/>
  <c r="B120" i="31"/>
  <c r="E120" i="31"/>
  <c r="A121" i="31"/>
  <c r="B121" i="31"/>
  <c r="E121" i="31"/>
  <c r="A122" i="31"/>
  <c r="B122" i="31"/>
  <c r="E122" i="31"/>
  <c r="A123" i="31"/>
  <c r="B123" i="31"/>
  <c r="E123" i="31"/>
  <c r="A124" i="31"/>
  <c r="B124" i="31"/>
  <c r="E124" i="31"/>
  <c r="A125" i="31"/>
  <c r="B125" i="31"/>
  <c r="E125" i="31"/>
  <c r="A126" i="31"/>
  <c r="B126" i="31"/>
  <c r="E126" i="31"/>
  <c r="A127" i="31"/>
  <c r="B127" i="31"/>
  <c r="E127" i="31"/>
  <c r="A128" i="31"/>
  <c r="B128" i="31"/>
  <c r="E128" i="31"/>
  <c r="A129" i="31"/>
  <c r="B129" i="31"/>
  <c r="E129" i="31"/>
  <c r="A130" i="31"/>
  <c r="B130" i="31"/>
  <c r="E130" i="31"/>
  <c r="A131" i="31"/>
  <c r="B131" i="31"/>
  <c r="E131" i="31"/>
  <c r="A132" i="31"/>
  <c r="B132" i="31"/>
  <c r="E132" i="31"/>
  <c r="A133" i="31"/>
  <c r="B133" i="31"/>
  <c r="E133" i="31"/>
  <c r="A134" i="31"/>
  <c r="B134" i="31"/>
  <c r="E134" i="31"/>
  <c r="A135" i="31"/>
  <c r="B135" i="31"/>
  <c r="E135" i="31"/>
  <c r="A136" i="31"/>
  <c r="B136" i="31"/>
  <c r="E136" i="31"/>
  <c r="A137" i="31"/>
  <c r="B137" i="31"/>
  <c r="E137" i="31"/>
  <c r="A138" i="31"/>
  <c r="B138" i="31"/>
  <c r="E138" i="31"/>
  <c r="A139" i="31"/>
  <c r="B139" i="31"/>
  <c r="E139" i="31"/>
  <c r="A140" i="31"/>
  <c r="B140" i="31"/>
  <c r="E140" i="31"/>
  <c r="A141" i="31"/>
  <c r="B141" i="31"/>
  <c r="E141" i="31"/>
  <c r="A142" i="31"/>
  <c r="B142" i="31"/>
  <c r="E142" i="31"/>
  <c r="A143" i="31"/>
  <c r="B143" i="31"/>
  <c r="E143" i="31"/>
  <c r="A144" i="31"/>
  <c r="B144" i="31"/>
  <c r="E144" i="31"/>
  <c r="A145" i="31"/>
  <c r="B145" i="31"/>
  <c r="E145" i="31"/>
  <c r="A146" i="31"/>
  <c r="B146" i="31"/>
  <c r="E146" i="31"/>
  <c r="A147" i="31"/>
  <c r="B147" i="31"/>
  <c r="E147" i="31"/>
  <c r="A148" i="31"/>
  <c r="B148" i="31"/>
  <c r="E148" i="31"/>
  <c r="A149" i="31"/>
  <c r="B149" i="31"/>
  <c r="E149" i="31"/>
  <c r="A150" i="31"/>
  <c r="B150" i="31"/>
  <c r="E150" i="31"/>
  <c r="A151" i="31"/>
  <c r="B151" i="31"/>
  <c r="E151" i="31"/>
  <c r="A152" i="31"/>
  <c r="B152" i="31"/>
  <c r="E152" i="31"/>
  <c r="A153" i="31"/>
  <c r="B153" i="31"/>
  <c r="E153" i="31"/>
  <c r="A154" i="31"/>
  <c r="B154" i="31"/>
  <c r="E154" i="31"/>
  <c r="A155" i="31"/>
  <c r="B155" i="31"/>
  <c r="E155" i="31"/>
  <c r="A156" i="31"/>
  <c r="B156" i="31"/>
  <c r="E156" i="31"/>
  <c r="K32" i="35"/>
  <c r="K38" i="35" s="1"/>
  <c r="K49" i="35" s="1"/>
  <c r="F49" i="35"/>
  <c r="K26" i="35"/>
  <c r="K30" i="35" s="1"/>
  <c r="K3" i="35"/>
  <c r="I3" i="35"/>
  <c r="G3" i="35"/>
  <c r="D52" i="35"/>
  <c r="CL183" i="34"/>
  <c r="CS183" i="34" s="1"/>
  <c r="CO183" i="34"/>
  <c r="CR183" i="34"/>
  <c r="CI183" i="34"/>
  <c r="BE183" i="34"/>
  <c r="BA183" i="34"/>
  <c r="BB183" i="34"/>
  <c r="AX183" i="34"/>
  <c r="L183" i="34"/>
  <c r="M183" i="34"/>
  <c r="N183" i="34"/>
  <c r="O183" i="34"/>
  <c r="P183" i="34"/>
  <c r="Q183" i="34"/>
  <c r="R183" i="34"/>
  <c r="S183" i="34"/>
  <c r="T183" i="34"/>
  <c r="U183" i="34"/>
  <c r="V183" i="34"/>
  <c r="W183" i="34"/>
  <c r="X183" i="34"/>
  <c r="Y183" i="34"/>
  <c r="Z183" i="34"/>
  <c r="AA183" i="34"/>
  <c r="AB183" i="34"/>
  <c r="AC183" i="34"/>
  <c r="AD183" i="34"/>
  <c r="AE183" i="34"/>
  <c r="AF183" i="34"/>
  <c r="AG183" i="34"/>
  <c r="AH183" i="34"/>
  <c r="AI183" i="34"/>
  <c r="AJ183" i="34"/>
  <c r="AK183" i="34"/>
  <c r="AL183" i="34"/>
  <c r="AM183" i="34"/>
  <c r="AN183" i="34"/>
  <c r="AO183" i="34"/>
  <c r="AP183" i="34"/>
  <c r="AQ183" i="34"/>
  <c r="AR183" i="34"/>
  <c r="AS183" i="34"/>
  <c r="AT183" i="34"/>
  <c r="AU183" i="34"/>
  <c r="K183" i="34"/>
  <c r="I183" i="34"/>
  <c r="G183" i="34"/>
  <c r="BD182" i="34"/>
  <c r="BB182" i="34"/>
  <c r="BE182" i="34" s="1"/>
  <c r="K182" i="34"/>
  <c r="B182" i="34"/>
  <c r="BD181" i="34"/>
  <c r="K181" i="34"/>
  <c r="BB181" i="34" s="1"/>
  <c r="BE181" i="34" s="1"/>
  <c r="B181" i="34"/>
  <c r="BD180" i="34"/>
  <c r="BB180" i="34"/>
  <c r="BE180" i="34" s="1"/>
  <c r="K180" i="34"/>
  <c r="B180" i="34"/>
  <c r="BD179" i="34"/>
  <c r="K179" i="34"/>
  <c r="BB179" i="34" s="1"/>
  <c r="BE179" i="34" s="1"/>
  <c r="B179" i="34"/>
  <c r="BD178" i="34"/>
  <c r="BB178" i="34"/>
  <c r="BE178" i="34" s="1"/>
  <c r="K178" i="34"/>
  <c r="B178" i="34"/>
  <c r="BD177" i="34"/>
  <c r="K177" i="34"/>
  <c r="BB177" i="34" s="1"/>
  <c r="BE177" i="34" s="1"/>
  <c r="B177" i="34"/>
  <c r="BD176" i="34"/>
  <c r="BB176" i="34"/>
  <c r="BE176" i="34" s="1"/>
  <c r="K176" i="34"/>
  <c r="B176" i="34"/>
  <c r="BD175" i="34"/>
  <c r="K175" i="34"/>
  <c r="BB175" i="34" s="1"/>
  <c r="BE175" i="34" s="1"/>
  <c r="B175" i="34"/>
  <c r="BD174" i="34"/>
  <c r="BB174" i="34"/>
  <c r="BE174" i="34" s="1"/>
  <c r="K174" i="34"/>
  <c r="B174" i="34"/>
  <c r="BD173" i="34"/>
  <c r="K173" i="34"/>
  <c r="BB173" i="34" s="1"/>
  <c r="BE173" i="34" s="1"/>
  <c r="B173" i="34"/>
  <c r="BD172" i="34"/>
  <c r="BB172" i="34"/>
  <c r="BE172" i="34" s="1"/>
  <c r="K172" i="34"/>
  <c r="B172" i="34"/>
  <c r="BD171" i="34"/>
  <c r="K171" i="34"/>
  <c r="BB171" i="34" s="1"/>
  <c r="BE171" i="34" s="1"/>
  <c r="B171" i="34"/>
  <c r="BD170" i="34"/>
  <c r="BB170" i="34"/>
  <c r="BE170" i="34" s="1"/>
  <c r="K170" i="34"/>
  <c r="B170" i="34"/>
  <c r="BD169" i="34"/>
  <c r="K169" i="34"/>
  <c r="BB169" i="34" s="1"/>
  <c r="BE169" i="34" s="1"/>
  <c r="B169" i="34"/>
  <c r="BD168" i="34"/>
  <c r="BB168" i="34"/>
  <c r="BE168" i="34" s="1"/>
  <c r="K168" i="34"/>
  <c r="B168" i="34"/>
  <c r="BD167" i="34"/>
  <c r="K167" i="34"/>
  <c r="BB167" i="34" s="1"/>
  <c r="BE167" i="34" s="1"/>
  <c r="B167" i="34"/>
  <c r="BD166" i="34"/>
  <c r="BB166" i="34"/>
  <c r="BE166" i="34" s="1"/>
  <c r="K166" i="34"/>
  <c r="B166" i="34"/>
  <c r="BB165" i="34"/>
  <c r="K165" i="34"/>
  <c r="BD165" i="34"/>
  <c r="B165" i="34"/>
  <c r="L157" i="34"/>
  <c r="M157" i="34"/>
  <c r="N157" i="34"/>
  <c r="O157" i="34"/>
  <c r="P157" i="34"/>
  <c r="Q157" i="34"/>
  <c r="R157" i="34"/>
  <c r="S157" i="34"/>
  <c r="T157" i="34"/>
  <c r="U157" i="34"/>
  <c r="V157" i="34"/>
  <c r="W157" i="34"/>
  <c r="X157" i="34"/>
  <c r="Y157" i="34"/>
  <c r="Z157" i="34"/>
  <c r="AA157" i="34"/>
  <c r="AB157" i="34"/>
  <c r="AC157" i="34"/>
  <c r="AD157" i="34"/>
  <c r="AE157" i="34"/>
  <c r="AF157" i="34"/>
  <c r="AG157" i="34"/>
  <c r="AH157" i="34"/>
  <c r="AI157" i="34"/>
  <c r="AJ157" i="34"/>
  <c r="AK157" i="34"/>
  <c r="AL157" i="34"/>
  <c r="AM157" i="34"/>
  <c r="AN157" i="34"/>
  <c r="AO157" i="34"/>
  <c r="AP157" i="34"/>
  <c r="AQ157" i="34"/>
  <c r="AR157" i="34"/>
  <c r="AS157" i="34"/>
  <c r="AT157" i="34"/>
  <c r="AU157" i="34"/>
  <c r="AX157" i="34"/>
  <c r="BA157" i="34"/>
  <c r="G59" i="31"/>
  <c r="G60" i="31"/>
  <c r="G61" i="31"/>
  <c r="G62" i="31"/>
  <c r="G63" i="31"/>
  <c r="G64" i="31"/>
  <c r="G65" i="31"/>
  <c r="G66" i="31"/>
  <c r="G67" i="31"/>
  <c r="G68" i="31"/>
  <c r="G69" i="31"/>
  <c r="G70" i="31"/>
  <c r="G71" i="31"/>
  <c r="G72" i="31"/>
  <c r="G73" i="31"/>
  <c r="G74" i="31"/>
  <c r="G75" i="31"/>
  <c r="G76" i="31"/>
  <c r="G77" i="31"/>
  <c r="G78" i="31"/>
  <c r="G79" i="31"/>
  <c r="G80" i="31"/>
  <c r="G81" i="31"/>
  <c r="G82" i="31"/>
  <c r="G83" i="31"/>
  <c r="G84" i="31"/>
  <c r="G85" i="31"/>
  <c r="G86" i="31"/>
  <c r="G87" i="31"/>
  <c r="G88" i="31"/>
  <c r="G89" i="31"/>
  <c r="G90" i="31"/>
  <c r="G91" i="31"/>
  <c r="G92" i="31"/>
  <c r="G93" i="31"/>
  <c r="G94" i="31"/>
  <c r="G95" i="31"/>
  <c r="G96" i="31"/>
  <c r="G97" i="31"/>
  <c r="G98" i="31"/>
  <c r="G99" i="31"/>
  <c r="G100" i="31"/>
  <c r="G101" i="31"/>
  <c r="G102" i="31"/>
  <c r="G103" i="31"/>
  <c r="G104" i="31"/>
  <c r="G105" i="31"/>
  <c r="G106" i="31"/>
  <c r="G107" i="31"/>
  <c r="G108" i="31"/>
  <c r="G109" i="31"/>
  <c r="G110" i="31"/>
  <c r="G111" i="31"/>
  <c r="G112" i="31"/>
  <c r="G113" i="31"/>
  <c r="G114" i="31"/>
  <c r="G115" i="31"/>
  <c r="G116" i="31"/>
  <c r="G117" i="31"/>
  <c r="G118" i="31"/>
  <c r="G119" i="31"/>
  <c r="G120" i="31"/>
  <c r="G121" i="31"/>
  <c r="G122" i="31"/>
  <c r="G123" i="31"/>
  <c r="G124" i="31"/>
  <c r="G125" i="31"/>
  <c r="G126" i="31"/>
  <c r="G127" i="31"/>
  <c r="G128" i="31"/>
  <c r="G129" i="31"/>
  <c r="G130" i="31"/>
  <c r="G131" i="31"/>
  <c r="G132" i="31"/>
  <c r="G133" i="31"/>
  <c r="G134" i="31"/>
  <c r="G135" i="31"/>
  <c r="G136" i="31"/>
  <c r="G137" i="31"/>
  <c r="G138" i="31"/>
  <c r="G139" i="31"/>
  <c r="G140" i="31"/>
  <c r="G141" i="31"/>
  <c r="G142" i="31"/>
  <c r="G143" i="31"/>
  <c r="G144" i="31"/>
  <c r="G145" i="31"/>
  <c r="G146" i="31"/>
  <c r="G147" i="31"/>
  <c r="G148" i="31"/>
  <c r="G149" i="31"/>
  <c r="G150" i="31"/>
  <c r="G151" i="31"/>
  <c r="G152" i="31"/>
  <c r="G153" i="31"/>
  <c r="G154" i="31"/>
  <c r="G155" i="31"/>
  <c r="G156" i="31"/>
  <c r="B17" i="34"/>
  <c r="C17" i="34"/>
  <c r="D17" i="34"/>
  <c r="K17" i="34"/>
  <c r="BB17" i="34" s="1"/>
  <c r="B18" i="34"/>
  <c r="C18" i="34"/>
  <c r="D18" i="34"/>
  <c r="K18" i="34"/>
  <c r="BB18" i="34" s="1"/>
  <c r="B19" i="34"/>
  <c r="C19" i="34"/>
  <c r="D19" i="34"/>
  <c r="K19" i="34"/>
  <c r="BB19" i="34" s="1"/>
  <c r="B20" i="34"/>
  <c r="C20" i="34"/>
  <c r="D20" i="34"/>
  <c r="K20" i="34"/>
  <c r="BB20" i="34" s="1"/>
  <c r="B21" i="34"/>
  <c r="C21" i="34"/>
  <c r="D21" i="34"/>
  <c r="K21" i="34"/>
  <c r="BB21" i="34" s="1"/>
  <c r="B22" i="34"/>
  <c r="C22" i="34"/>
  <c r="D22" i="34"/>
  <c r="F22" i="34"/>
  <c r="K22" i="34"/>
  <c r="BB22" i="34" s="1"/>
  <c r="B23" i="34"/>
  <c r="C23" i="34"/>
  <c r="D23" i="34"/>
  <c r="K23" i="34"/>
  <c r="BB23" i="34" s="1"/>
  <c r="B24" i="34"/>
  <c r="C24" i="34"/>
  <c r="D24" i="34"/>
  <c r="K24" i="34"/>
  <c r="BB24" i="34" s="1"/>
  <c r="B25" i="34"/>
  <c r="C25" i="34"/>
  <c r="D25" i="34"/>
  <c r="K25" i="34"/>
  <c r="BB25" i="34" s="1"/>
  <c r="B26" i="34"/>
  <c r="C26" i="34"/>
  <c r="D26" i="34"/>
  <c r="K26" i="34"/>
  <c r="BB26" i="34" s="1"/>
  <c r="B27" i="34"/>
  <c r="C27" i="34"/>
  <c r="D27" i="34"/>
  <c r="K27" i="34"/>
  <c r="BB27" i="34" s="1"/>
  <c r="B28" i="34"/>
  <c r="C28" i="34"/>
  <c r="D28" i="34"/>
  <c r="K28" i="34"/>
  <c r="BB28" i="34" s="1"/>
  <c r="B29" i="34"/>
  <c r="C29" i="34"/>
  <c r="D29" i="34"/>
  <c r="K29" i="34"/>
  <c r="BB29" i="34" s="1"/>
  <c r="B30" i="34"/>
  <c r="C30" i="34"/>
  <c r="D30" i="34"/>
  <c r="K30" i="34"/>
  <c r="BB30" i="34" s="1"/>
  <c r="B31" i="34"/>
  <c r="C31" i="34"/>
  <c r="D31" i="34"/>
  <c r="K31" i="34"/>
  <c r="BB31" i="34" s="1"/>
  <c r="B32" i="34"/>
  <c r="C32" i="34"/>
  <c r="D32" i="34"/>
  <c r="K32" i="34"/>
  <c r="BB32" i="34" s="1"/>
  <c r="B33" i="34"/>
  <c r="C33" i="34"/>
  <c r="D33" i="34"/>
  <c r="K33" i="34"/>
  <c r="BB33" i="34" s="1"/>
  <c r="B34" i="34"/>
  <c r="C34" i="34"/>
  <c r="D34" i="34"/>
  <c r="K34" i="34"/>
  <c r="BB34" i="34" s="1"/>
  <c r="B35" i="34"/>
  <c r="C35" i="34"/>
  <c r="D35" i="34"/>
  <c r="K35" i="34"/>
  <c r="BB35" i="34" s="1"/>
  <c r="B36" i="34"/>
  <c r="C36" i="34"/>
  <c r="D36" i="34"/>
  <c r="K36" i="34"/>
  <c r="BB36" i="34" s="1"/>
  <c r="B37" i="34"/>
  <c r="C37" i="34"/>
  <c r="D37" i="34"/>
  <c r="K37" i="34"/>
  <c r="BB37" i="34" s="1"/>
  <c r="B38" i="34"/>
  <c r="C38" i="34"/>
  <c r="D38" i="34"/>
  <c r="K38" i="34"/>
  <c r="BB38" i="34" s="1"/>
  <c r="B39" i="34"/>
  <c r="C39" i="34"/>
  <c r="D39" i="34"/>
  <c r="K39" i="34"/>
  <c r="BB39" i="34" s="1"/>
  <c r="B40" i="34"/>
  <c r="C40" i="34"/>
  <c r="D40" i="34"/>
  <c r="K40" i="34"/>
  <c r="BB40" i="34" s="1"/>
  <c r="B41" i="34"/>
  <c r="C41" i="34"/>
  <c r="D41" i="34"/>
  <c r="K41" i="34"/>
  <c r="BB41" i="34" s="1"/>
  <c r="B42" i="34"/>
  <c r="C42" i="34"/>
  <c r="D42" i="34"/>
  <c r="K42" i="34"/>
  <c r="BB42" i="34" s="1"/>
  <c r="B43" i="34"/>
  <c r="C43" i="34"/>
  <c r="D43" i="34"/>
  <c r="K43" i="34"/>
  <c r="BB43" i="34" s="1"/>
  <c r="B44" i="34"/>
  <c r="C44" i="34"/>
  <c r="D44" i="34"/>
  <c r="K44" i="34"/>
  <c r="BB44" i="34" s="1"/>
  <c r="B45" i="34"/>
  <c r="C45" i="34"/>
  <c r="D45" i="34"/>
  <c r="K45" i="34"/>
  <c r="BB45" i="34" s="1"/>
  <c r="B46" i="34"/>
  <c r="C46" i="34"/>
  <c r="D46" i="34"/>
  <c r="K46" i="34"/>
  <c r="BB46" i="34" s="1"/>
  <c r="B47" i="34"/>
  <c r="C47" i="34"/>
  <c r="D47" i="34"/>
  <c r="K47" i="34"/>
  <c r="BB47" i="34" s="1"/>
  <c r="B48" i="34"/>
  <c r="C48" i="34"/>
  <c r="D48" i="34"/>
  <c r="K48" i="34"/>
  <c r="BB48" i="34" s="1"/>
  <c r="B49" i="34"/>
  <c r="C49" i="34"/>
  <c r="D49" i="34"/>
  <c r="K49" i="34"/>
  <c r="BB49" i="34" s="1"/>
  <c r="B50" i="34"/>
  <c r="C50" i="34"/>
  <c r="D50" i="34"/>
  <c r="K50" i="34"/>
  <c r="BB50" i="34" s="1"/>
  <c r="B51" i="34"/>
  <c r="C51" i="34"/>
  <c r="D51" i="34"/>
  <c r="K51" i="34"/>
  <c r="BB51" i="34" s="1"/>
  <c r="B52" i="34"/>
  <c r="C52" i="34"/>
  <c r="D52" i="34"/>
  <c r="K52" i="34"/>
  <c r="BB52" i="34" s="1"/>
  <c r="B53" i="34"/>
  <c r="C53" i="34"/>
  <c r="D53" i="34"/>
  <c r="K53" i="34"/>
  <c r="BB53" i="34" s="1"/>
  <c r="B54" i="34"/>
  <c r="C54" i="34"/>
  <c r="D54" i="34"/>
  <c r="K54" i="34"/>
  <c r="BB54" i="34" s="1"/>
  <c r="B55" i="34"/>
  <c r="C55" i="34"/>
  <c r="D55" i="34"/>
  <c r="K55" i="34"/>
  <c r="BB55" i="34" s="1"/>
  <c r="B56" i="34"/>
  <c r="C56" i="34"/>
  <c r="D56" i="34"/>
  <c r="K56" i="34"/>
  <c r="BB56" i="34" s="1"/>
  <c r="B57" i="34"/>
  <c r="C57" i="34"/>
  <c r="D57" i="34"/>
  <c r="K57" i="34"/>
  <c r="BB57" i="34" s="1"/>
  <c r="B58" i="34"/>
  <c r="C58" i="34"/>
  <c r="D58" i="34"/>
  <c r="K58" i="34"/>
  <c r="BB58" i="34" s="1"/>
  <c r="B59" i="34"/>
  <c r="C59" i="34"/>
  <c r="D59" i="34"/>
  <c r="K59" i="34"/>
  <c r="BB59" i="34" s="1"/>
  <c r="B60" i="34"/>
  <c r="C60" i="34"/>
  <c r="D60" i="34"/>
  <c r="K60" i="34"/>
  <c r="BB60" i="34" s="1"/>
  <c r="B61" i="34"/>
  <c r="C61" i="34"/>
  <c r="D61" i="34"/>
  <c r="K61" i="34"/>
  <c r="BB61" i="34" s="1"/>
  <c r="B62" i="34"/>
  <c r="C62" i="34"/>
  <c r="D62" i="34"/>
  <c r="K62" i="34"/>
  <c r="BB62" i="34" s="1"/>
  <c r="B63" i="34"/>
  <c r="C63" i="34"/>
  <c r="D63" i="34"/>
  <c r="K63" i="34"/>
  <c r="BB63" i="34" s="1"/>
  <c r="B64" i="34"/>
  <c r="C64" i="34"/>
  <c r="D64" i="34"/>
  <c r="K64" i="34"/>
  <c r="BB64" i="34" s="1"/>
  <c r="B65" i="34"/>
  <c r="C65" i="34"/>
  <c r="D65" i="34"/>
  <c r="K65" i="34"/>
  <c r="BB65" i="34" s="1"/>
  <c r="B66" i="34"/>
  <c r="C66" i="34"/>
  <c r="D66" i="34"/>
  <c r="K66" i="34"/>
  <c r="BB66" i="34" s="1"/>
  <c r="B67" i="34"/>
  <c r="C67" i="34"/>
  <c r="D67" i="34"/>
  <c r="K67" i="34"/>
  <c r="BB67" i="34" s="1"/>
  <c r="B68" i="34"/>
  <c r="C68" i="34"/>
  <c r="D68" i="34"/>
  <c r="K68" i="34"/>
  <c r="BB68" i="34" s="1"/>
  <c r="B69" i="34"/>
  <c r="C69" i="34"/>
  <c r="D69" i="34"/>
  <c r="K69" i="34"/>
  <c r="BB69" i="34" s="1"/>
  <c r="B70" i="34"/>
  <c r="C70" i="34"/>
  <c r="D70" i="34"/>
  <c r="K70" i="34"/>
  <c r="BB70" i="34" s="1"/>
  <c r="B71" i="34"/>
  <c r="C71" i="34"/>
  <c r="D71" i="34"/>
  <c r="K71" i="34"/>
  <c r="BB71" i="34" s="1"/>
  <c r="B72" i="34"/>
  <c r="C72" i="34"/>
  <c r="D72" i="34"/>
  <c r="K72" i="34"/>
  <c r="BB72" i="34" s="1"/>
  <c r="B73" i="34"/>
  <c r="C73" i="34"/>
  <c r="D73" i="34"/>
  <c r="K73" i="34"/>
  <c r="BB73" i="34" s="1"/>
  <c r="B74" i="34"/>
  <c r="C74" i="34"/>
  <c r="D74" i="34"/>
  <c r="K74" i="34"/>
  <c r="BB74" i="34" s="1"/>
  <c r="B75" i="34"/>
  <c r="C75" i="34"/>
  <c r="D75" i="34"/>
  <c r="K75" i="34"/>
  <c r="BB75" i="34" s="1"/>
  <c r="B76" i="34"/>
  <c r="C76" i="34"/>
  <c r="D76" i="34"/>
  <c r="K76" i="34"/>
  <c r="BB76" i="34" s="1"/>
  <c r="B77" i="34"/>
  <c r="C77" i="34"/>
  <c r="D77" i="34"/>
  <c r="K77" i="34"/>
  <c r="BB77" i="34" s="1"/>
  <c r="B78" i="34"/>
  <c r="C78" i="34"/>
  <c r="D78" i="34"/>
  <c r="K78" i="34"/>
  <c r="BB78" i="34" s="1"/>
  <c r="B79" i="34"/>
  <c r="C79" i="34"/>
  <c r="D79" i="34"/>
  <c r="K79" i="34"/>
  <c r="BB79" i="34" s="1"/>
  <c r="B80" i="34"/>
  <c r="C80" i="34"/>
  <c r="D80" i="34"/>
  <c r="K80" i="34"/>
  <c r="BB80" i="34" s="1"/>
  <c r="B81" i="34"/>
  <c r="C81" i="34"/>
  <c r="D81" i="34"/>
  <c r="K81" i="34"/>
  <c r="BB81" i="34" s="1"/>
  <c r="B82" i="34"/>
  <c r="C82" i="34"/>
  <c r="D82" i="34"/>
  <c r="K82" i="34"/>
  <c r="BB82" i="34" s="1"/>
  <c r="B83" i="34"/>
  <c r="C83" i="34"/>
  <c r="D83" i="34"/>
  <c r="K83" i="34"/>
  <c r="BB83" i="34" s="1"/>
  <c r="B84" i="34"/>
  <c r="C84" i="34"/>
  <c r="D84" i="34"/>
  <c r="K84" i="34"/>
  <c r="BB84" i="34" s="1"/>
  <c r="B85" i="34"/>
  <c r="C85" i="34"/>
  <c r="D85" i="34"/>
  <c r="K85" i="34"/>
  <c r="BB85" i="34" s="1"/>
  <c r="B86" i="34"/>
  <c r="C86" i="34"/>
  <c r="D86" i="34"/>
  <c r="K86" i="34"/>
  <c r="BB86" i="34" s="1"/>
  <c r="B87" i="34"/>
  <c r="C87" i="34"/>
  <c r="D87" i="34"/>
  <c r="K87" i="34"/>
  <c r="BB87" i="34" s="1"/>
  <c r="B88" i="34"/>
  <c r="C88" i="34"/>
  <c r="D88" i="34"/>
  <c r="K88" i="34"/>
  <c r="BB88" i="34" s="1"/>
  <c r="B89" i="34"/>
  <c r="C89" i="34"/>
  <c r="D89" i="34"/>
  <c r="K89" i="34"/>
  <c r="BB89" i="34" s="1"/>
  <c r="B90" i="34"/>
  <c r="C90" i="34"/>
  <c r="D90" i="34"/>
  <c r="K90" i="34"/>
  <c r="BB90" i="34" s="1"/>
  <c r="B91" i="34"/>
  <c r="C91" i="34"/>
  <c r="D91" i="34"/>
  <c r="K91" i="34"/>
  <c r="BB91" i="34" s="1"/>
  <c r="B92" i="34"/>
  <c r="C92" i="34"/>
  <c r="D92" i="34"/>
  <c r="K92" i="34"/>
  <c r="BB92" i="34" s="1"/>
  <c r="B93" i="34"/>
  <c r="C93" i="34"/>
  <c r="D93" i="34"/>
  <c r="K93" i="34"/>
  <c r="BB93" i="34" s="1"/>
  <c r="B94" i="34"/>
  <c r="C94" i="34"/>
  <c r="D94" i="34"/>
  <c r="K94" i="34"/>
  <c r="BB94" i="34" s="1"/>
  <c r="B95" i="34"/>
  <c r="C95" i="34"/>
  <c r="D95" i="34"/>
  <c r="K95" i="34"/>
  <c r="BB95" i="34" s="1"/>
  <c r="B96" i="34"/>
  <c r="C96" i="34"/>
  <c r="D96" i="34"/>
  <c r="K96" i="34"/>
  <c r="BB96" i="34" s="1"/>
  <c r="B97" i="34"/>
  <c r="C97" i="34"/>
  <c r="D97" i="34"/>
  <c r="K97" i="34"/>
  <c r="BB97" i="34" s="1"/>
  <c r="B98" i="34"/>
  <c r="C98" i="34"/>
  <c r="D98" i="34"/>
  <c r="K98" i="34"/>
  <c r="BB98" i="34" s="1"/>
  <c r="B99" i="34"/>
  <c r="C99" i="34"/>
  <c r="D99" i="34"/>
  <c r="K99" i="34"/>
  <c r="BB99" i="34" s="1"/>
  <c r="B100" i="34"/>
  <c r="C100" i="34"/>
  <c r="D100" i="34"/>
  <c r="K100" i="34"/>
  <c r="BB100" i="34" s="1"/>
  <c r="B101" i="34"/>
  <c r="C101" i="34"/>
  <c r="D101" i="34"/>
  <c r="K101" i="34"/>
  <c r="BB101" i="34" s="1"/>
  <c r="B102" i="34"/>
  <c r="C102" i="34"/>
  <c r="D102" i="34"/>
  <c r="K102" i="34"/>
  <c r="BB102" i="34" s="1"/>
  <c r="B103" i="34"/>
  <c r="C103" i="34"/>
  <c r="D103" i="34"/>
  <c r="K103" i="34"/>
  <c r="BB103" i="34" s="1"/>
  <c r="B104" i="34"/>
  <c r="C104" i="34"/>
  <c r="D104" i="34"/>
  <c r="K104" i="34"/>
  <c r="BB104" i="34" s="1"/>
  <c r="B105" i="34"/>
  <c r="C105" i="34"/>
  <c r="D105" i="34"/>
  <c r="K105" i="34"/>
  <c r="BB105" i="34" s="1"/>
  <c r="B106" i="34"/>
  <c r="C106" i="34"/>
  <c r="D106" i="34"/>
  <c r="K106" i="34"/>
  <c r="BB106" i="34" s="1"/>
  <c r="B107" i="34"/>
  <c r="C107" i="34"/>
  <c r="D107" i="34"/>
  <c r="K107" i="34"/>
  <c r="BB107" i="34" s="1"/>
  <c r="B108" i="34"/>
  <c r="C108" i="34"/>
  <c r="D108" i="34"/>
  <c r="K108" i="34"/>
  <c r="BB108" i="34" s="1"/>
  <c r="B109" i="34"/>
  <c r="C109" i="34"/>
  <c r="D109" i="34"/>
  <c r="K109" i="34"/>
  <c r="BB109" i="34" s="1"/>
  <c r="B110" i="34"/>
  <c r="C110" i="34"/>
  <c r="D110" i="34"/>
  <c r="K110" i="34"/>
  <c r="BB110" i="34" s="1"/>
  <c r="B111" i="34"/>
  <c r="C111" i="34"/>
  <c r="D111" i="34"/>
  <c r="K111" i="34"/>
  <c r="BB111" i="34" s="1"/>
  <c r="B112" i="34"/>
  <c r="C112" i="34"/>
  <c r="D112" i="34"/>
  <c r="K112" i="34"/>
  <c r="BB112" i="34" s="1"/>
  <c r="B113" i="34"/>
  <c r="C113" i="34"/>
  <c r="D113" i="34"/>
  <c r="K113" i="34"/>
  <c r="BB113" i="34" s="1"/>
  <c r="B114" i="34"/>
  <c r="C114" i="34"/>
  <c r="D114" i="34"/>
  <c r="K114" i="34"/>
  <c r="BB114" i="34" s="1"/>
  <c r="B115" i="34"/>
  <c r="C115" i="34"/>
  <c r="D115" i="34"/>
  <c r="K115" i="34"/>
  <c r="BB115" i="34" s="1"/>
  <c r="B116" i="34"/>
  <c r="C116" i="34"/>
  <c r="D116" i="34"/>
  <c r="K116" i="34"/>
  <c r="BB116" i="34" s="1"/>
  <c r="B117" i="34"/>
  <c r="C117" i="34"/>
  <c r="D117" i="34"/>
  <c r="K117" i="34"/>
  <c r="BB117" i="34" s="1"/>
  <c r="B118" i="34"/>
  <c r="C118" i="34"/>
  <c r="D118" i="34"/>
  <c r="K118" i="34"/>
  <c r="BB118" i="34" s="1"/>
  <c r="B119" i="34"/>
  <c r="C119" i="34"/>
  <c r="D119" i="34"/>
  <c r="K119" i="34"/>
  <c r="BB119" i="34" s="1"/>
  <c r="B120" i="34"/>
  <c r="C120" i="34"/>
  <c r="D120" i="34"/>
  <c r="K120" i="34"/>
  <c r="BB120" i="34" s="1"/>
  <c r="B121" i="34"/>
  <c r="C121" i="34"/>
  <c r="D121" i="34"/>
  <c r="K121" i="34"/>
  <c r="BB121" i="34" s="1"/>
  <c r="B122" i="34"/>
  <c r="C122" i="34"/>
  <c r="D122" i="34"/>
  <c r="K122" i="34"/>
  <c r="BB122" i="34" s="1"/>
  <c r="B123" i="34"/>
  <c r="C123" i="34"/>
  <c r="D123" i="34"/>
  <c r="K123" i="34"/>
  <c r="BB123" i="34" s="1"/>
  <c r="B124" i="34"/>
  <c r="C124" i="34"/>
  <c r="D124" i="34"/>
  <c r="K124" i="34"/>
  <c r="BB124" i="34" s="1"/>
  <c r="B125" i="34"/>
  <c r="C125" i="34"/>
  <c r="D125" i="34"/>
  <c r="K125" i="34"/>
  <c r="BB125" i="34" s="1"/>
  <c r="B126" i="34"/>
  <c r="C126" i="34"/>
  <c r="D126" i="34"/>
  <c r="K126" i="34"/>
  <c r="BB126" i="34" s="1"/>
  <c r="B127" i="34"/>
  <c r="C127" i="34"/>
  <c r="D127" i="34"/>
  <c r="K127" i="34"/>
  <c r="BB127" i="34" s="1"/>
  <c r="B128" i="34"/>
  <c r="C128" i="34"/>
  <c r="D128" i="34"/>
  <c r="K128" i="34"/>
  <c r="BB128" i="34" s="1"/>
  <c r="B129" i="34"/>
  <c r="C129" i="34"/>
  <c r="D129" i="34"/>
  <c r="K129" i="34"/>
  <c r="BB129" i="34" s="1"/>
  <c r="B130" i="34"/>
  <c r="C130" i="34"/>
  <c r="D130" i="34"/>
  <c r="K130" i="34"/>
  <c r="BB130" i="34" s="1"/>
  <c r="B131" i="34"/>
  <c r="C131" i="34"/>
  <c r="D131" i="34"/>
  <c r="K131" i="34"/>
  <c r="BB131" i="34" s="1"/>
  <c r="B132" i="34"/>
  <c r="C132" i="34"/>
  <c r="D132" i="34"/>
  <c r="K132" i="34"/>
  <c r="BB132" i="34" s="1"/>
  <c r="B133" i="34"/>
  <c r="C133" i="34"/>
  <c r="D133" i="34"/>
  <c r="K133" i="34"/>
  <c r="BB133" i="34" s="1"/>
  <c r="B134" i="34"/>
  <c r="C134" i="34"/>
  <c r="D134" i="34"/>
  <c r="K134" i="34"/>
  <c r="BB134" i="34" s="1"/>
  <c r="B135" i="34"/>
  <c r="C135" i="34"/>
  <c r="D135" i="34"/>
  <c r="K135" i="34"/>
  <c r="BB135" i="34" s="1"/>
  <c r="B136" i="34"/>
  <c r="C136" i="34"/>
  <c r="D136" i="34"/>
  <c r="K136" i="34"/>
  <c r="BB136" i="34" s="1"/>
  <c r="B137" i="34"/>
  <c r="C137" i="34"/>
  <c r="D137" i="34"/>
  <c r="K137" i="34"/>
  <c r="BB137" i="34" s="1"/>
  <c r="B138" i="34"/>
  <c r="C138" i="34"/>
  <c r="D138" i="34"/>
  <c r="K138" i="34"/>
  <c r="BB138" i="34" s="1"/>
  <c r="B139" i="34"/>
  <c r="C139" i="34"/>
  <c r="D139" i="34"/>
  <c r="K139" i="34"/>
  <c r="BB139" i="34" s="1"/>
  <c r="B140" i="34"/>
  <c r="C140" i="34"/>
  <c r="D140" i="34"/>
  <c r="K140" i="34"/>
  <c r="BB140" i="34" s="1"/>
  <c r="B141" i="34"/>
  <c r="C141" i="34"/>
  <c r="D141" i="34"/>
  <c r="K141" i="34"/>
  <c r="BB141" i="34" s="1"/>
  <c r="B142" i="34"/>
  <c r="C142" i="34"/>
  <c r="D142" i="34"/>
  <c r="K142" i="34"/>
  <c r="BB142" i="34" s="1"/>
  <c r="B143" i="34"/>
  <c r="C143" i="34"/>
  <c r="D143" i="34"/>
  <c r="K143" i="34"/>
  <c r="BB143" i="34" s="1"/>
  <c r="B144" i="34"/>
  <c r="C144" i="34"/>
  <c r="D144" i="34"/>
  <c r="K144" i="34"/>
  <c r="BB144" i="34" s="1"/>
  <c r="B145" i="34"/>
  <c r="C145" i="34"/>
  <c r="D145" i="34"/>
  <c r="K145" i="34"/>
  <c r="BB145" i="34" s="1"/>
  <c r="B146" i="34"/>
  <c r="C146" i="34"/>
  <c r="D146" i="34"/>
  <c r="K146" i="34"/>
  <c r="BB146" i="34" s="1"/>
  <c r="B147" i="34"/>
  <c r="C147" i="34"/>
  <c r="D147" i="34"/>
  <c r="K147" i="34"/>
  <c r="BB147" i="34" s="1"/>
  <c r="B148" i="34"/>
  <c r="C148" i="34"/>
  <c r="D148" i="34"/>
  <c r="K148" i="34"/>
  <c r="BB148" i="34" s="1"/>
  <c r="B149" i="34"/>
  <c r="C149" i="34"/>
  <c r="D149" i="34"/>
  <c r="K149" i="34"/>
  <c r="BB149" i="34"/>
  <c r="B150" i="34"/>
  <c r="C150" i="34"/>
  <c r="D150" i="34"/>
  <c r="K150" i="34"/>
  <c r="BB150" i="34" s="1"/>
  <c r="B151" i="34"/>
  <c r="C151" i="34"/>
  <c r="D151" i="34"/>
  <c r="K151" i="34"/>
  <c r="BB151" i="34" s="1"/>
  <c r="B152" i="34"/>
  <c r="C152" i="34"/>
  <c r="D152" i="34"/>
  <c r="K152" i="34"/>
  <c r="BB152" i="34" s="1"/>
  <c r="B153" i="34"/>
  <c r="C153" i="34"/>
  <c r="D153" i="34"/>
  <c r="K153" i="34"/>
  <c r="BB153" i="34" s="1"/>
  <c r="B154" i="34"/>
  <c r="C154" i="34"/>
  <c r="D154" i="34"/>
  <c r="K154" i="34"/>
  <c r="BB154" i="34" s="1"/>
  <c r="B155" i="34"/>
  <c r="C155" i="34"/>
  <c r="D155" i="34"/>
  <c r="K155" i="34"/>
  <c r="BB155" i="34" s="1"/>
  <c r="B156" i="34"/>
  <c r="C156" i="34"/>
  <c r="D156" i="34"/>
  <c r="K156" i="34"/>
  <c r="BB156" i="34" s="1"/>
  <c r="B8" i="34"/>
  <c r="C16" i="34"/>
  <c r="K16" i="34"/>
  <c r="CF6" i="34"/>
  <c r="CE5" i="34"/>
  <c r="B16" i="34"/>
  <c r="D16" i="34"/>
  <c r="G12" i="34"/>
  <c r="CI11" i="34"/>
  <c r="I12" i="34"/>
  <c r="CS12" i="34"/>
  <c r="E9" i="31"/>
  <c r="E11" i="31"/>
  <c r="E13" i="31"/>
  <c r="B2" i="30"/>
  <c r="B3" i="30"/>
  <c r="B1" i="30"/>
  <c r="B18" i="29"/>
  <c r="A65" i="30" s="1"/>
  <c r="X27" i="38" l="1"/>
  <c r="Y27" i="38" s="1"/>
  <c r="Z27" i="38" s="1"/>
  <c r="AA27" i="38" s="1"/>
  <c r="AB27" i="38" s="1"/>
  <c r="AC27" i="38" s="1"/>
  <c r="AD27" i="38" s="1"/>
  <c r="AE27" i="38" s="1"/>
  <c r="AF27" i="38" s="1"/>
  <c r="AG27" i="38" s="1"/>
  <c r="AH27" i="38" s="1"/>
  <c r="BE48" i="12"/>
  <c r="BG53" i="12"/>
  <c r="BH58" i="12"/>
  <c r="BL58" i="12"/>
  <c r="BE74" i="12"/>
  <c r="BG51" i="12"/>
  <c r="BI56" i="12"/>
  <c r="BG56" i="12"/>
  <c r="BL49" i="12"/>
  <c r="BG48" i="12"/>
  <c r="BQ48" i="12"/>
  <c r="BN53" i="12"/>
  <c r="BI53" i="12"/>
  <c r="BI48" i="12"/>
  <c r="BE64" i="12"/>
  <c r="BI61" i="12"/>
  <c r="BF49" i="12"/>
  <c r="BK56" i="12"/>
  <c r="BK61" i="12"/>
  <c r="BR49" i="12"/>
  <c r="BJ49" i="12"/>
  <c r="BD49" i="12"/>
  <c r="BE51" i="12"/>
  <c r="BK51" i="12"/>
  <c r="BI51" i="12"/>
  <c r="BK48" i="12"/>
  <c r="BN51" i="12"/>
  <c r="BN61" i="12"/>
  <c r="BS110" i="12"/>
  <c r="H122" i="31" s="1"/>
  <c r="I122" i="31" s="1"/>
  <c r="BJ107" i="12"/>
  <c r="BF107" i="12"/>
  <c r="BR107" i="12"/>
  <c r="BD107" i="12"/>
  <c r="BL107" i="12"/>
  <c r="BH107" i="12"/>
  <c r="BS99" i="12"/>
  <c r="H111" i="31" s="1"/>
  <c r="I111" i="31" s="1"/>
  <c r="BQ64" i="12"/>
  <c r="BL99" i="12"/>
  <c r="BN64" i="12"/>
  <c r="BL120" i="12"/>
  <c r="BS139" i="12"/>
  <c r="H151" i="31" s="1"/>
  <c r="I151" i="31" s="1"/>
  <c r="BG61" i="12"/>
  <c r="BN74" i="12"/>
  <c r="BQ61" i="12"/>
  <c r="BF99" i="12"/>
  <c r="BF120" i="12"/>
  <c r="BS101" i="12"/>
  <c r="H113" i="31" s="1"/>
  <c r="I113" i="31" s="1"/>
  <c r="BS107" i="12"/>
  <c r="H119" i="31" s="1"/>
  <c r="I119" i="31" s="1"/>
  <c r="BS60" i="12"/>
  <c r="H72" i="31" s="1"/>
  <c r="I72" i="31" s="1"/>
  <c r="BN141" i="12"/>
  <c r="BQ141" i="12"/>
  <c r="BE141" i="12"/>
  <c r="BS88" i="12"/>
  <c r="H100" i="31" s="1"/>
  <c r="I100" i="31" s="1"/>
  <c r="BI74" i="12"/>
  <c r="BJ99" i="12"/>
  <c r="BH120" i="12"/>
  <c r="BE56" i="12"/>
  <c r="BL97" i="12"/>
  <c r="BK141" i="12"/>
  <c r="BS125" i="12"/>
  <c r="H137" i="31" s="1"/>
  <c r="I137" i="31" s="1"/>
  <c r="BQ74" i="12"/>
  <c r="BQ56" i="12"/>
  <c r="BF97" i="12"/>
  <c r="BG122" i="12"/>
  <c r="BS122" i="12" s="1"/>
  <c r="H134" i="31" s="1"/>
  <c r="I134" i="31" s="1"/>
  <c r="BN122" i="12"/>
  <c r="BR99" i="12"/>
  <c r="BK74" i="12"/>
  <c r="BR120" i="12"/>
  <c r="BR97" i="12"/>
  <c r="BF147" i="12"/>
  <c r="BK53" i="12"/>
  <c r="BE53" i="12"/>
  <c r="BS134" i="12"/>
  <c r="H146" i="31" s="1"/>
  <c r="I146" i="31" s="1"/>
  <c r="BG64" i="12"/>
  <c r="BK64" i="12"/>
  <c r="BL146" i="12"/>
  <c r="BD146" i="12"/>
  <c r="BF146" i="12"/>
  <c r="BJ146" i="12"/>
  <c r="BR146" i="12"/>
  <c r="BH146" i="12"/>
  <c r="BE153" i="12"/>
  <c r="BK153" i="12"/>
  <c r="BI153" i="12"/>
  <c r="BN153" i="12"/>
  <c r="BG153" i="12"/>
  <c r="BQ153" i="12"/>
  <c r="BL149" i="12"/>
  <c r="BD149" i="12"/>
  <c r="BH149" i="12"/>
  <c r="BR149" i="12"/>
  <c r="BF149" i="12"/>
  <c r="BJ149" i="12"/>
  <c r="BR138" i="12"/>
  <c r="BJ138" i="12"/>
  <c r="BD138" i="12"/>
  <c r="BH138" i="12"/>
  <c r="BL138" i="12"/>
  <c r="BF138" i="12"/>
  <c r="BH48" i="12"/>
  <c r="BD48" i="12"/>
  <c r="BL48" i="12"/>
  <c r="BR48" i="12"/>
  <c r="BF48" i="12"/>
  <c r="BJ48" i="12"/>
  <c r="BH119" i="12"/>
  <c r="BF119" i="12"/>
  <c r="BD119" i="12"/>
  <c r="BL119" i="12"/>
  <c r="BJ119" i="12"/>
  <c r="BR119" i="12"/>
  <c r="BH116" i="12"/>
  <c r="BD116" i="12"/>
  <c r="BL116" i="12"/>
  <c r="BJ116" i="12"/>
  <c r="BR116" i="12"/>
  <c r="BF116" i="12"/>
  <c r="BN63" i="12"/>
  <c r="BE63" i="12"/>
  <c r="BK63" i="12"/>
  <c r="BI63" i="12"/>
  <c r="BG63" i="12"/>
  <c r="BQ63" i="12"/>
  <c r="BH114" i="12"/>
  <c r="BR114" i="12"/>
  <c r="BF114" i="12"/>
  <c r="BL114" i="12"/>
  <c r="BJ114" i="12"/>
  <c r="BD114" i="12"/>
  <c r="BH56" i="12"/>
  <c r="BF56" i="12"/>
  <c r="BD56" i="12"/>
  <c r="BL56" i="12"/>
  <c r="BJ56" i="12"/>
  <c r="BR56" i="12"/>
  <c r="BG103" i="12"/>
  <c r="BI103" i="12"/>
  <c r="BQ103" i="12"/>
  <c r="BE103" i="12"/>
  <c r="BN103" i="12"/>
  <c r="BK103" i="12"/>
  <c r="BK73" i="12"/>
  <c r="BQ73" i="12"/>
  <c r="BI73" i="12"/>
  <c r="BG73" i="12"/>
  <c r="BE73" i="12"/>
  <c r="BN73" i="12"/>
  <c r="BE138" i="12"/>
  <c r="BK138" i="12"/>
  <c r="BQ138" i="12"/>
  <c r="BI138" i="12"/>
  <c r="BG138" i="12"/>
  <c r="BN138" i="12"/>
  <c r="BL152" i="12"/>
  <c r="BD152" i="12"/>
  <c r="BH152" i="12"/>
  <c r="BR152" i="12"/>
  <c r="BF152" i="12"/>
  <c r="BJ152" i="12"/>
  <c r="BK47" i="12"/>
  <c r="BE47" i="12"/>
  <c r="BN47" i="12"/>
  <c r="BI47" i="12"/>
  <c r="BG47" i="12"/>
  <c r="BQ47" i="12"/>
  <c r="BN69" i="12"/>
  <c r="BE69" i="12"/>
  <c r="BQ69" i="12"/>
  <c r="BK69" i="12"/>
  <c r="BI69" i="12"/>
  <c r="BG69" i="12"/>
  <c r="BG78" i="12"/>
  <c r="BN78" i="12"/>
  <c r="BE78" i="12"/>
  <c r="BQ78" i="12"/>
  <c r="BK78" i="12"/>
  <c r="BI78" i="12"/>
  <c r="BH70" i="12"/>
  <c r="BF70" i="12"/>
  <c r="BD70" i="12"/>
  <c r="BL70" i="12"/>
  <c r="BJ70" i="12"/>
  <c r="BR70" i="12"/>
  <c r="BH86" i="12"/>
  <c r="BF86" i="12"/>
  <c r="BD86" i="12"/>
  <c r="BL86" i="12"/>
  <c r="BR86" i="12"/>
  <c r="BJ86" i="12"/>
  <c r="BE130" i="12"/>
  <c r="BK130" i="12"/>
  <c r="BQ130" i="12"/>
  <c r="BI130" i="12"/>
  <c r="BG130" i="12"/>
  <c r="BN130" i="12"/>
  <c r="BL148" i="12"/>
  <c r="BD148" i="12"/>
  <c r="BR148" i="12"/>
  <c r="BH148" i="12"/>
  <c r="BF148" i="12"/>
  <c r="BJ148" i="12"/>
  <c r="BL153" i="12"/>
  <c r="BD153" i="12"/>
  <c r="BJ153" i="12"/>
  <c r="BF153" i="12"/>
  <c r="BH153" i="12"/>
  <c r="BR153" i="12"/>
  <c r="BL143" i="12"/>
  <c r="BD143" i="12"/>
  <c r="BJ143" i="12"/>
  <c r="BH143" i="12"/>
  <c r="BF143" i="12"/>
  <c r="BR143" i="12"/>
  <c r="BH98" i="12"/>
  <c r="BD98" i="12"/>
  <c r="BL98" i="12"/>
  <c r="BJ98" i="12"/>
  <c r="BF98" i="12"/>
  <c r="BR98" i="12"/>
  <c r="BL140" i="12"/>
  <c r="BD140" i="12"/>
  <c r="BF140" i="12"/>
  <c r="BR140" i="12"/>
  <c r="BJ140" i="12"/>
  <c r="BH140" i="12"/>
  <c r="BE126" i="12"/>
  <c r="BG126" i="12"/>
  <c r="BN126" i="12"/>
  <c r="BK126" i="12"/>
  <c r="BI126" i="12"/>
  <c r="BQ126" i="12"/>
  <c r="BK91" i="12"/>
  <c r="BN91" i="12"/>
  <c r="BI91" i="12"/>
  <c r="BE91" i="12"/>
  <c r="BQ91" i="12"/>
  <c r="BG91" i="12"/>
  <c r="BG116" i="12"/>
  <c r="BN116" i="12"/>
  <c r="BK116" i="12"/>
  <c r="BQ116" i="12"/>
  <c r="BI116" i="12"/>
  <c r="BE116" i="12"/>
  <c r="BH63" i="12"/>
  <c r="BD63" i="12"/>
  <c r="BL63" i="12"/>
  <c r="BJ63" i="12"/>
  <c r="BR63" i="12"/>
  <c r="BF63" i="12"/>
  <c r="BH111" i="12"/>
  <c r="BR111" i="12"/>
  <c r="BL111" i="12"/>
  <c r="BJ111" i="12"/>
  <c r="BF111" i="12"/>
  <c r="BD111" i="12"/>
  <c r="BH82" i="12"/>
  <c r="BL82" i="12"/>
  <c r="BR82" i="12"/>
  <c r="BJ82" i="12"/>
  <c r="BD82" i="12"/>
  <c r="BF82" i="12"/>
  <c r="BK54" i="12"/>
  <c r="BI54" i="12"/>
  <c r="BG54" i="12"/>
  <c r="BQ54" i="12"/>
  <c r="BE54" i="12"/>
  <c r="BN54" i="12"/>
  <c r="BH103" i="12"/>
  <c r="BR103" i="12"/>
  <c r="BD103" i="12"/>
  <c r="BL103" i="12"/>
  <c r="BJ103" i="12"/>
  <c r="BF103" i="12"/>
  <c r="BQ72" i="12"/>
  <c r="BI72" i="12"/>
  <c r="BG72" i="12"/>
  <c r="BN72" i="12"/>
  <c r="BK72" i="12"/>
  <c r="BE72" i="12"/>
  <c r="BG105" i="12"/>
  <c r="BI105" i="12"/>
  <c r="BK105" i="12"/>
  <c r="BQ105" i="12"/>
  <c r="BN105" i="12"/>
  <c r="BE105" i="12"/>
  <c r="BR135" i="12"/>
  <c r="BJ135" i="12"/>
  <c r="BH135" i="12"/>
  <c r="BL135" i="12"/>
  <c r="BF135" i="12"/>
  <c r="BD135" i="12"/>
  <c r="BK62" i="12"/>
  <c r="BI62" i="12"/>
  <c r="BG62" i="12"/>
  <c r="BQ62" i="12"/>
  <c r="BE62" i="12"/>
  <c r="BN62" i="12"/>
  <c r="BH121" i="12"/>
  <c r="BF121" i="12"/>
  <c r="BJ121" i="12"/>
  <c r="BL121" i="12"/>
  <c r="BD121" i="12"/>
  <c r="BR121" i="12"/>
  <c r="BG117" i="12"/>
  <c r="BN117" i="12"/>
  <c r="BK117" i="12"/>
  <c r="BI117" i="12"/>
  <c r="BE117" i="12"/>
  <c r="BQ117" i="12"/>
  <c r="BE151" i="12"/>
  <c r="BK151" i="12"/>
  <c r="BQ151" i="12"/>
  <c r="BG151" i="12"/>
  <c r="BN151" i="12"/>
  <c r="BI151" i="12"/>
  <c r="BH69" i="12"/>
  <c r="BF69" i="12"/>
  <c r="BD69" i="12"/>
  <c r="BL69" i="12"/>
  <c r="BR69" i="12"/>
  <c r="BJ69" i="12"/>
  <c r="BG96" i="12"/>
  <c r="BN96" i="12"/>
  <c r="BK96" i="12"/>
  <c r="BE96" i="12"/>
  <c r="BQ96" i="12"/>
  <c r="BI96" i="12"/>
  <c r="BH78" i="12"/>
  <c r="BF78" i="12"/>
  <c r="BD78" i="12"/>
  <c r="BR78" i="12"/>
  <c r="BL78" i="12"/>
  <c r="BJ78" i="12"/>
  <c r="BH117" i="12"/>
  <c r="BF117" i="12"/>
  <c r="BJ117" i="12"/>
  <c r="BL117" i="12"/>
  <c r="BD117" i="12"/>
  <c r="BR117" i="12"/>
  <c r="BH106" i="12"/>
  <c r="BL106" i="12"/>
  <c r="BJ106" i="12"/>
  <c r="BD106" i="12"/>
  <c r="BR106" i="12"/>
  <c r="BF106" i="12"/>
  <c r="BL156" i="12"/>
  <c r="BD156" i="12"/>
  <c r="BR156" i="12"/>
  <c r="BH156" i="12"/>
  <c r="BF156" i="12"/>
  <c r="BJ156" i="12"/>
  <c r="BH105" i="12"/>
  <c r="BR105" i="12"/>
  <c r="BL105" i="12"/>
  <c r="BJ105" i="12"/>
  <c r="BF105" i="12"/>
  <c r="BD105" i="12"/>
  <c r="BN77" i="12"/>
  <c r="BE77" i="12"/>
  <c r="BK77" i="12"/>
  <c r="BI77" i="12"/>
  <c r="BG77" i="12"/>
  <c r="BQ77" i="12"/>
  <c r="BE136" i="12"/>
  <c r="BK136" i="12"/>
  <c r="BI136" i="12"/>
  <c r="BQ136" i="12"/>
  <c r="BG136" i="12"/>
  <c r="BN136" i="12"/>
  <c r="BE135" i="12"/>
  <c r="BQ135" i="12"/>
  <c r="BI135" i="12"/>
  <c r="BK135" i="12"/>
  <c r="BN135" i="12"/>
  <c r="BG135" i="12"/>
  <c r="BE147" i="12"/>
  <c r="BK147" i="12"/>
  <c r="BI147" i="12"/>
  <c r="BQ147" i="12"/>
  <c r="BN147" i="12"/>
  <c r="BG147" i="12"/>
  <c r="BS119" i="12"/>
  <c r="H131" i="31" s="1"/>
  <c r="I131" i="31" s="1"/>
  <c r="BH91" i="12"/>
  <c r="BD91" i="12"/>
  <c r="BL91" i="12"/>
  <c r="BR91" i="12"/>
  <c r="BJ91" i="12"/>
  <c r="BF91" i="12"/>
  <c r="BQ80" i="12"/>
  <c r="BI80" i="12"/>
  <c r="BG80" i="12"/>
  <c r="BE80" i="12"/>
  <c r="BN80" i="12"/>
  <c r="BK80" i="12"/>
  <c r="BH66" i="12"/>
  <c r="BL66" i="12"/>
  <c r="BR66" i="12"/>
  <c r="BJ66" i="12"/>
  <c r="BD66" i="12"/>
  <c r="BF66" i="12"/>
  <c r="BG102" i="12"/>
  <c r="BK102" i="12"/>
  <c r="BI102" i="12"/>
  <c r="BQ102" i="12"/>
  <c r="BN102" i="12"/>
  <c r="BE102" i="12"/>
  <c r="BH53" i="12"/>
  <c r="BR53" i="12"/>
  <c r="BJ53" i="12"/>
  <c r="BD53" i="12"/>
  <c r="BL53" i="12"/>
  <c r="BF53" i="12"/>
  <c r="BH96" i="12"/>
  <c r="BD96" i="12"/>
  <c r="BL96" i="12"/>
  <c r="BR96" i="12"/>
  <c r="BJ96" i="12"/>
  <c r="BF96" i="12"/>
  <c r="BH60" i="12"/>
  <c r="BR60" i="12"/>
  <c r="BJ60" i="12"/>
  <c r="BD60" i="12"/>
  <c r="BL60" i="12"/>
  <c r="BF60" i="12"/>
  <c r="BF139" i="12"/>
  <c r="BD139" i="12"/>
  <c r="BL139" i="12"/>
  <c r="BJ139" i="12"/>
  <c r="BH139" i="12"/>
  <c r="BR139" i="12"/>
  <c r="BG115" i="12"/>
  <c r="BI115" i="12"/>
  <c r="BN115" i="12"/>
  <c r="BE115" i="12"/>
  <c r="BQ115" i="12"/>
  <c r="BK115" i="12"/>
  <c r="BE127" i="12"/>
  <c r="BQ127" i="12"/>
  <c r="BI127" i="12"/>
  <c r="BK127" i="12"/>
  <c r="BG127" i="12"/>
  <c r="BN127" i="12"/>
  <c r="BH94" i="12"/>
  <c r="BD94" i="12"/>
  <c r="BL94" i="12"/>
  <c r="BJ94" i="12"/>
  <c r="BF94" i="12"/>
  <c r="BR94" i="12"/>
  <c r="BK67" i="12"/>
  <c r="BN67" i="12"/>
  <c r="BI67" i="12"/>
  <c r="BG67" i="12"/>
  <c r="BE67" i="12"/>
  <c r="BQ67" i="12"/>
  <c r="BH81" i="12"/>
  <c r="BR81" i="12"/>
  <c r="BJ81" i="12"/>
  <c r="BL81" i="12"/>
  <c r="BF81" i="12"/>
  <c r="BD81" i="12"/>
  <c r="BK81" i="12"/>
  <c r="BQ81" i="12"/>
  <c r="BI81" i="12"/>
  <c r="BG81" i="12"/>
  <c r="BE81" i="12"/>
  <c r="BN81" i="12"/>
  <c r="BN84" i="12"/>
  <c r="BE84" i="12"/>
  <c r="BK84" i="12"/>
  <c r="BI84" i="12"/>
  <c r="BG84" i="12"/>
  <c r="BQ84" i="12"/>
  <c r="BH61" i="12"/>
  <c r="BL61" i="12"/>
  <c r="BR61" i="12"/>
  <c r="BJ61" i="12"/>
  <c r="BF61" i="12"/>
  <c r="BD61" i="12"/>
  <c r="BE145" i="12"/>
  <c r="BK145" i="12"/>
  <c r="BI145" i="12"/>
  <c r="BQ145" i="12"/>
  <c r="BG145" i="12"/>
  <c r="BN145" i="12"/>
  <c r="BH80" i="12"/>
  <c r="BR80" i="12"/>
  <c r="BJ80" i="12"/>
  <c r="BF80" i="12"/>
  <c r="BD80" i="12"/>
  <c r="BL80" i="12"/>
  <c r="BH64" i="12"/>
  <c r="BF64" i="12"/>
  <c r="BD64" i="12"/>
  <c r="BL64" i="12"/>
  <c r="BJ64" i="12"/>
  <c r="BR64" i="12"/>
  <c r="BE150" i="12"/>
  <c r="BK150" i="12"/>
  <c r="BG150" i="12"/>
  <c r="BQ150" i="12"/>
  <c r="BN150" i="12"/>
  <c r="BI150" i="12"/>
  <c r="BK90" i="12"/>
  <c r="BQ90" i="12"/>
  <c r="BI90" i="12"/>
  <c r="BN90" i="12"/>
  <c r="BG90" i="12"/>
  <c r="BE90" i="12"/>
  <c r="BK66" i="12"/>
  <c r="BN66" i="12"/>
  <c r="BI66" i="12"/>
  <c r="BQ66" i="12"/>
  <c r="BG66" i="12"/>
  <c r="BE66" i="12"/>
  <c r="BH100" i="12"/>
  <c r="BD100" i="12"/>
  <c r="BL100" i="12"/>
  <c r="BR100" i="12"/>
  <c r="BF100" i="12"/>
  <c r="BJ100" i="12"/>
  <c r="BH102" i="12"/>
  <c r="BJ102" i="12"/>
  <c r="BR102" i="12"/>
  <c r="BF102" i="12"/>
  <c r="BD102" i="12"/>
  <c r="BL102" i="12"/>
  <c r="BG112" i="12"/>
  <c r="BK112" i="12"/>
  <c r="BQ112" i="12"/>
  <c r="BE112" i="12"/>
  <c r="BN112" i="12"/>
  <c r="BI112" i="12"/>
  <c r="BK142" i="12"/>
  <c r="BQ142" i="12"/>
  <c r="BG142" i="12"/>
  <c r="BE142" i="12"/>
  <c r="BN142" i="12"/>
  <c r="BI142" i="12"/>
  <c r="BN85" i="12"/>
  <c r="BE85" i="12"/>
  <c r="BI85" i="12"/>
  <c r="BG85" i="12"/>
  <c r="BQ85" i="12"/>
  <c r="BK85" i="12"/>
  <c r="BG97" i="12"/>
  <c r="BI97" i="12"/>
  <c r="BQ97" i="12"/>
  <c r="BE97" i="12"/>
  <c r="BK97" i="12"/>
  <c r="BN97" i="12"/>
  <c r="BG86" i="12"/>
  <c r="BN86" i="12"/>
  <c r="BE86" i="12"/>
  <c r="BK86" i="12"/>
  <c r="BQ86" i="12"/>
  <c r="BI86" i="12"/>
  <c r="BQ71" i="12"/>
  <c r="BI71" i="12"/>
  <c r="BG71" i="12"/>
  <c r="BN71" i="12"/>
  <c r="BE71" i="12"/>
  <c r="BK71" i="12"/>
  <c r="BH52" i="12"/>
  <c r="BJ52" i="12"/>
  <c r="BR52" i="12"/>
  <c r="BF52" i="12"/>
  <c r="BD52" i="12"/>
  <c r="BL52" i="12"/>
  <c r="BE129" i="12"/>
  <c r="BG129" i="12"/>
  <c r="BN129" i="12"/>
  <c r="BK129" i="12"/>
  <c r="BQ129" i="12"/>
  <c r="BI129" i="12"/>
  <c r="BL141" i="12"/>
  <c r="BD141" i="12"/>
  <c r="BH141" i="12"/>
  <c r="BR141" i="12"/>
  <c r="BF141" i="12"/>
  <c r="BJ141" i="12"/>
  <c r="BN92" i="12"/>
  <c r="BE92" i="12"/>
  <c r="BK92" i="12"/>
  <c r="BQ92" i="12"/>
  <c r="BI92" i="12"/>
  <c r="BG92" i="12"/>
  <c r="BH75" i="12"/>
  <c r="BD75" i="12"/>
  <c r="BL75" i="12"/>
  <c r="BR75" i="12"/>
  <c r="BJ75" i="12"/>
  <c r="BF75" i="12"/>
  <c r="BG70" i="12"/>
  <c r="BN70" i="12"/>
  <c r="BE70" i="12"/>
  <c r="BK70" i="12"/>
  <c r="BQ70" i="12"/>
  <c r="BI70" i="12"/>
  <c r="BE148" i="12"/>
  <c r="BK148" i="12"/>
  <c r="BI148" i="12"/>
  <c r="BG148" i="12"/>
  <c r="BQ148" i="12"/>
  <c r="BN148" i="12"/>
  <c r="BH92" i="12"/>
  <c r="BD92" i="12"/>
  <c r="BL92" i="12"/>
  <c r="BF92" i="12"/>
  <c r="BR92" i="12"/>
  <c r="BJ92" i="12"/>
  <c r="BH109" i="12"/>
  <c r="BR109" i="12"/>
  <c r="BD109" i="12"/>
  <c r="BL109" i="12"/>
  <c r="BJ109" i="12"/>
  <c r="BF109" i="12"/>
  <c r="BD128" i="12"/>
  <c r="BL128" i="12"/>
  <c r="BF128" i="12"/>
  <c r="BR128" i="12"/>
  <c r="BJ128" i="12"/>
  <c r="BH128" i="12"/>
  <c r="BF126" i="12"/>
  <c r="BD126" i="12"/>
  <c r="BR126" i="12"/>
  <c r="BH126" i="12"/>
  <c r="BL126" i="12"/>
  <c r="BJ126" i="12"/>
  <c r="BH62" i="12"/>
  <c r="BD62" i="12"/>
  <c r="BL62" i="12"/>
  <c r="BR62" i="12"/>
  <c r="BJ62" i="12"/>
  <c r="BF62" i="12"/>
  <c r="BE128" i="12"/>
  <c r="BK128" i="12"/>
  <c r="BI128" i="12"/>
  <c r="BQ128" i="12"/>
  <c r="BN128" i="12"/>
  <c r="BG128" i="12"/>
  <c r="BE132" i="12"/>
  <c r="BQ132" i="12"/>
  <c r="BI132" i="12"/>
  <c r="BG132" i="12"/>
  <c r="BN132" i="12"/>
  <c r="BK132" i="12"/>
  <c r="BR127" i="12"/>
  <c r="BJ127" i="12"/>
  <c r="BH127" i="12"/>
  <c r="BL127" i="12"/>
  <c r="BF127" i="12"/>
  <c r="BD127" i="12"/>
  <c r="BH89" i="12"/>
  <c r="BR89" i="12"/>
  <c r="BJ89" i="12"/>
  <c r="BD89" i="12"/>
  <c r="BL89" i="12"/>
  <c r="BF89" i="12"/>
  <c r="BH67" i="12"/>
  <c r="BD67" i="12"/>
  <c r="BL67" i="12"/>
  <c r="BR67" i="12"/>
  <c r="BJ67" i="12"/>
  <c r="BF67" i="12"/>
  <c r="BN68" i="12"/>
  <c r="BE68" i="12"/>
  <c r="BK68" i="12"/>
  <c r="BQ68" i="12"/>
  <c r="BG68" i="12"/>
  <c r="BI68" i="12"/>
  <c r="BE144" i="12"/>
  <c r="BK144" i="12"/>
  <c r="BN144" i="12"/>
  <c r="BG144" i="12"/>
  <c r="BQ144" i="12"/>
  <c r="BI144" i="12"/>
  <c r="BH84" i="12"/>
  <c r="BD84" i="12"/>
  <c r="BL84" i="12"/>
  <c r="BR84" i="12"/>
  <c r="BF84" i="12"/>
  <c r="BJ84" i="12"/>
  <c r="BN55" i="12"/>
  <c r="BE55" i="12"/>
  <c r="BK55" i="12"/>
  <c r="BG55" i="12"/>
  <c r="BI55" i="12"/>
  <c r="BQ55" i="12"/>
  <c r="BL145" i="12"/>
  <c r="BD145" i="12"/>
  <c r="BF145" i="12"/>
  <c r="BH145" i="12"/>
  <c r="BR145" i="12"/>
  <c r="BJ145" i="12"/>
  <c r="BL150" i="12"/>
  <c r="BD150" i="12"/>
  <c r="BJ150" i="12"/>
  <c r="BR150" i="12"/>
  <c r="BF150" i="12"/>
  <c r="BH150" i="12"/>
  <c r="BK82" i="12"/>
  <c r="BQ82" i="12"/>
  <c r="BI82" i="12"/>
  <c r="BE82" i="12"/>
  <c r="BN82" i="12"/>
  <c r="BG82" i="12"/>
  <c r="BQ79" i="12"/>
  <c r="BI79" i="12"/>
  <c r="BG79" i="12"/>
  <c r="BN79" i="12"/>
  <c r="BE79" i="12"/>
  <c r="BK79" i="12"/>
  <c r="BH101" i="12"/>
  <c r="BR101" i="12"/>
  <c r="BJ101" i="12"/>
  <c r="BF101" i="12"/>
  <c r="BL101" i="12"/>
  <c r="BD101" i="12"/>
  <c r="BH112" i="12"/>
  <c r="BR112" i="12"/>
  <c r="BF112" i="12"/>
  <c r="BD112" i="12"/>
  <c r="BJ112" i="12"/>
  <c r="BL112" i="12"/>
  <c r="BH51" i="12"/>
  <c r="BF51" i="12"/>
  <c r="BL51" i="12"/>
  <c r="BJ51" i="12"/>
  <c r="BD51" i="12"/>
  <c r="BR51" i="12"/>
  <c r="BL142" i="12"/>
  <c r="BD142" i="12"/>
  <c r="BR142" i="12"/>
  <c r="BF142" i="12"/>
  <c r="BH142" i="12"/>
  <c r="BJ142" i="12"/>
  <c r="BQ58" i="12"/>
  <c r="BI58" i="12"/>
  <c r="BG58" i="12"/>
  <c r="BN58" i="12"/>
  <c r="BE58" i="12"/>
  <c r="BK58" i="12"/>
  <c r="BH85" i="12"/>
  <c r="BF85" i="12"/>
  <c r="BD85" i="12"/>
  <c r="BL85" i="12"/>
  <c r="BR85" i="12"/>
  <c r="BJ85" i="12"/>
  <c r="BG57" i="12"/>
  <c r="BN57" i="12"/>
  <c r="BE57" i="12"/>
  <c r="BI57" i="12"/>
  <c r="BQ57" i="12"/>
  <c r="BK57" i="12"/>
  <c r="BK83" i="12"/>
  <c r="BQ83" i="12"/>
  <c r="BE83" i="12"/>
  <c r="BN83" i="12"/>
  <c r="BI83" i="12"/>
  <c r="BG83" i="12"/>
  <c r="BQ52" i="12"/>
  <c r="BI52" i="12"/>
  <c r="BG52" i="12"/>
  <c r="BK52" i="12"/>
  <c r="BE52" i="12"/>
  <c r="BN52" i="12"/>
  <c r="BH129" i="12"/>
  <c r="BF129" i="12"/>
  <c r="BJ129" i="12"/>
  <c r="BL129" i="12"/>
  <c r="BR129" i="12"/>
  <c r="BD129" i="12"/>
  <c r="BD136" i="12"/>
  <c r="BL136" i="12"/>
  <c r="BF136" i="12"/>
  <c r="BJ136" i="12"/>
  <c r="BH136" i="12"/>
  <c r="BR136" i="12"/>
  <c r="BK65" i="12"/>
  <c r="BI65" i="12"/>
  <c r="BG65" i="12"/>
  <c r="BQ65" i="12"/>
  <c r="BE65" i="12"/>
  <c r="BN65" i="12"/>
  <c r="BH73" i="12"/>
  <c r="BR73" i="12"/>
  <c r="BJ73" i="12"/>
  <c r="BL73" i="12"/>
  <c r="BF73" i="12"/>
  <c r="BD73" i="12"/>
  <c r="BE152" i="12"/>
  <c r="BK152" i="12"/>
  <c r="BN152" i="12"/>
  <c r="BQ152" i="12"/>
  <c r="BG152" i="12"/>
  <c r="BI152" i="12"/>
  <c r="BE133" i="12"/>
  <c r="BK133" i="12"/>
  <c r="BN133" i="12"/>
  <c r="BI133" i="12"/>
  <c r="BG133" i="12"/>
  <c r="BQ133" i="12"/>
  <c r="BG98" i="12"/>
  <c r="BN98" i="12"/>
  <c r="BK98" i="12"/>
  <c r="BI98" i="12"/>
  <c r="BE98" i="12"/>
  <c r="BQ98" i="12"/>
  <c r="BH77" i="12"/>
  <c r="BF77" i="12"/>
  <c r="BD77" i="12"/>
  <c r="BL77" i="12"/>
  <c r="BJ77" i="12"/>
  <c r="BR77" i="12"/>
  <c r="BE123" i="12"/>
  <c r="BN123" i="12"/>
  <c r="BQ123" i="12"/>
  <c r="BG123" i="12"/>
  <c r="BI123" i="12"/>
  <c r="BK123" i="12"/>
  <c r="BG94" i="12"/>
  <c r="BN94" i="12"/>
  <c r="BK94" i="12"/>
  <c r="BI94" i="12"/>
  <c r="BQ94" i="12"/>
  <c r="BE94" i="12"/>
  <c r="BK89" i="12"/>
  <c r="BQ89" i="12"/>
  <c r="BI89" i="12"/>
  <c r="BG89" i="12"/>
  <c r="BE89" i="12"/>
  <c r="BN89" i="12"/>
  <c r="BG111" i="12"/>
  <c r="BI111" i="12"/>
  <c r="BK111" i="12"/>
  <c r="BN111" i="12"/>
  <c r="BQ111" i="12"/>
  <c r="BE111" i="12"/>
  <c r="BH90" i="12"/>
  <c r="BL90" i="12"/>
  <c r="BR90" i="12"/>
  <c r="BJ90" i="12"/>
  <c r="BD90" i="12"/>
  <c r="BF90" i="12"/>
  <c r="BG100" i="12"/>
  <c r="BN100" i="12"/>
  <c r="BK100" i="12"/>
  <c r="BE100" i="12"/>
  <c r="BQ100" i="12"/>
  <c r="BI100" i="12"/>
  <c r="BG121" i="12"/>
  <c r="BN121" i="12"/>
  <c r="BK121" i="12"/>
  <c r="BI121" i="12"/>
  <c r="BE121" i="12"/>
  <c r="BQ121" i="12"/>
  <c r="BL151" i="12"/>
  <c r="BD151" i="12"/>
  <c r="BR151" i="12"/>
  <c r="BF151" i="12"/>
  <c r="BH151" i="12"/>
  <c r="BJ151" i="12"/>
  <c r="BH71" i="12"/>
  <c r="BF71" i="12"/>
  <c r="BR71" i="12"/>
  <c r="BL71" i="12"/>
  <c r="BJ71" i="12"/>
  <c r="BD71" i="12"/>
  <c r="BG106" i="12"/>
  <c r="BK106" i="12"/>
  <c r="BN106" i="12"/>
  <c r="BI106" i="12"/>
  <c r="BQ106" i="12"/>
  <c r="BE106" i="12"/>
  <c r="BE154" i="12"/>
  <c r="BK154" i="12"/>
  <c r="BI154" i="12"/>
  <c r="BQ154" i="12"/>
  <c r="BN154" i="12"/>
  <c r="BG154" i="12"/>
  <c r="BH132" i="12"/>
  <c r="BF132" i="12"/>
  <c r="BJ132" i="12"/>
  <c r="BR132" i="12"/>
  <c r="BL132" i="12"/>
  <c r="BD132" i="12"/>
  <c r="BG118" i="12"/>
  <c r="BN118" i="12"/>
  <c r="BE118" i="12"/>
  <c r="BQ118" i="12"/>
  <c r="BI118" i="12"/>
  <c r="BK118" i="12"/>
  <c r="BE155" i="12"/>
  <c r="BK155" i="12"/>
  <c r="BQ155" i="12"/>
  <c r="BG155" i="12"/>
  <c r="BI155" i="12"/>
  <c r="BN155" i="12"/>
  <c r="BG120" i="12"/>
  <c r="BN120" i="12"/>
  <c r="BK120" i="12"/>
  <c r="BI120" i="12"/>
  <c r="BE120" i="12"/>
  <c r="BQ120" i="12"/>
  <c r="BH68" i="12"/>
  <c r="BD68" i="12"/>
  <c r="BL68" i="12"/>
  <c r="BR68" i="12"/>
  <c r="BF68" i="12"/>
  <c r="BJ68" i="12"/>
  <c r="BL144" i="12"/>
  <c r="BD144" i="12"/>
  <c r="BR144" i="12"/>
  <c r="BF144" i="12"/>
  <c r="BJ144" i="12"/>
  <c r="BH144" i="12"/>
  <c r="BG108" i="12"/>
  <c r="BI108" i="12"/>
  <c r="BQ108" i="12"/>
  <c r="BE108" i="12"/>
  <c r="BN108" i="12"/>
  <c r="BK108" i="12"/>
  <c r="BH74" i="12"/>
  <c r="BL74" i="12"/>
  <c r="BR74" i="12"/>
  <c r="BJ74" i="12"/>
  <c r="BD74" i="12"/>
  <c r="BF74" i="12"/>
  <c r="BH55" i="12"/>
  <c r="BD55" i="12"/>
  <c r="BL55" i="12"/>
  <c r="BJ55" i="12"/>
  <c r="BF55" i="12"/>
  <c r="BR55" i="12"/>
  <c r="BE131" i="12"/>
  <c r="BN131" i="12"/>
  <c r="BQ131" i="12"/>
  <c r="BG131" i="12"/>
  <c r="BK131" i="12"/>
  <c r="BI131" i="12"/>
  <c r="BG113" i="12"/>
  <c r="BI113" i="12"/>
  <c r="BQ113" i="12"/>
  <c r="BE113" i="12"/>
  <c r="BN113" i="12"/>
  <c r="BK113" i="12"/>
  <c r="BN76" i="12"/>
  <c r="BE76" i="12"/>
  <c r="BK76" i="12"/>
  <c r="BI76" i="12"/>
  <c r="BG76" i="12"/>
  <c r="BQ76" i="12"/>
  <c r="BE137" i="12"/>
  <c r="BG137" i="12"/>
  <c r="BN137" i="12"/>
  <c r="BQ137" i="12"/>
  <c r="BK137" i="12"/>
  <c r="BI137" i="12"/>
  <c r="BH79" i="12"/>
  <c r="BF79" i="12"/>
  <c r="BJ79" i="12"/>
  <c r="BD79" i="12"/>
  <c r="BR79" i="12"/>
  <c r="BL79" i="12"/>
  <c r="BH95" i="12"/>
  <c r="BJ95" i="12"/>
  <c r="BR95" i="12"/>
  <c r="BF95" i="12"/>
  <c r="BD95" i="12"/>
  <c r="BL95" i="12"/>
  <c r="BN49" i="12"/>
  <c r="BE49" i="12"/>
  <c r="BI49" i="12"/>
  <c r="BQ49" i="12"/>
  <c r="BG49" i="12"/>
  <c r="BK49" i="12"/>
  <c r="BE146" i="12"/>
  <c r="BK146" i="12"/>
  <c r="BN146" i="12"/>
  <c r="BG146" i="12"/>
  <c r="BQ146" i="12"/>
  <c r="BI146" i="12"/>
  <c r="BH87" i="12"/>
  <c r="BF87" i="12"/>
  <c r="BR87" i="12"/>
  <c r="BL87" i="12"/>
  <c r="BD87" i="12"/>
  <c r="BJ87" i="12"/>
  <c r="BH50" i="12"/>
  <c r="BF50" i="12"/>
  <c r="BR50" i="12"/>
  <c r="BD50" i="12"/>
  <c r="BL50" i="12"/>
  <c r="BJ50" i="12"/>
  <c r="BH57" i="12"/>
  <c r="BF57" i="12"/>
  <c r="BD57" i="12"/>
  <c r="BJ57" i="12"/>
  <c r="BR57" i="12"/>
  <c r="BL57" i="12"/>
  <c r="BH83" i="12"/>
  <c r="BD83" i="12"/>
  <c r="BL83" i="12"/>
  <c r="BR83" i="12"/>
  <c r="BJ83" i="12"/>
  <c r="BF83" i="12"/>
  <c r="BQ59" i="12"/>
  <c r="BI59" i="12"/>
  <c r="BG59" i="12"/>
  <c r="BK59" i="12"/>
  <c r="BE59" i="12"/>
  <c r="BN59" i="12"/>
  <c r="BG93" i="12"/>
  <c r="BI93" i="12"/>
  <c r="BQ93" i="12"/>
  <c r="BE93" i="12"/>
  <c r="BK93" i="12"/>
  <c r="BN93" i="12"/>
  <c r="BH104" i="12"/>
  <c r="BF104" i="12"/>
  <c r="BD104" i="12"/>
  <c r="BL104" i="12"/>
  <c r="BR104" i="12"/>
  <c r="BJ104" i="12"/>
  <c r="BG114" i="12"/>
  <c r="BQ114" i="12"/>
  <c r="BK114" i="12"/>
  <c r="BN114" i="12"/>
  <c r="BI114" i="12"/>
  <c r="BE114" i="12"/>
  <c r="BG109" i="12"/>
  <c r="BI109" i="12"/>
  <c r="BN109" i="12"/>
  <c r="BE109" i="12"/>
  <c r="BQ109" i="12"/>
  <c r="BK109" i="12"/>
  <c r="BH124" i="12"/>
  <c r="BF124" i="12"/>
  <c r="BJ124" i="12"/>
  <c r="BD124" i="12"/>
  <c r="BL124" i="12"/>
  <c r="BR124" i="12"/>
  <c r="BK143" i="12"/>
  <c r="BI143" i="12"/>
  <c r="BN143" i="12"/>
  <c r="BE143" i="12"/>
  <c r="BQ143" i="12"/>
  <c r="BG143" i="12"/>
  <c r="BK140" i="12"/>
  <c r="BE140" i="12"/>
  <c r="BN140" i="12"/>
  <c r="BI140" i="12"/>
  <c r="BQ140" i="12"/>
  <c r="BG140" i="12"/>
  <c r="BF123" i="12"/>
  <c r="BD123" i="12"/>
  <c r="BL123" i="12"/>
  <c r="BJ123" i="12"/>
  <c r="BR123" i="12"/>
  <c r="BH123" i="12"/>
  <c r="BH108" i="12"/>
  <c r="BJ108" i="12"/>
  <c r="BR108" i="12"/>
  <c r="BF108" i="12"/>
  <c r="BL108" i="12"/>
  <c r="BD108" i="12"/>
  <c r="BH72" i="12"/>
  <c r="BR72" i="12"/>
  <c r="BJ72" i="12"/>
  <c r="BF72" i="12"/>
  <c r="BL72" i="12"/>
  <c r="BD72" i="12"/>
  <c r="BL154" i="12"/>
  <c r="BD154" i="12"/>
  <c r="BF154" i="12"/>
  <c r="BJ154" i="12"/>
  <c r="BR154" i="12"/>
  <c r="BH154" i="12"/>
  <c r="BR122" i="12"/>
  <c r="BJ122" i="12"/>
  <c r="BF122" i="12"/>
  <c r="BD122" i="12"/>
  <c r="BL122" i="12"/>
  <c r="BH122" i="12"/>
  <c r="BG104" i="12"/>
  <c r="BQ104" i="12"/>
  <c r="BE104" i="12"/>
  <c r="BN104" i="12"/>
  <c r="BK104" i="12"/>
  <c r="BI104" i="12"/>
  <c r="BE149" i="12"/>
  <c r="BK149" i="12"/>
  <c r="BG149" i="12"/>
  <c r="BQ149" i="12"/>
  <c r="BN149" i="12"/>
  <c r="BI149" i="12"/>
  <c r="BH110" i="12"/>
  <c r="BD110" i="12"/>
  <c r="BR110" i="12"/>
  <c r="BF110" i="12"/>
  <c r="BJ110" i="12"/>
  <c r="BL110" i="12"/>
  <c r="BE156" i="12"/>
  <c r="BK156" i="12"/>
  <c r="BQ156" i="12"/>
  <c r="BN156" i="12"/>
  <c r="BI156" i="12"/>
  <c r="BG156" i="12"/>
  <c r="BH65" i="12"/>
  <c r="BR65" i="12"/>
  <c r="BJ65" i="12"/>
  <c r="BF65" i="12"/>
  <c r="BL65" i="12"/>
  <c r="BD65" i="12"/>
  <c r="BH54" i="12"/>
  <c r="BD54" i="12"/>
  <c r="BL54" i="12"/>
  <c r="BR54" i="12"/>
  <c r="BJ54" i="12"/>
  <c r="BF54" i="12"/>
  <c r="BF131" i="12"/>
  <c r="BD131" i="12"/>
  <c r="BL131" i="12"/>
  <c r="BJ131" i="12"/>
  <c r="BH131" i="12"/>
  <c r="BR131" i="12"/>
  <c r="BH113" i="12"/>
  <c r="BR113" i="12"/>
  <c r="BF113" i="12"/>
  <c r="BD113" i="12"/>
  <c r="BL113" i="12"/>
  <c r="BJ113" i="12"/>
  <c r="BH76" i="12"/>
  <c r="BD76" i="12"/>
  <c r="BL76" i="12"/>
  <c r="BJ76" i="12"/>
  <c r="BF76" i="12"/>
  <c r="BR76" i="12"/>
  <c r="BH137" i="12"/>
  <c r="BF137" i="12"/>
  <c r="BJ137" i="12"/>
  <c r="BL137" i="12"/>
  <c r="BD137" i="12"/>
  <c r="BR137" i="12"/>
  <c r="BN50" i="12"/>
  <c r="BE50" i="12"/>
  <c r="BG50" i="12"/>
  <c r="BQ50" i="12"/>
  <c r="BK50" i="12"/>
  <c r="BI50" i="12"/>
  <c r="BG95" i="12"/>
  <c r="BI95" i="12"/>
  <c r="BQ95" i="12"/>
  <c r="BE95" i="12"/>
  <c r="BN95" i="12"/>
  <c r="BK95" i="12"/>
  <c r="BQ87" i="12"/>
  <c r="BI87" i="12"/>
  <c r="BG87" i="12"/>
  <c r="BN87" i="12"/>
  <c r="BE87" i="12"/>
  <c r="BK87" i="12"/>
  <c r="BH47" i="12"/>
  <c r="BL47" i="12"/>
  <c r="BD47" i="12"/>
  <c r="BJ47" i="12"/>
  <c r="BF47" i="12"/>
  <c r="BR47" i="12"/>
  <c r="BK75" i="12"/>
  <c r="BG75" i="12"/>
  <c r="BQ75" i="12"/>
  <c r="BE75" i="12"/>
  <c r="BI75" i="12"/>
  <c r="BN75" i="12"/>
  <c r="BE124" i="12"/>
  <c r="BQ124" i="12"/>
  <c r="BI124" i="12"/>
  <c r="BG124" i="12"/>
  <c r="BN124" i="12"/>
  <c r="BK124" i="12"/>
  <c r="BH59" i="12"/>
  <c r="BR59" i="12"/>
  <c r="BJ59" i="12"/>
  <c r="BF59" i="12"/>
  <c r="BL59" i="12"/>
  <c r="BD59" i="12"/>
  <c r="BH93" i="12"/>
  <c r="BJ93" i="12"/>
  <c r="BR93" i="12"/>
  <c r="BF93" i="12"/>
  <c r="BL93" i="12"/>
  <c r="BD93" i="12"/>
  <c r="F28" i="34"/>
  <c r="F18" i="34"/>
  <c r="BA12" i="12"/>
  <c r="F23" i="34"/>
  <c r="G26" i="34"/>
  <c r="F50" i="34"/>
  <c r="F26" i="34"/>
  <c r="F30" i="34"/>
  <c r="F27" i="34"/>
  <c r="F29" i="34"/>
  <c r="F20" i="34"/>
  <c r="G50" i="34"/>
  <c r="F24" i="34"/>
  <c r="F19" i="34"/>
  <c r="F17" i="34"/>
  <c r="F21" i="34"/>
  <c r="G31" i="34"/>
  <c r="F25" i="34"/>
  <c r="F31" i="34"/>
  <c r="K52" i="35"/>
  <c r="CO169" i="34"/>
  <c r="CR169" i="34"/>
  <c r="CL169" i="34"/>
  <c r="CI169" i="34"/>
  <c r="CO177" i="34"/>
  <c r="CI177" i="34"/>
  <c r="CR177" i="34"/>
  <c r="CL177" i="34"/>
  <c r="CO167" i="34"/>
  <c r="CI167" i="34"/>
  <c r="CL167" i="34"/>
  <c r="CR167" i="34"/>
  <c r="CS167" i="34" s="1"/>
  <c r="CI168" i="34"/>
  <c r="CR168" i="34"/>
  <c r="CO168" i="34"/>
  <c r="CL168" i="34"/>
  <c r="CO175" i="34"/>
  <c r="CI175" i="34"/>
  <c r="CL175" i="34"/>
  <c r="CR175" i="34"/>
  <c r="CS175" i="34" s="1"/>
  <c r="CI176" i="34"/>
  <c r="CO176" i="34"/>
  <c r="CR176" i="34"/>
  <c r="CL176" i="34"/>
  <c r="CI170" i="34"/>
  <c r="CO170" i="34"/>
  <c r="CL170" i="34"/>
  <c r="CR170" i="34"/>
  <c r="CS170" i="34" s="1"/>
  <c r="CI178" i="34"/>
  <c r="CL178" i="34"/>
  <c r="CR178" i="34"/>
  <c r="CO178" i="34"/>
  <c r="CI166" i="34"/>
  <c r="CO166" i="34"/>
  <c r="CL166" i="34"/>
  <c r="CR166" i="34"/>
  <c r="CS166" i="34" s="1"/>
  <c r="CO173" i="34"/>
  <c r="CR173" i="34"/>
  <c r="CL173" i="34"/>
  <c r="CI173" i="34"/>
  <c r="CI174" i="34"/>
  <c r="CO174" i="34"/>
  <c r="CL174" i="34"/>
  <c r="CR174" i="34"/>
  <c r="CS174" i="34" s="1"/>
  <c r="CO181" i="34"/>
  <c r="CI181" i="34"/>
  <c r="CL181" i="34"/>
  <c r="CR181" i="34"/>
  <c r="CS181" i="34" s="1"/>
  <c r="CI182" i="34"/>
  <c r="CO182" i="34"/>
  <c r="CR182" i="34"/>
  <c r="CL182" i="34"/>
  <c r="CO171" i="34"/>
  <c r="CI171" i="34"/>
  <c r="CR171" i="34"/>
  <c r="CL171" i="34"/>
  <c r="CI172" i="34"/>
  <c r="CL172" i="34"/>
  <c r="CR172" i="34"/>
  <c r="CO172" i="34"/>
  <c r="CO179" i="34"/>
  <c r="CR179" i="34"/>
  <c r="CL179" i="34"/>
  <c r="CI179" i="34"/>
  <c r="CI180" i="34"/>
  <c r="CR180" i="34"/>
  <c r="CO180" i="34"/>
  <c r="CL180" i="34"/>
  <c r="BE165" i="34"/>
  <c r="BB157" i="34"/>
  <c r="K157" i="34"/>
  <c r="D157" i="34"/>
  <c r="D183" i="34" s="1"/>
  <c r="BB16" i="34"/>
  <c r="CL11" i="34"/>
  <c r="CR11" i="34"/>
  <c r="CO11" i="34"/>
  <c r="E24" i="31"/>
  <c r="BS48" i="12" l="1"/>
  <c r="H60" i="31" s="1"/>
  <c r="I60" i="31" s="1"/>
  <c r="BS53" i="12"/>
  <c r="H65" i="31" s="1"/>
  <c r="I65" i="31" s="1"/>
  <c r="BS51" i="12"/>
  <c r="H63" i="31" s="1"/>
  <c r="I63" i="31" s="1"/>
  <c r="BS92" i="12"/>
  <c r="H104" i="31" s="1"/>
  <c r="I104" i="31" s="1"/>
  <c r="BS141" i="12"/>
  <c r="H153" i="31" s="1"/>
  <c r="I153" i="31" s="1"/>
  <c r="BS58" i="12"/>
  <c r="H70" i="31" s="1"/>
  <c r="I70" i="31" s="1"/>
  <c r="BS71" i="12"/>
  <c r="H83" i="31" s="1"/>
  <c r="I83" i="31" s="1"/>
  <c r="BS96" i="12"/>
  <c r="H108" i="31" s="1"/>
  <c r="I108" i="31" s="1"/>
  <c r="BS61" i="12"/>
  <c r="H73" i="31" s="1"/>
  <c r="I73" i="31" s="1"/>
  <c r="BS62" i="12"/>
  <c r="H74" i="31" s="1"/>
  <c r="I74" i="31" s="1"/>
  <c r="BS130" i="12"/>
  <c r="H142" i="31" s="1"/>
  <c r="I142" i="31" s="1"/>
  <c r="BS115" i="12"/>
  <c r="H127" i="31" s="1"/>
  <c r="I127" i="31" s="1"/>
  <c r="BS111" i="12"/>
  <c r="H123" i="31" s="1"/>
  <c r="I123" i="31" s="1"/>
  <c r="BS140" i="12"/>
  <c r="H152" i="31" s="1"/>
  <c r="I152" i="31" s="1"/>
  <c r="BS49" i="12"/>
  <c r="H61" i="31" s="1"/>
  <c r="I61" i="31" s="1"/>
  <c r="BS80" i="12"/>
  <c r="H92" i="31" s="1"/>
  <c r="I92" i="31" s="1"/>
  <c r="BS145" i="12"/>
  <c r="BS77" i="12"/>
  <c r="H89" i="31" s="1"/>
  <c r="I89" i="31" s="1"/>
  <c r="BS69" i="12"/>
  <c r="H81" i="31" s="1"/>
  <c r="I81" i="31" s="1"/>
  <c r="BS64" i="12"/>
  <c r="H76" i="31" s="1"/>
  <c r="I76" i="31" s="1"/>
  <c r="BS131" i="12"/>
  <c r="H143" i="31" s="1"/>
  <c r="I143" i="31" s="1"/>
  <c r="BS154" i="12"/>
  <c r="BS70" i="12"/>
  <c r="H82" i="31" s="1"/>
  <c r="I82" i="31" s="1"/>
  <c r="BS97" i="12"/>
  <c r="H109" i="31" s="1"/>
  <c r="I109" i="31" s="1"/>
  <c r="BS112" i="12"/>
  <c r="H124" i="31" s="1"/>
  <c r="I124" i="31" s="1"/>
  <c r="BS150" i="12"/>
  <c r="BS82" i="12"/>
  <c r="H94" i="31" s="1"/>
  <c r="I94" i="31" s="1"/>
  <c r="BS86" i="12"/>
  <c r="H98" i="31" s="1"/>
  <c r="I98" i="31" s="1"/>
  <c r="BS47" i="12"/>
  <c r="H59" i="31" s="1"/>
  <c r="I59" i="31" s="1"/>
  <c r="BS57" i="12"/>
  <c r="H69" i="31" s="1"/>
  <c r="I69" i="31" s="1"/>
  <c r="BS136" i="12"/>
  <c r="H148" i="31" s="1"/>
  <c r="I148" i="31" s="1"/>
  <c r="BS153" i="12"/>
  <c r="BS56" i="12"/>
  <c r="H68" i="31" s="1"/>
  <c r="I68" i="31" s="1"/>
  <c r="BS50" i="12"/>
  <c r="H62" i="31" s="1"/>
  <c r="I62" i="31" s="1"/>
  <c r="BS65" i="12"/>
  <c r="H77" i="31" s="1"/>
  <c r="I77" i="31" s="1"/>
  <c r="BS84" i="12"/>
  <c r="H96" i="31" s="1"/>
  <c r="I96" i="31" s="1"/>
  <c r="BS93" i="12"/>
  <c r="H105" i="31" s="1"/>
  <c r="I105" i="31" s="1"/>
  <c r="BS76" i="12"/>
  <c r="H88" i="31" s="1"/>
  <c r="I88" i="31" s="1"/>
  <c r="BS118" i="12"/>
  <c r="H130" i="31" s="1"/>
  <c r="I130" i="31" s="1"/>
  <c r="BS79" i="12"/>
  <c r="H91" i="31" s="1"/>
  <c r="I91" i="31" s="1"/>
  <c r="BS142" i="12"/>
  <c r="H154" i="31" s="1"/>
  <c r="I154" i="31" s="1"/>
  <c r="BS117" i="12"/>
  <c r="H129" i="31" s="1"/>
  <c r="I129" i="31" s="1"/>
  <c r="BS54" i="12"/>
  <c r="H66" i="31" s="1"/>
  <c r="I66" i="31" s="1"/>
  <c r="BS128" i="12"/>
  <c r="H140" i="31" s="1"/>
  <c r="I140" i="31" s="1"/>
  <c r="BS78" i="12"/>
  <c r="H90" i="31" s="1"/>
  <c r="I90" i="31" s="1"/>
  <c r="BS103" i="12"/>
  <c r="H115" i="31" s="1"/>
  <c r="I115" i="31" s="1"/>
  <c r="BS113" i="12"/>
  <c r="H125" i="31" s="1"/>
  <c r="I125" i="31" s="1"/>
  <c r="BS120" i="12"/>
  <c r="H132" i="31" s="1"/>
  <c r="I132" i="31" s="1"/>
  <c r="BS133" i="12"/>
  <c r="H145" i="31" s="1"/>
  <c r="I145" i="31" s="1"/>
  <c r="BS83" i="12"/>
  <c r="H95" i="31" s="1"/>
  <c r="I95" i="31" s="1"/>
  <c r="BS102" i="12"/>
  <c r="H114" i="31" s="1"/>
  <c r="I114" i="31" s="1"/>
  <c r="BS147" i="12"/>
  <c r="BS151" i="12"/>
  <c r="BS72" i="12"/>
  <c r="H84" i="31" s="1"/>
  <c r="I84" i="31" s="1"/>
  <c r="BS74" i="12"/>
  <c r="H86" i="31" s="1"/>
  <c r="I86" i="31" s="1"/>
  <c r="BS149" i="12"/>
  <c r="BS146" i="12"/>
  <c r="BS89" i="12"/>
  <c r="H101" i="31" s="1"/>
  <c r="I101" i="31" s="1"/>
  <c r="BS68" i="12"/>
  <c r="H80" i="31" s="1"/>
  <c r="I80" i="31" s="1"/>
  <c r="BS144" i="12"/>
  <c r="H156" i="31" s="1"/>
  <c r="I156" i="31" s="1"/>
  <c r="BS109" i="12"/>
  <c r="H121" i="31" s="1"/>
  <c r="I121" i="31" s="1"/>
  <c r="BS137" i="12"/>
  <c r="H149" i="31" s="1"/>
  <c r="I149" i="31" s="1"/>
  <c r="BS155" i="12"/>
  <c r="BS55" i="12"/>
  <c r="H67" i="31" s="1"/>
  <c r="I67" i="31" s="1"/>
  <c r="BS132" i="12"/>
  <c r="H144" i="31" s="1"/>
  <c r="I144" i="31" s="1"/>
  <c r="BS85" i="12"/>
  <c r="H97" i="31" s="1"/>
  <c r="I97" i="31" s="1"/>
  <c r="BS66" i="12"/>
  <c r="H78" i="31" s="1"/>
  <c r="I78" i="31" s="1"/>
  <c r="BS90" i="12"/>
  <c r="H102" i="31" s="1"/>
  <c r="I102" i="31" s="1"/>
  <c r="BS67" i="12"/>
  <c r="H79" i="31" s="1"/>
  <c r="I79" i="31" s="1"/>
  <c r="BS135" i="12"/>
  <c r="H147" i="31" s="1"/>
  <c r="I147" i="31" s="1"/>
  <c r="BS91" i="12"/>
  <c r="H103" i="31" s="1"/>
  <c r="I103" i="31" s="1"/>
  <c r="BS126" i="12"/>
  <c r="H138" i="31" s="1"/>
  <c r="I138" i="31" s="1"/>
  <c r="BS73" i="12"/>
  <c r="H85" i="31" s="1"/>
  <c r="I85" i="31" s="1"/>
  <c r="BS123" i="12"/>
  <c r="H135" i="31" s="1"/>
  <c r="I135" i="31" s="1"/>
  <c r="BS87" i="12"/>
  <c r="H99" i="31" s="1"/>
  <c r="I99" i="31" s="1"/>
  <c r="BS59" i="12"/>
  <c r="H71" i="31" s="1"/>
  <c r="I71" i="31" s="1"/>
  <c r="BS94" i="12"/>
  <c r="H106" i="31" s="1"/>
  <c r="I106" i="31" s="1"/>
  <c r="BS98" i="12"/>
  <c r="H110" i="31" s="1"/>
  <c r="I110" i="31" s="1"/>
  <c r="BS52" i="12"/>
  <c r="H64" i="31" s="1"/>
  <c r="I64" i="31" s="1"/>
  <c r="BS148" i="12"/>
  <c r="BS105" i="12"/>
  <c r="H117" i="31" s="1"/>
  <c r="I117" i="31" s="1"/>
  <c r="BS116" i="12"/>
  <c r="H128" i="31" s="1"/>
  <c r="I128" i="31" s="1"/>
  <c r="BS138" i="12"/>
  <c r="H150" i="31" s="1"/>
  <c r="I150" i="31" s="1"/>
  <c r="BS63" i="12"/>
  <c r="H75" i="31" s="1"/>
  <c r="I75" i="31" s="1"/>
  <c r="BS124" i="12"/>
  <c r="H136" i="31" s="1"/>
  <c r="I136" i="31" s="1"/>
  <c r="BS108" i="12"/>
  <c r="H120" i="31" s="1"/>
  <c r="I120" i="31" s="1"/>
  <c r="BS95" i="12"/>
  <c r="H107" i="31" s="1"/>
  <c r="I107" i="31" s="1"/>
  <c r="BS114" i="12"/>
  <c r="H126" i="31" s="1"/>
  <c r="I126" i="31" s="1"/>
  <c r="BS106" i="12"/>
  <c r="H118" i="31" s="1"/>
  <c r="I118" i="31" s="1"/>
  <c r="BS129" i="12"/>
  <c r="H141" i="31" s="1"/>
  <c r="I141" i="31" s="1"/>
  <c r="BS127" i="12"/>
  <c r="H139" i="31" s="1"/>
  <c r="I139" i="31" s="1"/>
  <c r="BS156" i="12"/>
  <c r="BS75" i="12"/>
  <c r="H87" i="31" s="1"/>
  <c r="I87" i="31" s="1"/>
  <c r="BS104" i="12"/>
  <c r="H116" i="31" s="1"/>
  <c r="I116" i="31" s="1"/>
  <c r="BS143" i="12"/>
  <c r="H155" i="31" s="1"/>
  <c r="I155" i="31" s="1"/>
  <c r="BS121" i="12"/>
  <c r="H133" i="31" s="1"/>
  <c r="I133" i="31" s="1"/>
  <c r="BS100" i="12"/>
  <c r="H112" i="31" s="1"/>
  <c r="I112" i="31" s="1"/>
  <c r="BS152" i="12"/>
  <c r="BS81" i="12"/>
  <c r="H93" i="31" s="1"/>
  <c r="I93" i="31" s="1"/>
  <c r="G21" i="34"/>
  <c r="CS172" i="34"/>
  <c r="CS171" i="34"/>
  <c r="CS182" i="34"/>
  <c r="CS178" i="34"/>
  <c r="CS176" i="34"/>
  <c r="CS177" i="34"/>
  <c r="CS180" i="34"/>
  <c r="CS179" i="34"/>
  <c r="CS173" i="34"/>
  <c r="CS168" i="34"/>
  <c r="CS169" i="34"/>
  <c r="CI165" i="34"/>
  <c r="CR165" i="34"/>
  <c r="CO165" i="34"/>
  <c r="CL165" i="34"/>
  <c r="CS11" i="34"/>
  <c r="J8" i="30"/>
  <c r="J9" i="30"/>
  <c r="J10" i="30"/>
  <c r="J11" i="30"/>
  <c r="J12" i="30"/>
  <c r="B17" i="29"/>
  <c r="CS165" i="34" l="1"/>
  <c r="A40" i="30"/>
  <c r="G81" i="30"/>
  <c r="N81" i="30" s="1"/>
  <c r="V77" i="30"/>
  <c r="H77" i="30" s="1"/>
  <c r="J77" i="30"/>
  <c r="V72" i="30"/>
  <c r="J72" i="30"/>
  <c r="P72" i="30"/>
  <c r="G69" i="30"/>
  <c r="N69" i="30" s="1"/>
  <c r="V65" i="30"/>
  <c r="H65" i="30" s="1"/>
  <c r="I65" i="30" s="1"/>
  <c r="J65" i="30"/>
  <c r="V64" i="30"/>
  <c r="H64" i="30" s="1"/>
  <c r="I64" i="30" s="1"/>
  <c r="J64" i="30"/>
  <c r="P64" i="30"/>
  <c r="V63" i="30"/>
  <c r="H63" i="30" s="1"/>
  <c r="I63" i="30" s="1"/>
  <c r="J63" i="30"/>
  <c r="V58" i="30"/>
  <c r="H58" i="30" s="1"/>
  <c r="I58" i="30" s="1"/>
  <c r="J58" i="30"/>
  <c r="V53" i="30"/>
  <c r="H53" i="30" s="1"/>
  <c r="I53" i="30" s="1"/>
  <c r="J53" i="30"/>
  <c r="P53" i="30"/>
  <c r="V52" i="30"/>
  <c r="H52" i="30" s="1"/>
  <c r="I52" i="30" s="1"/>
  <c r="J52" i="30"/>
  <c r="P52" i="30"/>
  <c r="V51" i="30"/>
  <c r="H51" i="30" s="1"/>
  <c r="I51" i="30" s="1"/>
  <c r="J51" i="30"/>
  <c r="P51" i="30"/>
  <c r="V50" i="30"/>
  <c r="H50" i="30" s="1"/>
  <c r="I50" i="30" s="1"/>
  <c r="J50" i="30"/>
  <c r="P50" i="30"/>
  <c r="V49" i="30"/>
  <c r="H49" i="30" s="1"/>
  <c r="I49" i="30" s="1"/>
  <c r="O49" i="30"/>
  <c r="J49" i="30"/>
  <c r="P49" i="30"/>
  <c r="V48" i="30"/>
  <c r="H48" i="30" s="1"/>
  <c r="J48" i="30"/>
  <c r="G45" i="30"/>
  <c r="G86" i="30" s="1"/>
  <c r="V41" i="30"/>
  <c r="H41" i="30" s="1"/>
  <c r="I41" i="30" s="1"/>
  <c r="Q41" i="30"/>
  <c r="J41" i="30"/>
  <c r="P41" i="30"/>
  <c r="V40" i="30"/>
  <c r="H40" i="30" s="1"/>
  <c r="I40" i="30" s="1"/>
  <c r="J40" i="30"/>
  <c r="V39" i="30"/>
  <c r="H39" i="30" s="1"/>
  <c r="I39" i="30" s="1"/>
  <c r="J39" i="30"/>
  <c r="V38" i="30"/>
  <c r="H38" i="30" s="1"/>
  <c r="J38" i="30"/>
  <c r="V34" i="30"/>
  <c r="H34" i="30" s="1"/>
  <c r="I34" i="30" s="1"/>
  <c r="R34" i="30"/>
  <c r="P34" i="30"/>
  <c r="J34" i="30"/>
  <c r="V33" i="30"/>
  <c r="H33" i="30" s="1"/>
  <c r="I33" i="30" s="1"/>
  <c r="P33" i="30"/>
  <c r="J33" i="30"/>
  <c r="Q33" i="30"/>
  <c r="V32" i="30"/>
  <c r="H32" i="30" s="1"/>
  <c r="I32" i="30" s="1"/>
  <c r="N32" i="30"/>
  <c r="J32" i="30"/>
  <c r="P32" i="30"/>
  <c r="V31" i="30"/>
  <c r="H31" i="30" s="1"/>
  <c r="I31" i="30" s="1"/>
  <c r="R31" i="30"/>
  <c r="O31" i="30"/>
  <c r="L31" i="30"/>
  <c r="M31" i="30" s="1"/>
  <c r="J31" i="30"/>
  <c r="Q31" i="30"/>
  <c r="V30" i="30"/>
  <c r="H30" i="30" s="1"/>
  <c r="I30" i="30" s="1"/>
  <c r="R30" i="30"/>
  <c r="P30" i="30"/>
  <c r="J30" i="30"/>
  <c r="N30" i="30"/>
  <c r="V29" i="30"/>
  <c r="H29" i="30" s="1"/>
  <c r="I29" i="30" s="1"/>
  <c r="O29" i="30"/>
  <c r="T29" i="30" s="1"/>
  <c r="J29" i="30"/>
  <c r="R29" i="30"/>
  <c r="V28" i="30"/>
  <c r="Q28" i="30"/>
  <c r="O28" i="30"/>
  <c r="T28" i="30" s="1"/>
  <c r="J28" i="30"/>
  <c r="H28" i="30"/>
  <c r="I28" i="30" s="1"/>
  <c r="P28" i="30"/>
  <c r="V27" i="30"/>
  <c r="H27" i="30" s="1"/>
  <c r="I27" i="30" s="1"/>
  <c r="Q27" i="30"/>
  <c r="O27" i="30"/>
  <c r="T27" i="30" s="1"/>
  <c r="J27" i="30"/>
  <c r="R27" i="30"/>
  <c r="V26" i="30"/>
  <c r="H26" i="30" s="1"/>
  <c r="I26" i="30" s="1"/>
  <c r="Q26" i="30"/>
  <c r="O26" i="30"/>
  <c r="T26" i="30" s="1"/>
  <c r="J26" i="30"/>
  <c r="P26" i="30"/>
  <c r="V25" i="30"/>
  <c r="H25" i="30" s="1"/>
  <c r="R25" i="30" s="1"/>
  <c r="Q25" i="30"/>
  <c r="O25" i="30"/>
  <c r="T25" i="30" s="1"/>
  <c r="N25" i="30"/>
  <c r="J25" i="30"/>
  <c r="P25" i="30"/>
  <c r="V24" i="30"/>
  <c r="H24" i="30" s="1"/>
  <c r="I24" i="30" s="1"/>
  <c r="O24" i="30"/>
  <c r="T24" i="30" s="1"/>
  <c r="J24" i="30"/>
  <c r="P24" i="30"/>
  <c r="V23" i="30"/>
  <c r="H23" i="30" s="1"/>
  <c r="I23" i="30" s="1"/>
  <c r="R23" i="30"/>
  <c r="Q23" i="30"/>
  <c r="O23" i="30"/>
  <c r="T23" i="30" s="1"/>
  <c r="N23" i="30"/>
  <c r="J23" i="30"/>
  <c r="P23" i="30"/>
  <c r="V22" i="30"/>
  <c r="H22" i="30" s="1"/>
  <c r="I22" i="30" s="1"/>
  <c r="Q22" i="30"/>
  <c r="O22" i="30"/>
  <c r="T22" i="30" s="1"/>
  <c r="J22" i="30"/>
  <c r="P22" i="30"/>
  <c r="V21" i="30"/>
  <c r="H21" i="30" s="1"/>
  <c r="I21" i="30" s="1"/>
  <c r="R21" i="30"/>
  <c r="Q21" i="30"/>
  <c r="O21" i="30"/>
  <c r="T21" i="30" s="1"/>
  <c r="N21" i="30"/>
  <c r="J21" i="30"/>
  <c r="P21" i="30"/>
  <c r="V20" i="30"/>
  <c r="H20" i="30" s="1"/>
  <c r="I20" i="30" s="1"/>
  <c r="J20" i="30"/>
  <c r="V19" i="30"/>
  <c r="H19" i="30" s="1"/>
  <c r="I19" i="30" s="1"/>
  <c r="J19" i="30"/>
  <c r="V18" i="30"/>
  <c r="H18" i="30" s="1"/>
  <c r="I18" i="30" s="1"/>
  <c r="J18" i="30"/>
  <c r="V17" i="30"/>
  <c r="H17" i="30" s="1"/>
  <c r="I17" i="30" s="1"/>
  <c r="J17" i="30"/>
  <c r="V16" i="30"/>
  <c r="H16" i="30" s="1"/>
  <c r="I16" i="30" s="1"/>
  <c r="J16" i="30"/>
  <c r="V15" i="30"/>
  <c r="H15" i="30" s="1"/>
  <c r="I15" i="30" s="1"/>
  <c r="J15" i="30"/>
  <c r="V14" i="30"/>
  <c r="H14" i="30" s="1"/>
  <c r="I14" i="30" s="1"/>
  <c r="J14" i="30"/>
  <c r="V13" i="30"/>
  <c r="J13" i="30"/>
  <c r="H13" i="30"/>
  <c r="I13" i="30" s="1"/>
  <c r="V12" i="30"/>
  <c r="H12" i="30" s="1"/>
  <c r="I12" i="30" s="1"/>
  <c r="V11" i="30"/>
  <c r="H11" i="30" s="1"/>
  <c r="I11" i="30" s="1"/>
  <c r="V10" i="30"/>
  <c r="H10" i="30" s="1"/>
  <c r="I10" i="30" s="1"/>
  <c r="V9" i="30"/>
  <c r="H9" i="30" s="1"/>
  <c r="V8" i="30"/>
  <c r="B25" i="29"/>
  <c r="B24" i="29"/>
  <c r="A77" i="30" s="1"/>
  <c r="B22" i="29"/>
  <c r="B21" i="29"/>
  <c r="A63" i="30" s="1"/>
  <c r="B20" i="29"/>
  <c r="A48" i="30" s="1"/>
  <c r="B19" i="29"/>
  <c r="A58" i="30" s="1"/>
  <c r="B16" i="29"/>
  <c r="A39" i="30" s="1"/>
  <c r="B15" i="29"/>
  <c r="A38" i="30" s="1"/>
  <c r="B14" i="29"/>
  <c r="A19" i="30" s="1"/>
  <c r="B13" i="29"/>
  <c r="A18" i="30" s="1"/>
  <c r="B12" i="29"/>
  <c r="A17" i="30" s="1"/>
  <c r="B11" i="29"/>
  <c r="A16" i="30" s="1"/>
  <c r="B10" i="29"/>
  <c r="A15" i="30" s="1"/>
  <c r="B9" i="29"/>
  <c r="A14" i="30" s="1"/>
  <c r="B8" i="29"/>
  <c r="A13" i="30" s="1"/>
  <c r="B7" i="29"/>
  <c r="A12" i="30" s="1"/>
  <c r="B6" i="29"/>
  <c r="A11" i="30" s="1"/>
  <c r="B5" i="29"/>
  <c r="A10" i="30" s="1"/>
  <c r="B4" i="29"/>
  <c r="A9" i="30" s="1"/>
  <c r="B3" i="29"/>
  <c r="A8" i="30" s="1"/>
  <c r="V81" i="30" l="1"/>
  <c r="H81" i="30" s="1"/>
  <c r="I81" i="30" s="1"/>
  <c r="R49" i="30"/>
  <c r="O51" i="30"/>
  <c r="T51" i="30" s="1"/>
  <c r="V45" i="30"/>
  <c r="O53" i="30"/>
  <c r="T53" i="30" s="1"/>
  <c r="R51" i="30"/>
  <c r="R64" i="30"/>
  <c r="I9" i="30"/>
  <c r="V69" i="30"/>
  <c r="Q49" i="30"/>
  <c r="Q51" i="30"/>
  <c r="R53" i="30"/>
  <c r="J69" i="30"/>
  <c r="H72" i="30"/>
  <c r="I72" i="30" s="1"/>
  <c r="D74" i="30"/>
  <c r="I77" i="30"/>
  <c r="J81" i="30"/>
  <c r="N64" i="30"/>
  <c r="Q64" i="30" s="1"/>
  <c r="I38" i="30"/>
  <c r="N49" i="30"/>
  <c r="T49" i="30"/>
  <c r="N51" i="30"/>
  <c r="N53" i="30"/>
  <c r="Q53" i="30" s="1"/>
  <c r="O64" i="30"/>
  <c r="T64" i="30" s="1"/>
  <c r="Q72" i="30"/>
  <c r="H8" i="30"/>
  <c r="I8" i="30" s="1"/>
  <c r="L21" i="30"/>
  <c r="M21" i="30" s="1"/>
  <c r="N22" i="30"/>
  <c r="R22" i="30"/>
  <c r="L23" i="30"/>
  <c r="M23" i="30" s="1"/>
  <c r="N24" i="30"/>
  <c r="Q24" i="30" s="1"/>
  <c r="R24" i="30"/>
  <c r="L25" i="30"/>
  <c r="M25" i="30" s="1"/>
  <c r="N26" i="30"/>
  <c r="R26" i="30"/>
  <c r="L27" i="30"/>
  <c r="M27" i="30" s="1"/>
  <c r="P27" i="30"/>
  <c r="N28" i="30"/>
  <c r="R28" i="30"/>
  <c r="L29" i="30"/>
  <c r="M29" i="30" s="1"/>
  <c r="P29" i="30"/>
  <c r="P31" i="30"/>
  <c r="L33" i="30"/>
  <c r="M33" i="30" s="1"/>
  <c r="R33" i="30"/>
  <c r="O34" i="30"/>
  <c r="T34" i="30" s="1"/>
  <c r="L34" i="30"/>
  <c r="M34" i="30" s="1"/>
  <c r="Q34" i="30"/>
  <c r="H45" i="30"/>
  <c r="O32" i="30"/>
  <c r="T32" i="30" s="1"/>
  <c r="L32" i="30"/>
  <c r="M32" i="30" s="1"/>
  <c r="Q32" i="30"/>
  <c r="N33" i="30"/>
  <c r="H69" i="30"/>
  <c r="I48" i="30"/>
  <c r="I69" i="30" s="1"/>
  <c r="L22" i="30"/>
  <c r="M22" i="30" s="1"/>
  <c r="L24" i="30"/>
  <c r="M24" i="30" s="1"/>
  <c r="I25" i="30"/>
  <c r="L26" i="30"/>
  <c r="M26" i="30" s="1"/>
  <c r="N27" i="30"/>
  <c r="L28" i="30"/>
  <c r="M28" i="30" s="1"/>
  <c r="N29" i="30"/>
  <c r="Q29" i="30" s="1"/>
  <c r="O30" i="30"/>
  <c r="T30" i="30" s="1"/>
  <c r="L30" i="30"/>
  <c r="M30" i="30" s="1"/>
  <c r="Q30" i="30"/>
  <c r="N31" i="30"/>
  <c r="T31" i="30"/>
  <c r="R32" i="30"/>
  <c r="O33" i="30"/>
  <c r="T33" i="30" s="1"/>
  <c r="N34" i="30"/>
  <c r="J86" i="30"/>
  <c r="N41" i="30"/>
  <c r="R41" i="30"/>
  <c r="J45" i="30"/>
  <c r="L49" i="30"/>
  <c r="M49" i="30" s="1"/>
  <c r="N50" i="30"/>
  <c r="Q50" i="30" s="1"/>
  <c r="R50" i="30"/>
  <c r="L51" i="30"/>
  <c r="M51" i="30" s="1"/>
  <c r="N52" i="30"/>
  <c r="Q52" i="30" s="1"/>
  <c r="R52" i="30"/>
  <c r="L53" i="30"/>
  <c r="M53" i="30" s="1"/>
  <c r="L64" i="30"/>
  <c r="M64" i="30" s="1"/>
  <c r="N72" i="30"/>
  <c r="R72" i="30"/>
  <c r="O41" i="30"/>
  <c r="T41" i="30" s="1"/>
  <c r="O50" i="30"/>
  <c r="T50" i="30" s="1"/>
  <c r="O52" i="30"/>
  <c r="T52" i="30" s="1"/>
  <c r="O72" i="30"/>
  <c r="T72" i="30" s="1"/>
  <c r="L41" i="30"/>
  <c r="M41" i="30" s="1"/>
  <c r="L50" i="30"/>
  <c r="M50" i="30" s="1"/>
  <c r="L52" i="30"/>
  <c r="M52" i="30" s="1"/>
  <c r="L72" i="30"/>
  <c r="M72" i="30" s="1"/>
  <c r="BP12" i="12"/>
  <c r="BM12" i="12"/>
  <c r="F43" i="34"/>
  <c r="AS12" i="12"/>
  <c r="U12" i="12"/>
  <c r="W12" i="12" s="1"/>
  <c r="F41" i="34"/>
  <c r="F40" i="34"/>
  <c r="F39" i="34"/>
  <c r="AG12" i="12"/>
  <c r="AK12" i="12"/>
  <c r="AY12" i="12"/>
  <c r="AQ12" i="12"/>
  <c r="AM12" i="12"/>
  <c r="Q12" i="12"/>
  <c r="S12" i="12" s="1"/>
  <c r="G12" i="12"/>
  <c r="BO130" i="12" l="1"/>
  <c r="BT130" i="12" s="1"/>
  <c r="BU130" i="12" s="1"/>
  <c r="BO118" i="12"/>
  <c r="BT118" i="12" s="1"/>
  <c r="BU118" i="12" s="1"/>
  <c r="BO97" i="12"/>
  <c r="BT97" i="12" s="1"/>
  <c r="BU97" i="12" s="1"/>
  <c r="BO58" i="12"/>
  <c r="BT58" i="12" s="1"/>
  <c r="BU58" i="12" s="1"/>
  <c r="BO88" i="12"/>
  <c r="BT88" i="12" s="1"/>
  <c r="BU88" i="12" s="1"/>
  <c r="BO134" i="12"/>
  <c r="BT134" i="12" s="1"/>
  <c r="BU134" i="12" s="1"/>
  <c r="BO133" i="12"/>
  <c r="BT133" i="12" s="1"/>
  <c r="BU133" i="12" s="1"/>
  <c r="BO155" i="12"/>
  <c r="BT155" i="12" s="1"/>
  <c r="BU155" i="12" s="1"/>
  <c r="BO115" i="12"/>
  <c r="BT115" i="12" s="1"/>
  <c r="BU115" i="12" s="1"/>
  <c r="BO49" i="12"/>
  <c r="BT49" i="12" s="1"/>
  <c r="BU49" i="12" s="1"/>
  <c r="BO125" i="12"/>
  <c r="BT125" i="12" s="1"/>
  <c r="BU125" i="12" s="1"/>
  <c r="BO146" i="12"/>
  <c r="BT146" i="12" s="1"/>
  <c r="BU146" i="12" s="1"/>
  <c r="BO63" i="12"/>
  <c r="BT63" i="12" s="1"/>
  <c r="BU63" i="12" s="1"/>
  <c r="BO82" i="12"/>
  <c r="BT82" i="12" s="1"/>
  <c r="BU82" i="12" s="1"/>
  <c r="BO135" i="12"/>
  <c r="BT135" i="12" s="1"/>
  <c r="BU135" i="12" s="1"/>
  <c r="BO121" i="12"/>
  <c r="BT121" i="12" s="1"/>
  <c r="BU121" i="12" s="1"/>
  <c r="BO66" i="12"/>
  <c r="BT66" i="12" s="1"/>
  <c r="BU66" i="12" s="1"/>
  <c r="BO60" i="12"/>
  <c r="BT60" i="12" s="1"/>
  <c r="BU60" i="12" s="1"/>
  <c r="BO64" i="12"/>
  <c r="BT64" i="12" s="1"/>
  <c r="BU64" i="12" s="1"/>
  <c r="BO102" i="12"/>
  <c r="BT102" i="12" s="1"/>
  <c r="BU102" i="12" s="1"/>
  <c r="BO144" i="12"/>
  <c r="BT144" i="12" s="1"/>
  <c r="BU144" i="12" s="1"/>
  <c r="BO50" i="12"/>
  <c r="BT50" i="12" s="1"/>
  <c r="BU50" i="12" s="1"/>
  <c r="BO65" i="12"/>
  <c r="BT65" i="12" s="1"/>
  <c r="BU65" i="12" s="1"/>
  <c r="BO113" i="12"/>
  <c r="BT113" i="12" s="1"/>
  <c r="BU113" i="12" s="1"/>
  <c r="BO47" i="12"/>
  <c r="BT47" i="12" s="1"/>
  <c r="BU47" i="12" s="1"/>
  <c r="BO139" i="12"/>
  <c r="BT139" i="12" s="1"/>
  <c r="BU139" i="12" s="1"/>
  <c r="BO92" i="12"/>
  <c r="BT92" i="12" s="1"/>
  <c r="BU92" i="12" s="1"/>
  <c r="BO62" i="12"/>
  <c r="BT62" i="12" s="1"/>
  <c r="BU62" i="12" s="1"/>
  <c r="BO104" i="12"/>
  <c r="BT104" i="12" s="1"/>
  <c r="BU104" i="12" s="1"/>
  <c r="BO48" i="12"/>
  <c r="BT48" i="12" s="1"/>
  <c r="BU48" i="12" s="1"/>
  <c r="BO86" i="12"/>
  <c r="BT86" i="12" s="1"/>
  <c r="BU86" i="12" s="1"/>
  <c r="BO91" i="12"/>
  <c r="BT91" i="12" s="1"/>
  <c r="BU91" i="12" s="1"/>
  <c r="BO94" i="12"/>
  <c r="BT94" i="12" s="1"/>
  <c r="BU94" i="12" s="1"/>
  <c r="BO127" i="12"/>
  <c r="BT127" i="12" s="1"/>
  <c r="BU127" i="12" s="1"/>
  <c r="BO124" i="12"/>
  <c r="BT124" i="12" s="1"/>
  <c r="BU124" i="12" s="1"/>
  <c r="BO131" i="12"/>
  <c r="BT131" i="12" s="1"/>
  <c r="BU131" i="12" s="1"/>
  <c r="BO111" i="12"/>
  <c r="BT111" i="12" s="1"/>
  <c r="BU111" i="12" s="1"/>
  <c r="BO85" i="12"/>
  <c r="BT85" i="12" s="1"/>
  <c r="BU85" i="12" s="1"/>
  <c r="BO136" i="12"/>
  <c r="BT136" i="12" s="1"/>
  <c r="BU136" i="12" s="1"/>
  <c r="BO110" i="12"/>
  <c r="BT110" i="12" s="1"/>
  <c r="BU110" i="12" s="1"/>
  <c r="BO140" i="12"/>
  <c r="BT140" i="12" s="1"/>
  <c r="BU140" i="12" s="1"/>
  <c r="BO78" i="12"/>
  <c r="BT78" i="12" s="1"/>
  <c r="BU78" i="12" s="1"/>
  <c r="BO151" i="12"/>
  <c r="BT151" i="12" s="1"/>
  <c r="BU151" i="12" s="1"/>
  <c r="BO107" i="12"/>
  <c r="BT107" i="12" s="1"/>
  <c r="BU107" i="12" s="1"/>
  <c r="BO153" i="12"/>
  <c r="BT153" i="12" s="1"/>
  <c r="BU153" i="12" s="1"/>
  <c r="BO103" i="12"/>
  <c r="BT103" i="12" s="1"/>
  <c r="BU103" i="12" s="1"/>
  <c r="BO69" i="12"/>
  <c r="BT69" i="12" s="1"/>
  <c r="BU69" i="12" s="1"/>
  <c r="BO105" i="12"/>
  <c r="BT105" i="12" s="1"/>
  <c r="BU105" i="12" s="1"/>
  <c r="BO61" i="12"/>
  <c r="BT61" i="12" s="1"/>
  <c r="BU61" i="12" s="1"/>
  <c r="BO100" i="12"/>
  <c r="BT100" i="12" s="1"/>
  <c r="BU100" i="12" s="1"/>
  <c r="BO89" i="12"/>
  <c r="BT89" i="12" s="1"/>
  <c r="BU89" i="12" s="1"/>
  <c r="BO67" i="12"/>
  <c r="BT67" i="12" s="1"/>
  <c r="BU67" i="12" s="1"/>
  <c r="BO150" i="12"/>
  <c r="BT150" i="12" s="1"/>
  <c r="BU150" i="12" s="1"/>
  <c r="BO129" i="12"/>
  <c r="BT129" i="12" s="1"/>
  <c r="BU129" i="12" s="1"/>
  <c r="BO77" i="12"/>
  <c r="BT77" i="12" s="1"/>
  <c r="BU77" i="12" s="1"/>
  <c r="BO71" i="12"/>
  <c r="BT71" i="12" s="1"/>
  <c r="BU71" i="12" s="1"/>
  <c r="BO68" i="12"/>
  <c r="BT68" i="12" s="1"/>
  <c r="BU68" i="12" s="1"/>
  <c r="BO87" i="12"/>
  <c r="BT87" i="12" s="1"/>
  <c r="BU87" i="12" s="1"/>
  <c r="BO120" i="12"/>
  <c r="BT120" i="12" s="1"/>
  <c r="BU120" i="12" s="1"/>
  <c r="BO56" i="12"/>
  <c r="BT56" i="12" s="1"/>
  <c r="BU56" i="12" s="1"/>
  <c r="BO152" i="12"/>
  <c r="BT152" i="12" s="1"/>
  <c r="BU152" i="12" s="1"/>
  <c r="BO52" i="12"/>
  <c r="BT52" i="12" s="1"/>
  <c r="BU52" i="12" s="1"/>
  <c r="BO109" i="12"/>
  <c r="BT109" i="12" s="1"/>
  <c r="BU109" i="12" s="1"/>
  <c r="BO51" i="12"/>
  <c r="BT51" i="12" s="1"/>
  <c r="BU51" i="12" s="1"/>
  <c r="BO73" i="12"/>
  <c r="BT73" i="12" s="1"/>
  <c r="BU73" i="12" s="1"/>
  <c r="BO55" i="12"/>
  <c r="BT55" i="12" s="1"/>
  <c r="BU55" i="12" s="1"/>
  <c r="BO93" i="12"/>
  <c r="BT93" i="12" s="1"/>
  <c r="BU93" i="12" s="1"/>
  <c r="BO114" i="12"/>
  <c r="BT114" i="12" s="1"/>
  <c r="BU114" i="12" s="1"/>
  <c r="BO80" i="12"/>
  <c r="BT80" i="12" s="1"/>
  <c r="BU80" i="12" s="1"/>
  <c r="BO128" i="12"/>
  <c r="BT128" i="12" s="1"/>
  <c r="BU128" i="12" s="1"/>
  <c r="BO112" i="12"/>
  <c r="BT112" i="12" s="1"/>
  <c r="BU112" i="12" s="1"/>
  <c r="BO90" i="12"/>
  <c r="BT90" i="12" s="1"/>
  <c r="BU90" i="12" s="1"/>
  <c r="BO123" i="12"/>
  <c r="BT123" i="12" s="1"/>
  <c r="BU123" i="12" s="1"/>
  <c r="BO99" i="12"/>
  <c r="BT99" i="12" s="1"/>
  <c r="BU99" i="12" s="1"/>
  <c r="BO149" i="12"/>
  <c r="BT149" i="12" s="1"/>
  <c r="BU149" i="12" s="1"/>
  <c r="BO143" i="12"/>
  <c r="BT143" i="12" s="1"/>
  <c r="BU143" i="12" s="1"/>
  <c r="BO106" i="12"/>
  <c r="BT106" i="12" s="1"/>
  <c r="BU106" i="12" s="1"/>
  <c r="BO53" i="12"/>
  <c r="BT53" i="12" s="1"/>
  <c r="BU53" i="12" s="1"/>
  <c r="BO141" i="12"/>
  <c r="BT141" i="12" s="1"/>
  <c r="BU141" i="12" s="1"/>
  <c r="BO84" i="12"/>
  <c r="BT84" i="12" s="1"/>
  <c r="BU84" i="12" s="1"/>
  <c r="BO142" i="12"/>
  <c r="BT142" i="12" s="1"/>
  <c r="BU142" i="12" s="1"/>
  <c r="BO132" i="12"/>
  <c r="BT132" i="12" s="1"/>
  <c r="BU132" i="12" s="1"/>
  <c r="BO57" i="12"/>
  <c r="BT57" i="12" s="1"/>
  <c r="BU57" i="12" s="1"/>
  <c r="BO76" i="12"/>
  <c r="BT76" i="12" s="1"/>
  <c r="BU76" i="12" s="1"/>
  <c r="BO147" i="12"/>
  <c r="BT147" i="12" s="1"/>
  <c r="BU147" i="12" s="1"/>
  <c r="BO70" i="12"/>
  <c r="BT70" i="12" s="1"/>
  <c r="BU70" i="12" s="1"/>
  <c r="BO148" i="12"/>
  <c r="BT148" i="12" s="1"/>
  <c r="BU148" i="12" s="1"/>
  <c r="BO117" i="12"/>
  <c r="BT117" i="12" s="1"/>
  <c r="BU117" i="12" s="1"/>
  <c r="BO75" i="12"/>
  <c r="BT75" i="12" s="1"/>
  <c r="BU75" i="12" s="1"/>
  <c r="BO101" i="12"/>
  <c r="BT101" i="12" s="1"/>
  <c r="BU101" i="12" s="1"/>
  <c r="BO74" i="12"/>
  <c r="BT74" i="12" s="1"/>
  <c r="BU74" i="12" s="1"/>
  <c r="BO116" i="12"/>
  <c r="BT116" i="12" s="1"/>
  <c r="BU116" i="12" s="1"/>
  <c r="BO98" i="12"/>
  <c r="BT98" i="12" s="1"/>
  <c r="BU98" i="12" s="1"/>
  <c r="BO156" i="12"/>
  <c r="BT156" i="12" s="1"/>
  <c r="BU156" i="12" s="1"/>
  <c r="BO81" i="12"/>
  <c r="BT81" i="12" s="1"/>
  <c r="BU81" i="12" s="1"/>
  <c r="BO95" i="12"/>
  <c r="BT95" i="12" s="1"/>
  <c r="BU95" i="12" s="1"/>
  <c r="BO83" i="12"/>
  <c r="BT83" i="12" s="1"/>
  <c r="BU83" i="12" s="1"/>
  <c r="BO96" i="12"/>
  <c r="BT96" i="12" s="1"/>
  <c r="BU96" i="12" s="1"/>
  <c r="BO79" i="12"/>
  <c r="BT79" i="12" s="1"/>
  <c r="BU79" i="12" s="1"/>
  <c r="BO54" i="12"/>
  <c r="BT54" i="12" s="1"/>
  <c r="BU54" i="12" s="1"/>
  <c r="BO59" i="12"/>
  <c r="BT59" i="12" s="1"/>
  <c r="BU59" i="12" s="1"/>
  <c r="BO108" i="12"/>
  <c r="BT108" i="12" s="1"/>
  <c r="BU108" i="12" s="1"/>
  <c r="BO154" i="12"/>
  <c r="BT154" i="12" s="1"/>
  <c r="BU154" i="12" s="1"/>
  <c r="BO122" i="12"/>
  <c r="BT122" i="12" s="1"/>
  <c r="BU122" i="12" s="1"/>
  <c r="BO119" i="12"/>
  <c r="BT119" i="12" s="1"/>
  <c r="BU119" i="12" s="1"/>
  <c r="BO72" i="12"/>
  <c r="BT72" i="12" s="1"/>
  <c r="BU72" i="12" s="1"/>
  <c r="BO137" i="12"/>
  <c r="BT137" i="12" s="1"/>
  <c r="BU137" i="12" s="1"/>
  <c r="BO126" i="12"/>
  <c r="BT126" i="12" s="1"/>
  <c r="BU126" i="12" s="1"/>
  <c r="BO138" i="12"/>
  <c r="BT138" i="12" s="1"/>
  <c r="BU138" i="12" s="1"/>
  <c r="BO145" i="12"/>
  <c r="BT145" i="12" s="1"/>
  <c r="BU145" i="12" s="1"/>
  <c r="F16" i="34"/>
  <c r="AW12" i="12"/>
  <c r="Y12" i="12"/>
  <c r="Z12" i="12" s="1"/>
  <c r="AA12" i="12" s="1"/>
  <c r="AB12" i="12" s="1"/>
  <c r="AC12" i="12" s="1"/>
  <c r="G38" i="34"/>
  <c r="F38" i="34"/>
  <c r="G36" i="34"/>
  <c r="F36" i="34"/>
  <c r="AY157" i="12"/>
  <c r="C17" i="29" s="1"/>
  <c r="V86" i="30"/>
  <c r="H86" i="30"/>
  <c r="I45" i="30"/>
  <c r="I86" i="30" s="1"/>
  <c r="AK157" i="12"/>
  <c r="AS157" i="12"/>
  <c r="AQ157" i="12"/>
  <c r="G17" i="34"/>
  <c r="AE12" i="12"/>
  <c r="K12" i="12"/>
  <c r="L12" i="12" s="1"/>
  <c r="AO12" i="12"/>
  <c r="AI12" i="12"/>
  <c r="G40" i="34"/>
  <c r="G39" i="34"/>
  <c r="G41" i="34"/>
  <c r="I12" i="12"/>
  <c r="D17" i="29" l="1"/>
  <c r="G16" i="34"/>
  <c r="AM157" i="12"/>
  <c r="C11" i="29" s="1"/>
  <c r="C13" i="29"/>
  <c r="C10" i="29"/>
  <c r="C14" i="29"/>
  <c r="AU12" i="12"/>
  <c r="M12" i="12"/>
  <c r="D40" i="30" l="1"/>
  <c r="L40" i="30" s="1"/>
  <c r="M40" i="30" s="1"/>
  <c r="E17" i="29"/>
  <c r="N12" i="12"/>
  <c r="BB12" i="12" s="1"/>
  <c r="BN12" i="12" s="1"/>
  <c r="M157" i="12"/>
  <c r="D14" i="29"/>
  <c r="D11" i="29"/>
  <c r="D13" i="29"/>
  <c r="D10" i="29"/>
  <c r="R40" i="30" l="1"/>
  <c r="D19" i="30"/>
  <c r="P19" i="30" s="1"/>
  <c r="E14" i="29"/>
  <c r="O40" i="30"/>
  <c r="T40" i="30" s="1"/>
  <c r="N40" i="30"/>
  <c r="Q40" i="30" s="1"/>
  <c r="D15" i="30"/>
  <c r="O15" i="30" s="1"/>
  <c r="T15" i="30" s="1"/>
  <c r="E10" i="29"/>
  <c r="P40" i="30"/>
  <c r="D18" i="30"/>
  <c r="N18" i="30" s="1"/>
  <c r="Q18" i="30" s="1"/>
  <c r="E13" i="29"/>
  <c r="D16" i="30"/>
  <c r="P16" i="30" s="1"/>
  <c r="E11" i="29"/>
  <c r="O12" i="12"/>
  <c r="BC12" i="12" s="1"/>
  <c r="BH12" i="12" s="1"/>
  <c r="BG12" i="12"/>
  <c r="BK12" i="12"/>
  <c r="BQ12" i="12"/>
  <c r="L16" i="30"/>
  <c r="M16" i="30" s="1"/>
  <c r="R16" i="30"/>
  <c r="BI12" i="12"/>
  <c r="BE12" i="12"/>
  <c r="BD12" i="12" l="1"/>
  <c r="BR12" i="12"/>
  <c r="BO12" i="12"/>
  <c r="BF12" i="12"/>
  <c r="N16" i="30"/>
  <c r="Q16" i="30" s="1"/>
  <c r="BL12" i="12"/>
  <c r="O16" i="30"/>
  <c r="T16" i="30" s="1"/>
  <c r="BJ12" i="12"/>
  <c r="BT12" i="12" s="1"/>
  <c r="L18" i="30"/>
  <c r="M18" i="30" s="1"/>
  <c r="O19" i="30"/>
  <c r="T19" i="30" s="1"/>
  <c r="N19" i="30"/>
  <c r="Q19" i="30" s="1"/>
  <c r="O18" i="30"/>
  <c r="T18" i="30" s="1"/>
  <c r="P18" i="30"/>
  <c r="L19" i="30"/>
  <c r="M19" i="30" s="1"/>
  <c r="R18" i="30"/>
  <c r="R19" i="30"/>
  <c r="L15" i="30"/>
  <c r="M15" i="30" s="1"/>
  <c r="P15" i="30"/>
  <c r="N15" i="30"/>
  <c r="Q15" i="30" s="1"/>
  <c r="R15" i="30"/>
  <c r="BS12" i="12"/>
  <c r="H16" i="34" l="1"/>
  <c r="BD16" i="34" s="1"/>
  <c r="BE16" i="34" s="1"/>
  <c r="CR16" i="34" s="1"/>
  <c r="BU12" i="12"/>
  <c r="I16" i="34"/>
  <c r="W157" i="12"/>
  <c r="G19" i="34"/>
  <c r="G29" i="34"/>
  <c r="F34" i="34"/>
  <c r="CO16" i="34" l="1"/>
  <c r="CL16" i="34"/>
  <c r="CI16" i="34"/>
  <c r="C5" i="29"/>
  <c r="G34" i="34"/>
  <c r="G20" i="34"/>
  <c r="G24" i="34"/>
  <c r="D5" i="29" l="1"/>
  <c r="CS16" i="34"/>
  <c r="AG157" i="12"/>
  <c r="D10" i="30" l="1"/>
  <c r="O10" i="30" s="1"/>
  <c r="T10" i="30" s="1"/>
  <c r="E5" i="29"/>
  <c r="C8" i="29"/>
  <c r="F49" i="34"/>
  <c r="F48" i="34"/>
  <c r="F47" i="34"/>
  <c r="F46" i="34"/>
  <c r="F45" i="34"/>
  <c r="G43" i="34"/>
  <c r="F42" i="34"/>
  <c r="F37" i="34"/>
  <c r="F35" i="34"/>
  <c r="F33" i="34"/>
  <c r="F32" i="34"/>
  <c r="L10" i="30" l="1"/>
  <c r="M10" i="30" s="1"/>
  <c r="R10" i="30"/>
  <c r="N10" i="30"/>
  <c r="Q10" i="30" s="1"/>
  <c r="P10" i="30"/>
  <c r="D8" i="29"/>
  <c r="G51" i="34"/>
  <c r="F51" i="34"/>
  <c r="G52" i="34"/>
  <c r="F52" i="34"/>
  <c r="G53" i="34"/>
  <c r="F53" i="34"/>
  <c r="G54" i="34"/>
  <c r="F54" i="34"/>
  <c r="G55" i="34"/>
  <c r="F55" i="34"/>
  <c r="G56" i="34"/>
  <c r="F56" i="34"/>
  <c r="G57" i="34"/>
  <c r="F57" i="34"/>
  <c r="G58" i="34"/>
  <c r="F58" i="34"/>
  <c r="G59" i="34"/>
  <c r="F59" i="34"/>
  <c r="G60" i="34"/>
  <c r="F60" i="34"/>
  <c r="G61" i="34"/>
  <c r="F61" i="34"/>
  <c r="G62" i="34"/>
  <c r="F62" i="34"/>
  <c r="G63" i="34"/>
  <c r="F63" i="34"/>
  <c r="G64" i="34"/>
  <c r="F64" i="34"/>
  <c r="G65" i="34"/>
  <c r="F65" i="34"/>
  <c r="G66" i="34"/>
  <c r="F66" i="34"/>
  <c r="G67" i="34"/>
  <c r="F67" i="34"/>
  <c r="G68" i="34"/>
  <c r="F68" i="34"/>
  <c r="G69" i="34"/>
  <c r="F69" i="34"/>
  <c r="G70" i="34"/>
  <c r="F70" i="34"/>
  <c r="G71" i="34"/>
  <c r="F71" i="34"/>
  <c r="G72" i="34"/>
  <c r="F72" i="34"/>
  <c r="G73" i="34"/>
  <c r="F73" i="34"/>
  <c r="G74" i="34"/>
  <c r="F74" i="34"/>
  <c r="G75" i="34"/>
  <c r="F75" i="34"/>
  <c r="G76" i="34"/>
  <c r="F76" i="34"/>
  <c r="G77" i="34"/>
  <c r="F77" i="34"/>
  <c r="G78" i="34"/>
  <c r="F78" i="34"/>
  <c r="G79" i="34"/>
  <c r="F79" i="34"/>
  <c r="G80" i="34"/>
  <c r="F80" i="34"/>
  <c r="G81" i="34"/>
  <c r="F81" i="34"/>
  <c r="G82" i="34"/>
  <c r="F82" i="34"/>
  <c r="G83" i="34"/>
  <c r="F83" i="34"/>
  <c r="G84" i="34"/>
  <c r="F84" i="34"/>
  <c r="G85" i="34"/>
  <c r="F85" i="34"/>
  <c r="G86" i="34"/>
  <c r="F86" i="34"/>
  <c r="G87" i="34"/>
  <c r="F87" i="34"/>
  <c r="G88" i="34"/>
  <c r="F88" i="34"/>
  <c r="G89" i="34"/>
  <c r="F89" i="34"/>
  <c r="G90" i="34"/>
  <c r="F90" i="34"/>
  <c r="G91" i="34"/>
  <c r="F91" i="34"/>
  <c r="G92" i="34"/>
  <c r="F92" i="34"/>
  <c r="G93" i="34"/>
  <c r="F93" i="34"/>
  <c r="G94" i="34"/>
  <c r="F94" i="34"/>
  <c r="G95" i="34"/>
  <c r="F95" i="34"/>
  <c r="G96" i="34"/>
  <c r="F96" i="34"/>
  <c r="G97" i="34"/>
  <c r="F97" i="34"/>
  <c r="G98" i="34"/>
  <c r="F98" i="34"/>
  <c r="G99" i="34"/>
  <c r="F99" i="34"/>
  <c r="G100" i="34"/>
  <c r="F100" i="34"/>
  <c r="G101" i="34"/>
  <c r="F101" i="34"/>
  <c r="G102" i="34"/>
  <c r="F102" i="34"/>
  <c r="G103" i="34"/>
  <c r="F103" i="34"/>
  <c r="G104" i="34"/>
  <c r="F104" i="34"/>
  <c r="G105" i="34"/>
  <c r="F105" i="34"/>
  <c r="G106" i="34"/>
  <c r="F106" i="34"/>
  <c r="G107" i="34"/>
  <c r="F107" i="34"/>
  <c r="G108" i="34"/>
  <c r="F108" i="34"/>
  <c r="G109" i="34"/>
  <c r="F109" i="34"/>
  <c r="G110" i="34"/>
  <c r="F110" i="34"/>
  <c r="G111" i="34"/>
  <c r="F111" i="34"/>
  <c r="G112" i="34"/>
  <c r="F112" i="34"/>
  <c r="G113" i="34"/>
  <c r="F113" i="34"/>
  <c r="G114" i="34"/>
  <c r="F114" i="34"/>
  <c r="G115" i="34"/>
  <c r="F115" i="34"/>
  <c r="G116" i="34"/>
  <c r="F116" i="34"/>
  <c r="G117" i="34"/>
  <c r="F117" i="34"/>
  <c r="G118" i="34"/>
  <c r="F118" i="34"/>
  <c r="G119" i="34"/>
  <c r="F119" i="34"/>
  <c r="G120" i="34"/>
  <c r="F120" i="34"/>
  <c r="G121" i="34"/>
  <c r="F121" i="34"/>
  <c r="G122" i="34"/>
  <c r="F122" i="34"/>
  <c r="G123" i="34"/>
  <c r="F123" i="34"/>
  <c r="G124" i="34"/>
  <c r="F124" i="34"/>
  <c r="G125" i="34"/>
  <c r="F125" i="34"/>
  <c r="G126" i="34"/>
  <c r="F126" i="34"/>
  <c r="G127" i="34"/>
  <c r="F127" i="34"/>
  <c r="G128" i="34"/>
  <c r="F128" i="34"/>
  <c r="G129" i="34"/>
  <c r="F129" i="34"/>
  <c r="G130" i="34"/>
  <c r="F130" i="34"/>
  <c r="G131" i="34"/>
  <c r="F131" i="34"/>
  <c r="G132" i="34"/>
  <c r="F132" i="34"/>
  <c r="G133" i="34"/>
  <c r="F133" i="34"/>
  <c r="G134" i="34"/>
  <c r="F134" i="34"/>
  <c r="G135" i="34"/>
  <c r="F135" i="34"/>
  <c r="G136" i="34"/>
  <c r="F136" i="34"/>
  <c r="G137" i="34"/>
  <c r="F137" i="34"/>
  <c r="G138" i="34"/>
  <c r="F138" i="34"/>
  <c r="G139" i="34"/>
  <c r="F139" i="34"/>
  <c r="G140" i="34"/>
  <c r="F140" i="34"/>
  <c r="G141" i="34"/>
  <c r="F141" i="34"/>
  <c r="G142" i="34"/>
  <c r="F142" i="34"/>
  <c r="G143" i="34"/>
  <c r="F143" i="34"/>
  <c r="G144" i="34"/>
  <c r="F144" i="34"/>
  <c r="G145" i="34"/>
  <c r="F145" i="34"/>
  <c r="G146" i="34"/>
  <c r="F146" i="34"/>
  <c r="G147" i="34"/>
  <c r="F147" i="34"/>
  <c r="G148" i="34"/>
  <c r="F148" i="34"/>
  <c r="G149" i="34"/>
  <c r="F149" i="34"/>
  <c r="G150" i="34"/>
  <c r="F150" i="34"/>
  <c r="G151" i="34"/>
  <c r="F151" i="34"/>
  <c r="G152" i="34"/>
  <c r="F152" i="34"/>
  <c r="G153" i="34"/>
  <c r="F153" i="34"/>
  <c r="G154" i="34"/>
  <c r="F154" i="34"/>
  <c r="G155" i="34"/>
  <c r="F155" i="34"/>
  <c r="G156" i="34"/>
  <c r="F156" i="34"/>
  <c r="G44" i="34"/>
  <c r="F44" i="34"/>
  <c r="G45" i="34"/>
  <c r="G48" i="34"/>
  <c r="G46" i="34"/>
  <c r="G47" i="34"/>
  <c r="G49" i="34"/>
  <c r="G37" i="34"/>
  <c r="G32" i="34"/>
  <c r="G42" i="34"/>
  <c r="G30" i="34"/>
  <c r="G28" i="34"/>
  <c r="G35" i="34"/>
  <c r="G33" i="34"/>
  <c r="G22" i="34"/>
  <c r="G23" i="34"/>
  <c r="G27" i="34"/>
  <c r="G25" i="34"/>
  <c r="D13" i="30" l="1"/>
  <c r="L13" i="30" s="1"/>
  <c r="M13" i="30" s="1"/>
  <c r="E8" i="29"/>
  <c r="G18" i="34"/>
  <c r="G157" i="34" s="1"/>
  <c r="AI157" i="12"/>
  <c r="I157" i="12"/>
  <c r="AZ8" i="12" s="1"/>
  <c r="P13" i="30" l="1"/>
  <c r="O13" i="30"/>
  <c r="T13" i="30" s="1"/>
  <c r="R13" i="30"/>
  <c r="N13" i="30"/>
  <c r="Q13" i="30" s="1"/>
  <c r="AZ17" i="12"/>
  <c r="AZ25" i="12"/>
  <c r="AZ33" i="12"/>
  <c r="AZ41" i="12"/>
  <c r="AZ30" i="12"/>
  <c r="AZ23" i="12"/>
  <c r="AZ18" i="12"/>
  <c r="AZ26" i="12"/>
  <c r="AZ34" i="12"/>
  <c r="AZ42" i="12"/>
  <c r="AZ14" i="12"/>
  <c r="AZ19" i="12"/>
  <c r="AZ27" i="12"/>
  <c r="AZ35" i="12"/>
  <c r="AZ43" i="12"/>
  <c r="AZ20" i="12"/>
  <c r="AZ28" i="12"/>
  <c r="AZ36" i="12"/>
  <c r="AZ44" i="12"/>
  <c r="AZ46" i="12"/>
  <c r="AZ21" i="12"/>
  <c r="AZ29" i="12"/>
  <c r="AZ37" i="12"/>
  <c r="AZ45" i="12"/>
  <c r="AZ22" i="12"/>
  <c r="AZ15" i="12"/>
  <c r="AZ31" i="12"/>
  <c r="AZ39" i="12"/>
  <c r="AZ16" i="12"/>
  <c r="AZ24" i="12"/>
  <c r="AZ32" i="12"/>
  <c r="AZ40" i="12"/>
  <c r="AZ38" i="12"/>
  <c r="AZ13" i="12"/>
  <c r="C9" i="29"/>
  <c r="AO157" i="12"/>
  <c r="AE157" i="12"/>
  <c r="AW157" i="12"/>
  <c r="AU157" i="12"/>
  <c r="BA24" i="12" l="1"/>
  <c r="BC24" i="12" s="1"/>
  <c r="BB24" i="12"/>
  <c r="BA29" i="12"/>
  <c r="BC29" i="12" s="1"/>
  <c r="BB29" i="12"/>
  <c r="BA35" i="12"/>
  <c r="BC35" i="12" s="1"/>
  <c r="BB35" i="12"/>
  <c r="BA23" i="12"/>
  <c r="BC23" i="12" s="1"/>
  <c r="BB23" i="12"/>
  <c r="BA16" i="12"/>
  <c r="BC16" i="12" s="1"/>
  <c r="BB16" i="12"/>
  <c r="BA21" i="12"/>
  <c r="BC21" i="12" s="1"/>
  <c r="BB21" i="12"/>
  <c r="BA27" i="12"/>
  <c r="BC27" i="12" s="1"/>
  <c r="BB27" i="12"/>
  <c r="BA30" i="12"/>
  <c r="BC30" i="12" s="1"/>
  <c r="BB30" i="12"/>
  <c r="BA39" i="12"/>
  <c r="BC39" i="12" s="1"/>
  <c r="BB39" i="12"/>
  <c r="BA46" i="12"/>
  <c r="BC46" i="12" s="1"/>
  <c r="BB46" i="12"/>
  <c r="BA19" i="12"/>
  <c r="BC19" i="12" s="1"/>
  <c r="BB19" i="12"/>
  <c r="BA41" i="12"/>
  <c r="BC41" i="12" s="1"/>
  <c r="BB41" i="12"/>
  <c r="BA44" i="12"/>
  <c r="BC44" i="12" s="1"/>
  <c r="BB44" i="12"/>
  <c r="BA33" i="12"/>
  <c r="BC33" i="12" s="1"/>
  <c r="BB33" i="12"/>
  <c r="BA45" i="12"/>
  <c r="BC45" i="12" s="1"/>
  <c r="BB45" i="12"/>
  <c r="BA26" i="12"/>
  <c r="BC26" i="12" s="1"/>
  <c r="BB26" i="12"/>
  <c r="BA37" i="12"/>
  <c r="BC37" i="12" s="1"/>
  <c r="BB37" i="12"/>
  <c r="BA43" i="12"/>
  <c r="BC43" i="12" s="1"/>
  <c r="BB43" i="12"/>
  <c r="BA31" i="12"/>
  <c r="BC31" i="12" s="1"/>
  <c r="BB31" i="12"/>
  <c r="BA14" i="12"/>
  <c r="BC14" i="12" s="1"/>
  <c r="BB14" i="12"/>
  <c r="BA13" i="12"/>
  <c r="BC13" i="12" s="1"/>
  <c r="BB13" i="12"/>
  <c r="BA15" i="12"/>
  <c r="BC15" i="12" s="1"/>
  <c r="BB15" i="12"/>
  <c r="BA36" i="12"/>
  <c r="BC36" i="12" s="1"/>
  <c r="BB36" i="12"/>
  <c r="BA42" i="12"/>
  <c r="BC42" i="12" s="1"/>
  <c r="BB42" i="12"/>
  <c r="BA25" i="12"/>
  <c r="BC25" i="12" s="1"/>
  <c r="BB25" i="12"/>
  <c r="BA40" i="12"/>
  <c r="BC40" i="12" s="1"/>
  <c r="BB40" i="12"/>
  <c r="BA20" i="12"/>
  <c r="BC20" i="12" s="1"/>
  <c r="BB20" i="12"/>
  <c r="BA32" i="12"/>
  <c r="BC32" i="12" s="1"/>
  <c r="BB32" i="12"/>
  <c r="BA18" i="12"/>
  <c r="BC18" i="12" s="1"/>
  <c r="BB18" i="12"/>
  <c r="BA38" i="12"/>
  <c r="BC38" i="12" s="1"/>
  <c r="BB38" i="12"/>
  <c r="BA22" i="12"/>
  <c r="BC22" i="12" s="1"/>
  <c r="BB22" i="12"/>
  <c r="BA28" i="12"/>
  <c r="BC28" i="12" s="1"/>
  <c r="BB28" i="12"/>
  <c r="BA34" i="12"/>
  <c r="BC34" i="12" s="1"/>
  <c r="BB34" i="12"/>
  <c r="BA17" i="12"/>
  <c r="BC17" i="12" s="1"/>
  <c r="BB17" i="12"/>
  <c r="D9" i="29"/>
  <c r="C7" i="29"/>
  <c r="C16" i="29"/>
  <c r="C15" i="29"/>
  <c r="C12" i="29"/>
  <c r="D14" i="30" l="1"/>
  <c r="R14" i="30" s="1"/>
  <c r="E9" i="29"/>
  <c r="BG14" i="12"/>
  <c r="BQ14" i="12"/>
  <c r="BI14" i="12"/>
  <c r="BE14" i="12"/>
  <c r="BN14" i="12"/>
  <c r="BK14" i="12"/>
  <c r="BG41" i="12"/>
  <c r="BI41" i="12"/>
  <c r="BK41" i="12"/>
  <c r="BE41" i="12"/>
  <c r="BN41" i="12"/>
  <c r="BQ41" i="12"/>
  <c r="BQ23" i="12"/>
  <c r="BK23" i="12"/>
  <c r="BE23" i="12"/>
  <c r="BI23" i="12"/>
  <c r="BN23" i="12"/>
  <c r="BG23" i="12"/>
  <c r="BD32" i="12"/>
  <c r="BL32" i="12"/>
  <c r="BF32" i="12"/>
  <c r="BR32" i="12"/>
  <c r="BH32" i="12"/>
  <c r="BJ32" i="12"/>
  <c r="BO32" i="12"/>
  <c r="BR42" i="12"/>
  <c r="BJ42" i="12"/>
  <c r="BL42" i="12"/>
  <c r="BH42" i="12"/>
  <c r="BF42" i="12"/>
  <c r="BD42" i="12"/>
  <c r="BO42" i="12"/>
  <c r="BJ14" i="12"/>
  <c r="BD14" i="12"/>
  <c r="BR14" i="12"/>
  <c r="BH14" i="12"/>
  <c r="BF14" i="12"/>
  <c r="BL14" i="12"/>
  <c r="BO14" i="12"/>
  <c r="BF26" i="12"/>
  <c r="BJ26" i="12"/>
  <c r="BR26" i="12"/>
  <c r="BH26" i="12"/>
  <c r="BD26" i="12"/>
  <c r="BL26" i="12"/>
  <c r="BO26" i="12"/>
  <c r="BF41" i="12"/>
  <c r="BD41" i="12"/>
  <c r="BL41" i="12"/>
  <c r="BR41" i="12"/>
  <c r="BJ41" i="12"/>
  <c r="BH41" i="12"/>
  <c r="BO41" i="12"/>
  <c r="BJ30" i="12"/>
  <c r="BL30" i="12"/>
  <c r="BH30" i="12"/>
  <c r="BD30" i="12"/>
  <c r="BF30" i="12"/>
  <c r="BR30" i="12"/>
  <c r="BO30" i="12"/>
  <c r="BD23" i="12"/>
  <c r="BR23" i="12"/>
  <c r="BJ23" i="12"/>
  <c r="BH23" i="12"/>
  <c r="BF23" i="12"/>
  <c r="BL23" i="12"/>
  <c r="BO23" i="12"/>
  <c r="BK32" i="12"/>
  <c r="BQ32" i="12"/>
  <c r="BI32" i="12"/>
  <c r="BN32" i="12"/>
  <c r="BE32" i="12"/>
  <c r="BG32" i="12"/>
  <c r="BI26" i="12"/>
  <c r="BK26" i="12"/>
  <c r="BQ26" i="12"/>
  <c r="BE26" i="12"/>
  <c r="BN26" i="12"/>
  <c r="BG26" i="12"/>
  <c r="BQ30" i="12"/>
  <c r="BN30" i="12"/>
  <c r="BG30" i="12"/>
  <c r="BE30" i="12"/>
  <c r="BI30" i="12"/>
  <c r="BK30" i="12"/>
  <c r="BD28" i="12"/>
  <c r="BR28" i="12"/>
  <c r="BJ28" i="12"/>
  <c r="BH28" i="12"/>
  <c r="BF28" i="12"/>
  <c r="BL28" i="12"/>
  <c r="BO28" i="12"/>
  <c r="BE22" i="12"/>
  <c r="BQ22" i="12"/>
  <c r="BK22" i="12"/>
  <c r="BI22" i="12"/>
  <c r="BG22" i="12"/>
  <c r="BN22" i="12"/>
  <c r="BE20" i="12"/>
  <c r="BI20" i="12"/>
  <c r="BQ20" i="12"/>
  <c r="BN20" i="12"/>
  <c r="BG20" i="12"/>
  <c r="BK20" i="12"/>
  <c r="BE36" i="12"/>
  <c r="BI36" i="12"/>
  <c r="BQ36" i="12"/>
  <c r="BK36" i="12"/>
  <c r="BG36" i="12"/>
  <c r="BN36" i="12"/>
  <c r="BN31" i="12"/>
  <c r="BG31" i="12"/>
  <c r="BK31" i="12"/>
  <c r="BQ31" i="12"/>
  <c r="BI31" i="12"/>
  <c r="BE31" i="12"/>
  <c r="BE45" i="12"/>
  <c r="BI45" i="12"/>
  <c r="BK45" i="12"/>
  <c r="BQ45" i="12"/>
  <c r="BN45" i="12"/>
  <c r="BG45" i="12"/>
  <c r="BE19" i="12"/>
  <c r="BK19" i="12"/>
  <c r="BG19" i="12"/>
  <c r="BQ19" i="12"/>
  <c r="BN19" i="12"/>
  <c r="BI19" i="12"/>
  <c r="BN27" i="12"/>
  <c r="BQ27" i="12"/>
  <c r="BI27" i="12"/>
  <c r="BK27" i="12"/>
  <c r="BG27" i="12"/>
  <c r="BE27" i="12"/>
  <c r="BE35" i="12"/>
  <c r="BG35" i="12"/>
  <c r="BQ35" i="12"/>
  <c r="BK35" i="12"/>
  <c r="BI35" i="12"/>
  <c r="BN35" i="12"/>
  <c r="BL36" i="12"/>
  <c r="BJ36" i="12"/>
  <c r="BR36" i="12"/>
  <c r="BH36" i="12"/>
  <c r="BF36" i="12"/>
  <c r="BD36" i="12"/>
  <c r="BO36" i="12"/>
  <c r="BJ19" i="12"/>
  <c r="BL19" i="12"/>
  <c r="BH19" i="12"/>
  <c r="BF19" i="12"/>
  <c r="BD19" i="12"/>
  <c r="BR19" i="12"/>
  <c r="BO19" i="12"/>
  <c r="BE40" i="12"/>
  <c r="BN40" i="12"/>
  <c r="BG40" i="12"/>
  <c r="BK40" i="12"/>
  <c r="BQ40" i="12"/>
  <c r="BI40" i="12"/>
  <c r="BK43" i="12"/>
  <c r="BG43" i="12"/>
  <c r="BI43" i="12"/>
  <c r="BN43" i="12"/>
  <c r="BQ43" i="12"/>
  <c r="BE43" i="12"/>
  <c r="BG21" i="12"/>
  <c r="BQ21" i="12"/>
  <c r="BI21" i="12"/>
  <c r="BN21" i="12"/>
  <c r="BE21" i="12"/>
  <c r="BK21" i="12"/>
  <c r="BL17" i="12"/>
  <c r="BR17" i="12"/>
  <c r="BD17" i="12"/>
  <c r="BJ17" i="12"/>
  <c r="BH17" i="12"/>
  <c r="BF17" i="12"/>
  <c r="BO17" i="12"/>
  <c r="BH38" i="12"/>
  <c r="BD38" i="12"/>
  <c r="BL38" i="12"/>
  <c r="BF38" i="12"/>
  <c r="BR38" i="12"/>
  <c r="BJ38" i="12"/>
  <c r="BO38" i="12"/>
  <c r="BR40" i="12"/>
  <c r="BJ40" i="12"/>
  <c r="BF40" i="12"/>
  <c r="BH40" i="12"/>
  <c r="BL40" i="12"/>
  <c r="BD40" i="12"/>
  <c r="BO40" i="12"/>
  <c r="BJ15" i="12"/>
  <c r="BR15" i="12"/>
  <c r="BF15" i="12"/>
  <c r="BH15" i="12"/>
  <c r="BL15" i="12"/>
  <c r="BD15" i="12"/>
  <c r="BO15" i="12"/>
  <c r="BR43" i="12"/>
  <c r="BJ43" i="12"/>
  <c r="BL43" i="12"/>
  <c r="BD43" i="12"/>
  <c r="BH43" i="12"/>
  <c r="BF43" i="12"/>
  <c r="BO43" i="12"/>
  <c r="BR33" i="12"/>
  <c r="BJ33" i="12"/>
  <c r="BD33" i="12"/>
  <c r="BH33" i="12"/>
  <c r="BL33" i="12"/>
  <c r="BF33" i="12"/>
  <c r="BO33" i="12"/>
  <c r="BD46" i="12"/>
  <c r="BJ46" i="12"/>
  <c r="BR46" i="12"/>
  <c r="BL46" i="12"/>
  <c r="BH46" i="12"/>
  <c r="BF46" i="12"/>
  <c r="BO46" i="12"/>
  <c r="BJ21" i="12"/>
  <c r="BH21" i="12"/>
  <c r="BD21" i="12"/>
  <c r="BL21" i="12"/>
  <c r="BF21" i="12"/>
  <c r="BR21" i="12"/>
  <c r="BO21" i="12"/>
  <c r="BJ29" i="12"/>
  <c r="BH29" i="12"/>
  <c r="BL29" i="12"/>
  <c r="BD29" i="12"/>
  <c r="BF29" i="12"/>
  <c r="BR29" i="12"/>
  <c r="BO29" i="12"/>
  <c r="BI42" i="12"/>
  <c r="BG42" i="12"/>
  <c r="BQ42" i="12"/>
  <c r="BN42" i="12"/>
  <c r="BE42" i="12"/>
  <c r="BK42" i="12"/>
  <c r="BL20" i="12"/>
  <c r="BR20" i="12"/>
  <c r="BJ20" i="12"/>
  <c r="BH20" i="12"/>
  <c r="BF20" i="12"/>
  <c r="BD20" i="12"/>
  <c r="BO20" i="12"/>
  <c r="BR45" i="12"/>
  <c r="BJ45" i="12"/>
  <c r="BH45" i="12"/>
  <c r="BF45" i="12"/>
  <c r="BL45" i="12"/>
  <c r="BD45" i="12"/>
  <c r="BO45" i="12"/>
  <c r="BF27" i="12"/>
  <c r="BJ27" i="12"/>
  <c r="BR27" i="12"/>
  <c r="BH27" i="12"/>
  <c r="BL27" i="12"/>
  <c r="BD27" i="12"/>
  <c r="BO27" i="12"/>
  <c r="BE17" i="12"/>
  <c r="BK17" i="12"/>
  <c r="BG17" i="12"/>
  <c r="BQ17" i="12"/>
  <c r="BI17" i="12"/>
  <c r="BN17" i="12"/>
  <c r="BQ15" i="12"/>
  <c r="BK15" i="12"/>
  <c r="BI15" i="12"/>
  <c r="BG15" i="12"/>
  <c r="BE15" i="12"/>
  <c r="BN15" i="12"/>
  <c r="BK46" i="12"/>
  <c r="BI46" i="12"/>
  <c r="BE46" i="12"/>
  <c r="BN46" i="12"/>
  <c r="BG46" i="12"/>
  <c r="BQ46" i="12"/>
  <c r="BQ29" i="12"/>
  <c r="BK29" i="12"/>
  <c r="BN29" i="12"/>
  <c r="BI29" i="12"/>
  <c r="BG29" i="12"/>
  <c r="BE29" i="12"/>
  <c r="BN34" i="12"/>
  <c r="BI34" i="12"/>
  <c r="BG34" i="12"/>
  <c r="BK34" i="12"/>
  <c r="BE34" i="12"/>
  <c r="BQ34" i="12"/>
  <c r="BN25" i="12"/>
  <c r="BG25" i="12"/>
  <c r="BQ25" i="12"/>
  <c r="BE25" i="12"/>
  <c r="BK25" i="12"/>
  <c r="BI25" i="12"/>
  <c r="BN13" i="12"/>
  <c r="BE13" i="12"/>
  <c r="BK13" i="12"/>
  <c r="BQ13" i="12"/>
  <c r="BI13" i="12"/>
  <c r="BG13" i="12"/>
  <c r="BK37" i="12"/>
  <c r="BQ37" i="12"/>
  <c r="BE37" i="12"/>
  <c r="BN37" i="12"/>
  <c r="BG37" i="12"/>
  <c r="BI37" i="12"/>
  <c r="BN44" i="12"/>
  <c r="BK44" i="12"/>
  <c r="BG44" i="12"/>
  <c r="BQ44" i="12"/>
  <c r="BI44" i="12"/>
  <c r="BE44" i="12"/>
  <c r="BE39" i="12"/>
  <c r="BN39" i="12"/>
  <c r="BG39" i="12"/>
  <c r="BK39" i="12"/>
  <c r="BQ39" i="12"/>
  <c r="BI39" i="12"/>
  <c r="BK16" i="12"/>
  <c r="BI16" i="12"/>
  <c r="BQ16" i="12"/>
  <c r="BE16" i="12"/>
  <c r="BN16" i="12"/>
  <c r="BG16" i="12"/>
  <c r="BN24" i="12"/>
  <c r="BK24" i="12"/>
  <c r="BI24" i="12"/>
  <c r="BE24" i="12"/>
  <c r="BG24" i="12"/>
  <c r="BQ24" i="12"/>
  <c r="BK28" i="12"/>
  <c r="BQ28" i="12"/>
  <c r="BE28" i="12"/>
  <c r="BI28" i="12"/>
  <c r="BG28" i="12"/>
  <c r="BN28" i="12"/>
  <c r="BF22" i="12"/>
  <c r="BR22" i="12"/>
  <c r="BJ22" i="12"/>
  <c r="BD22" i="12"/>
  <c r="BH22" i="12"/>
  <c r="BL22" i="12"/>
  <c r="BO22" i="12"/>
  <c r="BJ31" i="12"/>
  <c r="BH31" i="12"/>
  <c r="BL31" i="12"/>
  <c r="BD31" i="12"/>
  <c r="BF31" i="12"/>
  <c r="BR31" i="12"/>
  <c r="BO31" i="12"/>
  <c r="BR35" i="12"/>
  <c r="BJ35" i="12"/>
  <c r="BH35" i="12"/>
  <c r="BL35" i="12"/>
  <c r="BF35" i="12"/>
  <c r="BD35" i="12"/>
  <c r="BO35" i="12"/>
  <c r="BE38" i="12"/>
  <c r="BN38" i="12"/>
  <c r="BI38" i="12"/>
  <c r="BK38" i="12"/>
  <c r="BQ38" i="12"/>
  <c r="BG38" i="12"/>
  <c r="BG33" i="12"/>
  <c r="BQ33" i="12"/>
  <c r="BI33" i="12"/>
  <c r="BE33" i="12"/>
  <c r="BN33" i="12"/>
  <c r="BK33" i="12"/>
  <c r="BK18" i="12"/>
  <c r="BE18" i="12"/>
  <c r="BG18" i="12"/>
  <c r="BQ18" i="12"/>
  <c r="BI18" i="12"/>
  <c r="BN18" i="12"/>
  <c r="BD34" i="12"/>
  <c r="BF34" i="12"/>
  <c r="BL34" i="12"/>
  <c r="BR34" i="12"/>
  <c r="BJ34" i="12"/>
  <c r="BH34" i="12"/>
  <c r="BO34" i="12"/>
  <c r="BR18" i="12"/>
  <c r="BJ18" i="12"/>
  <c r="BH18" i="12"/>
  <c r="BL18" i="12"/>
  <c r="BF18" i="12"/>
  <c r="BD18" i="12"/>
  <c r="BO18" i="12"/>
  <c r="BJ25" i="12"/>
  <c r="BD25" i="12"/>
  <c r="BH25" i="12"/>
  <c r="BL25" i="12"/>
  <c r="BF25" i="12"/>
  <c r="BR25" i="12"/>
  <c r="BO25" i="12"/>
  <c r="BL13" i="12"/>
  <c r="BD13" i="12"/>
  <c r="BJ13" i="12"/>
  <c r="BR13" i="12"/>
  <c r="BH13" i="12"/>
  <c r="BF13" i="12"/>
  <c r="BO13" i="12"/>
  <c r="BR37" i="12"/>
  <c r="BJ37" i="12"/>
  <c r="BL37" i="12"/>
  <c r="BH37" i="12"/>
  <c r="BD37" i="12"/>
  <c r="BF37" i="12"/>
  <c r="BO37" i="12"/>
  <c r="BL44" i="12"/>
  <c r="BH44" i="12"/>
  <c r="BF44" i="12"/>
  <c r="BD44" i="12"/>
  <c r="BJ44" i="12"/>
  <c r="BR44" i="12"/>
  <c r="BO44" i="12"/>
  <c r="BJ39" i="12"/>
  <c r="BH39" i="12"/>
  <c r="BF39" i="12"/>
  <c r="BD39" i="12"/>
  <c r="BL39" i="12"/>
  <c r="BR39" i="12"/>
  <c r="BO39" i="12"/>
  <c r="BF16" i="12"/>
  <c r="BR16" i="12"/>
  <c r="BJ16" i="12"/>
  <c r="BD16" i="12"/>
  <c r="BL16" i="12"/>
  <c r="BH16" i="12"/>
  <c r="BO16" i="12"/>
  <c r="BJ24" i="12"/>
  <c r="BH24" i="12"/>
  <c r="BD24" i="12"/>
  <c r="BL24" i="12"/>
  <c r="BF24" i="12"/>
  <c r="BR24" i="12"/>
  <c r="BO24" i="12"/>
  <c r="O14" i="30"/>
  <c r="T14" i="30" s="1"/>
  <c r="N14" i="30"/>
  <c r="Q14" i="30" s="1"/>
  <c r="P14" i="30"/>
  <c r="L14" i="30"/>
  <c r="M14" i="30" s="1"/>
  <c r="D7" i="29"/>
  <c r="D12" i="29"/>
  <c r="D15" i="29"/>
  <c r="D16" i="29"/>
  <c r="AC157" i="12"/>
  <c r="D39" i="30" l="1"/>
  <c r="L39" i="30" s="1"/>
  <c r="M39" i="30" s="1"/>
  <c r="E16" i="29"/>
  <c r="D38" i="30"/>
  <c r="O38" i="30" s="1"/>
  <c r="T38" i="30" s="1"/>
  <c r="E15" i="29"/>
  <c r="D17" i="30"/>
  <c r="O17" i="30" s="1"/>
  <c r="T17" i="30" s="1"/>
  <c r="E12" i="29"/>
  <c r="D12" i="30"/>
  <c r="O12" i="30" s="1"/>
  <c r="T12" i="30" s="1"/>
  <c r="E7" i="29"/>
  <c r="BS17" i="12"/>
  <c r="H29" i="31" s="1"/>
  <c r="I29" i="31" s="1"/>
  <c r="BT45" i="12"/>
  <c r="BU45" i="12" s="1"/>
  <c r="BS21" i="12"/>
  <c r="H33" i="31" s="1"/>
  <c r="I33" i="31" s="1"/>
  <c r="BS39" i="12"/>
  <c r="H51" i="31" s="1"/>
  <c r="I51" i="31" s="1"/>
  <c r="BS14" i="12"/>
  <c r="H18" i="34" s="1"/>
  <c r="BS13" i="12"/>
  <c r="H17" i="34" s="1"/>
  <c r="BD17" i="34" s="1"/>
  <c r="BE17" i="34" s="1"/>
  <c r="BS20" i="12"/>
  <c r="H32" i="31" s="1"/>
  <c r="I32" i="31" s="1"/>
  <c r="BS37" i="12"/>
  <c r="H49" i="31" s="1"/>
  <c r="I49" i="31" s="1"/>
  <c r="BS45" i="12"/>
  <c r="H57" i="31" s="1"/>
  <c r="I57" i="31" s="1"/>
  <c r="BS41" i="12"/>
  <c r="H45" i="34" s="1"/>
  <c r="BD45" i="34" s="1"/>
  <c r="BE45" i="34" s="1"/>
  <c r="BS16" i="12"/>
  <c r="H28" i="31" s="1"/>
  <c r="I28" i="31" s="1"/>
  <c r="BS36" i="12"/>
  <c r="H48" i="31" s="1"/>
  <c r="I48" i="31" s="1"/>
  <c r="BS29" i="12"/>
  <c r="H41" i="31" s="1"/>
  <c r="I41" i="31" s="1"/>
  <c r="BS22" i="12"/>
  <c r="H26" i="34" s="1"/>
  <c r="BD26" i="34" s="1"/>
  <c r="BE26" i="34" s="1"/>
  <c r="BS34" i="12"/>
  <c r="H46" i="31" s="1"/>
  <c r="I46" i="31" s="1"/>
  <c r="BS40" i="12"/>
  <c r="H52" i="31" s="1"/>
  <c r="I52" i="31" s="1"/>
  <c r="BT36" i="12"/>
  <c r="I40" i="34" s="1"/>
  <c r="BS19" i="12"/>
  <c r="H31" i="31" s="1"/>
  <c r="I31" i="31" s="1"/>
  <c r="BS15" i="12"/>
  <c r="H27" i="31" s="1"/>
  <c r="I27" i="31" s="1"/>
  <c r="BS44" i="12"/>
  <c r="H56" i="31" s="1"/>
  <c r="I56" i="31" s="1"/>
  <c r="BS46" i="12"/>
  <c r="H50" i="34" s="1"/>
  <c r="BD50" i="34" s="1"/>
  <c r="BE50" i="34" s="1"/>
  <c r="BS23" i="12"/>
  <c r="H35" i="31" s="1"/>
  <c r="I35" i="31" s="1"/>
  <c r="BS33" i="12"/>
  <c r="H45" i="31" s="1"/>
  <c r="I45" i="31" s="1"/>
  <c r="BT22" i="12"/>
  <c r="BU22" i="12" s="1"/>
  <c r="BS31" i="12"/>
  <c r="H43" i="31" s="1"/>
  <c r="I43" i="31" s="1"/>
  <c r="BS32" i="12"/>
  <c r="H44" i="31" s="1"/>
  <c r="I44" i="31" s="1"/>
  <c r="BT41" i="12"/>
  <c r="BU41" i="12" s="1"/>
  <c r="BT18" i="12"/>
  <c r="BU18" i="12" s="1"/>
  <c r="BS28" i="12"/>
  <c r="BS43" i="12"/>
  <c r="H55" i="31" s="1"/>
  <c r="I55" i="31" s="1"/>
  <c r="BS30" i="12"/>
  <c r="H42" i="31" s="1"/>
  <c r="I42" i="31" s="1"/>
  <c r="BS26" i="12"/>
  <c r="H38" i="31" s="1"/>
  <c r="I38" i="31" s="1"/>
  <c r="BS18" i="12"/>
  <c r="H30" i="31" s="1"/>
  <c r="I30" i="31" s="1"/>
  <c r="BS25" i="12"/>
  <c r="H29" i="34" s="1"/>
  <c r="BD29" i="34" s="1"/>
  <c r="BE29" i="34" s="1"/>
  <c r="BS42" i="12"/>
  <c r="H54" i="31" s="1"/>
  <c r="I54" i="31" s="1"/>
  <c r="BT15" i="12"/>
  <c r="BU15" i="12" s="1"/>
  <c r="BS35" i="12"/>
  <c r="H47" i="31" s="1"/>
  <c r="I47" i="31" s="1"/>
  <c r="BT25" i="12"/>
  <c r="BU25" i="12" s="1"/>
  <c r="BT31" i="12"/>
  <c r="BU31" i="12" s="1"/>
  <c r="BT27" i="12"/>
  <c r="BT43" i="12"/>
  <c r="BU43" i="12" s="1"/>
  <c r="BT19" i="12"/>
  <c r="BU19" i="12" s="1"/>
  <c r="BT30" i="12"/>
  <c r="BU30" i="12" s="1"/>
  <c r="BT13" i="12"/>
  <c r="BT35" i="12"/>
  <c r="BT33" i="12"/>
  <c r="BU33" i="12" s="1"/>
  <c r="BT23" i="12"/>
  <c r="BU23" i="12" s="1"/>
  <c r="BT44" i="12"/>
  <c r="BU44" i="12" s="1"/>
  <c r="BS38" i="12"/>
  <c r="H50" i="31" s="1"/>
  <c r="I50" i="31" s="1"/>
  <c r="BT21" i="12"/>
  <c r="BU21" i="12" s="1"/>
  <c r="BT32" i="12"/>
  <c r="BT46" i="12"/>
  <c r="BT39" i="12"/>
  <c r="BU39" i="12" s="1"/>
  <c r="BT29" i="12"/>
  <c r="BU29" i="12" s="1"/>
  <c r="BT17" i="12"/>
  <c r="BT42" i="12"/>
  <c r="BU42" i="12" s="1"/>
  <c r="BT16" i="12"/>
  <c r="BU16" i="12" s="1"/>
  <c r="BS24" i="12"/>
  <c r="H36" i="31" s="1"/>
  <c r="I36" i="31" s="1"/>
  <c r="BT38" i="12"/>
  <c r="BU38" i="12" s="1"/>
  <c r="BS27" i="12"/>
  <c r="BT28" i="12"/>
  <c r="BU28" i="12" s="1"/>
  <c r="BT14" i="12"/>
  <c r="BU14" i="12" s="1"/>
  <c r="BT37" i="12"/>
  <c r="BT24" i="12"/>
  <c r="BU24" i="12" s="1"/>
  <c r="BT34" i="12"/>
  <c r="BT20" i="12"/>
  <c r="BU20" i="12" s="1"/>
  <c r="BT40" i="12"/>
  <c r="BU40" i="12" s="1"/>
  <c r="BT26" i="12"/>
  <c r="BU26" i="12" s="1"/>
  <c r="R39" i="30"/>
  <c r="N17" i="30"/>
  <c r="Q17" i="30" s="1"/>
  <c r="O39" i="30"/>
  <c r="T39" i="30" s="1"/>
  <c r="N39" i="30"/>
  <c r="Q39" i="30" s="1"/>
  <c r="P39" i="30"/>
  <c r="BC157" i="12"/>
  <c r="C6" i="29"/>
  <c r="H51" i="34"/>
  <c r="BD51" i="34" s="1"/>
  <c r="BE51" i="34" s="1"/>
  <c r="P17" i="30" l="1"/>
  <c r="L17" i="30"/>
  <c r="M17" i="30" s="1"/>
  <c r="R17" i="30"/>
  <c r="R12" i="30"/>
  <c r="L12" i="30"/>
  <c r="M12" i="30" s="1"/>
  <c r="N12" i="30"/>
  <c r="Q12" i="30" s="1"/>
  <c r="P12" i="30"/>
  <c r="L38" i="30"/>
  <c r="M38" i="30" s="1"/>
  <c r="R38" i="30"/>
  <c r="P38" i="30"/>
  <c r="D43" i="30"/>
  <c r="N38" i="30"/>
  <c r="Q38" i="30" s="1"/>
  <c r="BU36" i="12"/>
  <c r="H21" i="34"/>
  <c r="BD21" i="34" s="1"/>
  <c r="BE21" i="34" s="1"/>
  <c r="CI21" i="34" s="1"/>
  <c r="H19" i="34"/>
  <c r="BD19" i="34" s="1"/>
  <c r="BE19" i="34" s="1"/>
  <c r="CO19" i="34" s="1"/>
  <c r="H49" i="34"/>
  <c r="BD49" i="34" s="1"/>
  <c r="BE49" i="34" s="1"/>
  <c r="CL49" i="34" s="1"/>
  <c r="H53" i="31"/>
  <c r="I53" i="31" s="1"/>
  <c r="H25" i="31"/>
  <c r="I25" i="31" s="1"/>
  <c r="H37" i="31"/>
  <c r="I37" i="31" s="1"/>
  <c r="H36" i="34"/>
  <c r="BD36" i="34" s="1"/>
  <c r="BE36" i="34" s="1"/>
  <c r="CL36" i="34" s="1"/>
  <c r="CI45" i="34"/>
  <c r="CL45" i="34"/>
  <c r="CR45" i="34"/>
  <c r="CO45" i="34"/>
  <c r="H26" i="31"/>
  <c r="I26" i="31" s="1"/>
  <c r="H24" i="34"/>
  <c r="BD24" i="34" s="1"/>
  <c r="BE24" i="34" s="1"/>
  <c r="CI24" i="34" s="1"/>
  <c r="H40" i="34"/>
  <c r="BD40" i="34" s="1"/>
  <c r="BE40" i="34" s="1"/>
  <c r="CL40" i="34" s="1"/>
  <c r="H20" i="34"/>
  <c r="BD20" i="34" s="1"/>
  <c r="BE20" i="34" s="1"/>
  <c r="CR20" i="34" s="1"/>
  <c r="H34" i="31"/>
  <c r="I34" i="31" s="1"/>
  <c r="H39" i="34"/>
  <c r="BD39" i="34" s="1"/>
  <c r="BE39" i="34" s="1"/>
  <c r="CO39" i="34" s="1"/>
  <c r="H43" i="34"/>
  <c r="BD43" i="34" s="1"/>
  <c r="BE43" i="34" s="1"/>
  <c r="CR43" i="34" s="1"/>
  <c r="H41" i="34"/>
  <c r="BD41" i="34" s="1"/>
  <c r="BE41" i="34" s="1"/>
  <c r="CL41" i="34" s="1"/>
  <c r="H58" i="31"/>
  <c r="I58" i="31" s="1"/>
  <c r="H44" i="34"/>
  <c r="BD44" i="34" s="1"/>
  <c r="BE44" i="34" s="1"/>
  <c r="CI44" i="34" s="1"/>
  <c r="CO29" i="34"/>
  <c r="CL29" i="34"/>
  <c r="CR29" i="34"/>
  <c r="CI29" i="34"/>
  <c r="H38" i="34"/>
  <c r="BD38" i="34" s="1"/>
  <c r="BE38" i="34" s="1"/>
  <c r="CR38" i="34" s="1"/>
  <c r="I26" i="34"/>
  <c r="H34" i="34"/>
  <c r="BD34" i="34" s="1"/>
  <c r="BE34" i="34" s="1"/>
  <c r="CI34" i="34" s="1"/>
  <c r="BU27" i="12"/>
  <c r="I31" i="34"/>
  <c r="CO50" i="34"/>
  <c r="CI50" i="34"/>
  <c r="CL50" i="34"/>
  <c r="CR50" i="34"/>
  <c r="BU17" i="12"/>
  <c r="I21" i="34"/>
  <c r="BU37" i="12"/>
  <c r="I41" i="34"/>
  <c r="BU35" i="12"/>
  <c r="I39" i="34"/>
  <c r="CO26" i="34"/>
  <c r="CI26" i="34"/>
  <c r="CL26" i="34"/>
  <c r="CR26" i="34"/>
  <c r="H39" i="31"/>
  <c r="I39" i="31" s="1"/>
  <c r="H31" i="34"/>
  <c r="BD31" i="34" s="1"/>
  <c r="BE31" i="34" s="1"/>
  <c r="BU46" i="12"/>
  <c r="I50" i="34"/>
  <c r="BU13" i="12"/>
  <c r="I17" i="34"/>
  <c r="BU34" i="12"/>
  <c r="I38" i="34"/>
  <c r="BU32" i="12"/>
  <c r="I36" i="34"/>
  <c r="CO17" i="34"/>
  <c r="CL17" i="34"/>
  <c r="CR17" i="34"/>
  <c r="CI17" i="34"/>
  <c r="D6" i="29"/>
  <c r="CO51" i="34"/>
  <c r="CR51" i="34"/>
  <c r="CL51" i="34"/>
  <c r="CI51" i="34"/>
  <c r="I99" i="34"/>
  <c r="I45" i="34"/>
  <c r="I19" i="34"/>
  <c r="I119" i="34"/>
  <c r="I43" i="34"/>
  <c r="I29" i="34"/>
  <c r="H35" i="34"/>
  <c r="BD35" i="34" s="1"/>
  <c r="BE35" i="34" s="1"/>
  <c r="H46" i="34"/>
  <c r="BD46" i="34" s="1"/>
  <c r="BE46" i="34" s="1"/>
  <c r="H42" i="34"/>
  <c r="BD42" i="34" s="1"/>
  <c r="BE42" i="34" s="1"/>
  <c r="I44" i="34"/>
  <c r="H48" i="34"/>
  <c r="BD48" i="34" s="1"/>
  <c r="BE48" i="34" s="1"/>
  <c r="H47" i="34"/>
  <c r="BD47" i="34" s="1"/>
  <c r="BE47" i="34" s="1"/>
  <c r="H37" i="34"/>
  <c r="BD37" i="34" s="1"/>
  <c r="BE37" i="34" s="1"/>
  <c r="S157" i="12"/>
  <c r="O157" i="12"/>
  <c r="C3" i="29" s="1"/>
  <c r="D3" i="29" s="1"/>
  <c r="I91" i="34"/>
  <c r="I59" i="34"/>
  <c r="H158" i="31" l="1"/>
  <c r="E3" i="29"/>
  <c r="D11" i="30"/>
  <c r="P11" i="30" s="1"/>
  <c r="E6" i="29"/>
  <c r="CR49" i="34"/>
  <c r="CR21" i="34"/>
  <c r="CO21" i="34"/>
  <c r="CL21" i="34"/>
  <c r="CL43" i="34"/>
  <c r="CI49" i="34"/>
  <c r="CR36" i="34"/>
  <c r="CO36" i="34"/>
  <c r="CO24" i="34"/>
  <c r="CR44" i="34"/>
  <c r="CI36" i="34"/>
  <c r="CL19" i="34"/>
  <c r="CS45" i="34"/>
  <c r="CI19" i="34"/>
  <c r="CR19" i="34"/>
  <c r="CL34" i="34"/>
  <c r="CI20" i="34"/>
  <c r="CO49" i="34"/>
  <c r="CO44" i="34"/>
  <c r="CR24" i="34"/>
  <c r="CL24" i="34"/>
  <c r="CL39" i="34"/>
  <c r="CI39" i="34"/>
  <c r="CR34" i="34"/>
  <c r="CO34" i="34"/>
  <c r="CL44" i="34"/>
  <c r="CO40" i="34"/>
  <c r="CO20" i="34"/>
  <c r="CI40" i="34"/>
  <c r="CL20" i="34"/>
  <c r="CI43" i="34"/>
  <c r="CR40" i="34"/>
  <c r="CO43" i="34"/>
  <c r="CR41" i="34"/>
  <c r="CI41" i="34"/>
  <c r="CO41" i="34"/>
  <c r="CR39" i="34"/>
  <c r="CS29" i="34"/>
  <c r="CO38" i="34"/>
  <c r="CL38" i="34"/>
  <c r="CI38" i="34"/>
  <c r="CS17" i="34"/>
  <c r="CS26" i="34"/>
  <c r="CL31" i="34"/>
  <c r="CO31" i="34"/>
  <c r="CR31" i="34"/>
  <c r="CI31" i="34"/>
  <c r="CS50" i="34"/>
  <c r="N11" i="30"/>
  <c r="Q11" i="30" s="1"/>
  <c r="D8" i="30"/>
  <c r="P8" i="30" s="1"/>
  <c r="L11" i="30"/>
  <c r="M11" i="30" s="1"/>
  <c r="R11" i="30"/>
  <c r="CS51" i="34"/>
  <c r="I125" i="34"/>
  <c r="I117" i="34"/>
  <c r="I52" i="34"/>
  <c r="I78" i="34"/>
  <c r="I81" i="34"/>
  <c r="I76" i="34"/>
  <c r="I113" i="34"/>
  <c r="I55" i="34"/>
  <c r="I60" i="34"/>
  <c r="I110" i="34"/>
  <c r="I67" i="34"/>
  <c r="I82" i="34"/>
  <c r="I121" i="34"/>
  <c r="I80" i="34"/>
  <c r="I75" i="34"/>
  <c r="I90" i="34"/>
  <c r="I63" i="34"/>
  <c r="I34" i="34"/>
  <c r="I51" i="34"/>
  <c r="I114" i="34"/>
  <c r="I69" i="34"/>
  <c r="I70" i="34"/>
  <c r="I54" i="34"/>
  <c r="I104" i="34"/>
  <c r="I111" i="34"/>
  <c r="I92" i="34"/>
  <c r="I61" i="34"/>
  <c r="I84" i="34"/>
  <c r="I74" i="34"/>
  <c r="I107" i="34"/>
  <c r="I105" i="34"/>
  <c r="I93" i="34"/>
  <c r="I98" i="34"/>
  <c r="I123" i="34"/>
  <c r="I66" i="34"/>
  <c r="I124" i="34"/>
  <c r="I65" i="34"/>
  <c r="I96" i="34"/>
  <c r="I120" i="34"/>
  <c r="I115" i="34"/>
  <c r="CO37" i="34"/>
  <c r="CL37" i="34"/>
  <c r="CR37" i="34"/>
  <c r="CI37" i="34"/>
  <c r="I20" i="34"/>
  <c r="CI46" i="34"/>
  <c r="CR46" i="34"/>
  <c r="CO46" i="34"/>
  <c r="CL46" i="34"/>
  <c r="H119" i="34"/>
  <c r="BD119" i="34" s="1"/>
  <c r="BE119" i="34" s="1"/>
  <c r="H99" i="34"/>
  <c r="BD99" i="34" s="1"/>
  <c r="BE99" i="34" s="1"/>
  <c r="I127" i="34"/>
  <c r="I79" i="34"/>
  <c r="I68" i="34"/>
  <c r="I108" i="34"/>
  <c r="I112" i="34"/>
  <c r="I100" i="34"/>
  <c r="I87" i="34"/>
  <c r="I58" i="34"/>
  <c r="H62" i="34"/>
  <c r="BD62" i="34" s="1"/>
  <c r="BE62" i="34" s="1"/>
  <c r="I62" i="34"/>
  <c r="I73" i="34"/>
  <c r="I118" i="34"/>
  <c r="I85" i="34"/>
  <c r="I77" i="34"/>
  <c r="I83" i="34"/>
  <c r="I57" i="34"/>
  <c r="I53" i="34"/>
  <c r="I97" i="34"/>
  <c r="I56" i="34"/>
  <c r="I106" i="34"/>
  <c r="I116" i="34"/>
  <c r="I126" i="34"/>
  <c r="H94" i="34"/>
  <c r="BD94" i="34" s="1"/>
  <c r="BE94" i="34" s="1"/>
  <c r="I94" i="34"/>
  <c r="I122" i="34"/>
  <c r="I109" i="34"/>
  <c r="CO47" i="34"/>
  <c r="CL47" i="34"/>
  <c r="CR47" i="34"/>
  <c r="CI47" i="34"/>
  <c r="CI42" i="34"/>
  <c r="CL42" i="34"/>
  <c r="CO42" i="34"/>
  <c r="CR42" i="34"/>
  <c r="CR35" i="34"/>
  <c r="CI35" i="34"/>
  <c r="CL35" i="34"/>
  <c r="CO35" i="34"/>
  <c r="I102" i="34"/>
  <c r="I86" i="34"/>
  <c r="I71" i="34"/>
  <c r="I72" i="34"/>
  <c r="I64" i="34"/>
  <c r="I88" i="34"/>
  <c r="I89" i="34"/>
  <c r="I101" i="34"/>
  <c r="I103" i="34"/>
  <c r="I95" i="34"/>
  <c r="I24" i="34"/>
  <c r="CO48" i="34"/>
  <c r="CL48" i="34"/>
  <c r="CR48" i="34"/>
  <c r="CI48" i="34"/>
  <c r="I49" i="34"/>
  <c r="C4" i="29"/>
  <c r="H33" i="34"/>
  <c r="BD33" i="34" s="1"/>
  <c r="BE33" i="34" s="1"/>
  <c r="H23" i="34"/>
  <c r="BD23" i="34" s="1"/>
  <c r="BE23" i="34" s="1"/>
  <c r="H28" i="34"/>
  <c r="BD28" i="34" s="1"/>
  <c r="BE28" i="34" s="1"/>
  <c r="H25" i="34"/>
  <c r="BD25" i="34" s="1"/>
  <c r="BE25" i="34" s="1"/>
  <c r="H91" i="34"/>
  <c r="BD91" i="34" s="1"/>
  <c r="BE91" i="34" s="1"/>
  <c r="H59" i="34"/>
  <c r="BD59" i="34" s="1"/>
  <c r="BE59" i="34" s="1"/>
  <c r="O11" i="30" l="1"/>
  <c r="T11" i="30" s="1"/>
  <c r="CS21" i="34"/>
  <c r="CS49" i="34"/>
  <c r="CS19" i="34"/>
  <c r="CS36" i="34"/>
  <c r="CS24" i="34"/>
  <c r="CS34" i="34"/>
  <c r="CS41" i="34"/>
  <c r="CS20" i="34"/>
  <c r="CS43" i="34"/>
  <c r="CS44" i="34"/>
  <c r="CS40" i="34"/>
  <c r="CS39" i="34"/>
  <c r="CS38" i="34"/>
  <c r="CS31" i="34"/>
  <c r="N8" i="30"/>
  <c r="Q8" i="30" s="1"/>
  <c r="L8" i="30"/>
  <c r="M8" i="30" s="1"/>
  <c r="O8" i="30"/>
  <c r="T8" i="30" s="1"/>
  <c r="R8" i="30"/>
  <c r="D4" i="29"/>
  <c r="I128" i="34"/>
  <c r="I129" i="34"/>
  <c r="I134" i="34"/>
  <c r="I132" i="34"/>
  <c r="I130" i="34"/>
  <c r="I136" i="34"/>
  <c r="I131" i="34"/>
  <c r="I135" i="34"/>
  <c r="I133" i="34"/>
  <c r="CS47" i="34"/>
  <c r="CS37" i="34"/>
  <c r="CI91" i="34"/>
  <c r="CO91" i="34"/>
  <c r="CR91" i="34"/>
  <c r="CL91" i="34"/>
  <c r="I35" i="34"/>
  <c r="I47" i="34"/>
  <c r="H109" i="34"/>
  <c r="BD109" i="34" s="1"/>
  <c r="BE109" i="34" s="1"/>
  <c r="CR94" i="34"/>
  <c r="CL94" i="34"/>
  <c r="CO94" i="34"/>
  <c r="CI94" i="34"/>
  <c r="H116" i="34"/>
  <c r="BD116" i="34" s="1"/>
  <c r="BE116" i="34" s="1"/>
  <c r="H56" i="34"/>
  <c r="BD56" i="34" s="1"/>
  <c r="BE56" i="34" s="1"/>
  <c r="H53" i="34"/>
  <c r="BD53" i="34" s="1"/>
  <c r="BE53" i="34" s="1"/>
  <c r="H83" i="34"/>
  <c r="BD83" i="34" s="1"/>
  <c r="BE83" i="34" s="1"/>
  <c r="H85" i="34"/>
  <c r="BD85" i="34" s="1"/>
  <c r="BE85" i="34" s="1"/>
  <c r="H73" i="34"/>
  <c r="BD73" i="34" s="1"/>
  <c r="BE73" i="34" s="1"/>
  <c r="H58" i="34"/>
  <c r="BD58" i="34" s="1"/>
  <c r="BE58" i="34" s="1"/>
  <c r="H100" i="34"/>
  <c r="BD100" i="34" s="1"/>
  <c r="BE100" i="34" s="1"/>
  <c r="H68" i="34"/>
  <c r="BD68" i="34" s="1"/>
  <c r="BE68" i="34" s="1"/>
  <c r="H127" i="34"/>
  <c r="BD127" i="34" s="1"/>
  <c r="BE127" i="34" s="1"/>
  <c r="H134" i="34"/>
  <c r="BD134" i="34" s="1"/>
  <c r="BE134" i="34" s="1"/>
  <c r="H140" i="34"/>
  <c r="BD140" i="34" s="1"/>
  <c r="BE140" i="34" s="1"/>
  <c r="H65" i="34"/>
  <c r="BD65" i="34" s="1"/>
  <c r="BE65" i="34" s="1"/>
  <c r="H66" i="34"/>
  <c r="BD66" i="34" s="1"/>
  <c r="BE66" i="34" s="1"/>
  <c r="H98" i="34"/>
  <c r="BD98" i="34" s="1"/>
  <c r="BE98" i="34" s="1"/>
  <c r="H93" i="34"/>
  <c r="BD93" i="34" s="1"/>
  <c r="BE93" i="34" s="1"/>
  <c r="H74" i="34"/>
  <c r="BD74" i="34" s="1"/>
  <c r="BE74" i="34" s="1"/>
  <c r="H61" i="34"/>
  <c r="BD61" i="34" s="1"/>
  <c r="BE61" i="34" s="1"/>
  <c r="H111" i="34"/>
  <c r="BD111" i="34" s="1"/>
  <c r="BE111" i="34" s="1"/>
  <c r="H54" i="34"/>
  <c r="BD54" i="34" s="1"/>
  <c r="BE54" i="34" s="1"/>
  <c r="H69" i="34"/>
  <c r="BD69" i="34" s="1"/>
  <c r="BE69" i="34" s="1"/>
  <c r="H63" i="34"/>
  <c r="BD63" i="34" s="1"/>
  <c r="BE63" i="34" s="1"/>
  <c r="H75" i="34"/>
  <c r="BD75" i="34" s="1"/>
  <c r="BE75" i="34" s="1"/>
  <c r="H80" i="34"/>
  <c r="BD80" i="34" s="1"/>
  <c r="BE80" i="34" s="1"/>
  <c r="H121" i="34"/>
  <c r="BD121" i="34" s="1"/>
  <c r="BE121" i="34" s="1"/>
  <c r="H82" i="34"/>
  <c r="BD82" i="34" s="1"/>
  <c r="BE82" i="34" s="1"/>
  <c r="H110" i="34"/>
  <c r="BD110" i="34" s="1"/>
  <c r="BE110" i="34" s="1"/>
  <c r="H55" i="34"/>
  <c r="BD55" i="34" s="1"/>
  <c r="BE55" i="34" s="1"/>
  <c r="H76" i="34"/>
  <c r="BD76" i="34" s="1"/>
  <c r="BE76" i="34" s="1"/>
  <c r="H78" i="34"/>
  <c r="BD78" i="34" s="1"/>
  <c r="BE78" i="34" s="1"/>
  <c r="H133" i="34"/>
  <c r="BD133" i="34" s="1"/>
  <c r="BE133" i="34" s="1"/>
  <c r="H117" i="34"/>
  <c r="BD117" i="34" s="1"/>
  <c r="BE117" i="34" s="1"/>
  <c r="CO25" i="34"/>
  <c r="CL25" i="34"/>
  <c r="CR25" i="34"/>
  <c r="CI25" i="34"/>
  <c r="I37" i="34"/>
  <c r="CO23" i="34"/>
  <c r="CL23" i="34"/>
  <c r="CR23" i="34"/>
  <c r="CI23" i="34"/>
  <c r="H95" i="34"/>
  <c r="BD95" i="34" s="1"/>
  <c r="BE95" i="34" s="1"/>
  <c r="H128" i="34"/>
  <c r="BD128" i="34" s="1"/>
  <c r="BE128" i="34" s="1"/>
  <c r="H131" i="34"/>
  <c r="BD131" i="34" s="1"/>
  <c r="BE131" i="34" s="1"/>
  <c r="H139" i="34"/>
  <c r="BD139" i="34" s="1"/>
  <c r="BE139" i="34" s="1"/>
  <c r="H130" i="34"/>
  <c r="BD130" i="34" s="1"/>
  <c r="BE130" i="34" s="1"/>
  <c r="H136" i="34"/>
  <c r="BD136" i="34" s="1"/>
  <c r="BE136" i="34" s="1"/>
  <c r="H64" i="34"/>
  <c r="BD64" i="34" s="1"/>
  <c r="BE64" i="34" s="1"/>
  <c r="H71" i="34"/>
  <c r="BD71" i="34" s="1"/>
  <c r="BE71" i="34" s="1"/>
  <c r="H86" i="34"/>
  <c r="BD86" i="34" s="1"/>
  <c r="BE86" i="34" s="1"/>
  <c r="H102" i="34"/>
  <c r="BD102" i="34" s="1"/>
  <c r="BE102" i="34" s="1"/>
  <c r="CI99" i="34"/>
  <c r="CL99" i="34"/>
  <c r="CO99" i="34"/>
  <c r="CR99" i="34"/>
  <c r="CI28" i="34"/>
  <c r="CO28" i="34"/>
  <c r="CR28" i="34"/>
  <c r="CL28" i="34"/>
  <c r="I46" i="34"/>
  <c r="CO33" i="34"/>
  <c r="CR33" i="34"/>
  <c r="CL33" i="34"/>
  <c r="CI33" i="34"/>
  <c r="CS35" i="34"/>
  <c r="H122" i="34"/>
  <c r="BD122" i="34" s="1"/>
  <c r="BE122" i="34" s="1"/>
  <c r="H126" i="34"/>
  <c r="BD126" i="34" s="1"/>
  <c r="BE126" i="34" s="1"/>
  <c r="H106" i="34"/>
  <c r="BD106" i="34" s="1"/>
  <c r="BE106" i="34" s="1"/>
  <c r="H97" i="34"/>
  <c r="BD97" i="34" s="1"/>
  <c r="BE97" i="34" s="1"/>
  <c r="H57" i="34"/>
  <c r="BD57" i="34" s="1"/>
  <c r="BE57" i="34" s="1"/>
  <c r="H77" i="34"/>
  <c r="BD77" i="34" s="1"/>
  <c r="BE77" i="34" s="1"/>
  <c r="H118" i="34"/>
  <c r="BD118" i="34" s="1"/>
  <c r="BE118" i="34" s="1"/>
  <c r="CL62" i="34"/>
  <c r="CO62" i="34"/>
  <c r="CI62" i="34"/>
  <c r="CR62" i="34"/>
  <c r="H87" i="34"/>
  <c r="BD87" i="34" s="1"/>
  <c r="BE87" i="34" s="1"/>
  <c r="H112" i="34"/>
  <c r="BD112" i="34" s="1"/>
  <c r="BE112" i="34" s="1"/>
  <c r="H108" i="34"/>
  <c r="BD108" i="34" s="1"/>
  <c r="BE108" i="34" s="1"/>
  <c r="H79" i="34"/>
  <c r="BD79" i="34" s="1"/>
  <c r="BE79" i="34" s="1"/>
  <c r="H115" i="34"/>
  <c r="BD115" i="34" s="1"/>
  <c r="BE115" i="34" s="1"/>
  <c r="H120" i="34"/>
  <c r="BD120" i="34" s="1"/>
  <c r="BE120" i="34" s="1"/>
  <c r="H96" i="34"/>
  <c r="BD96" i="34" s="1"/>
  <c r="BE96" i="34" s="1"/>
  <c r="H124" i="34"/>
  <c r="BD124" i="34" s="1"/>
  <c r="BE124" i="34" s="1"/>
  <c r="H123" i="34"/>
  <c r="BD123" i="34" s="1"/>
  <c r="BE123" i="34" s="1"/>
  <c r="H105" i="34"/>
  <c r="BD105" i="34" s="1"/>
  <c r="BE105" i="34" s="1"/>
  <c r="H107" i="34"/>
  <c r="BD107" i="34" s="1"/>
  <c r="BE107" i="34" s="1"/>
  <c r="H84" i="34"/>
  <c r="BD84" i="34" s="1"/>
  <c r="BE84" i="34" s="1"/>
  <c r="H92" i="34"/>
  <c r="BD92" i="34" s="1"/>
  <c r="BE92" i="34" s="1"/>
  <c r="H104" i="34"/>
  <c r="BD104" i="34" s="1"/>
  <c r="BE104" i="34" s="1"/>
  <c r="H70" i="34"/>
  <c r="BD70" i="34" s="1"/>
  <c r="BE70" i="34" s="1"/>
  <c r="H114" i="34"/>
  <c r="BD114" i="34" s="1"/>
  <c r="BE114" i="34" s="1"/>
  <c r="H90" i="34"/>
  <c r="BD90" i="34" s="1"/>
  <c r="BE90" i="34" s="1"/>
  <c r="H138" i="34"/>
  <c r="BD138" i="34" s="1"/>
  <c r="BE138" i="34" s="1"/>
  <c r="H129" i="34"/>
  <c r="BD129" i="34" s="1"/>
  <c r="BE129" i="34" s="1"/>
  <c r="H67" i="34"/>
  <c r="BD67" i="34" s="1"/>
  <c r="BE67" i="34" s="1"/>
  <c r="H60" i="34"/>
  <c r="BD60" i="34" s="1"/>
  <c r="BE60" i="34" s="1"/>
  <c r="H113" i="34"/>
  <c r="BD113" i="34" s="1"/>
  <c r="BE113" i="34" s="1"/>
  <c r="H81" i="34"/>
  <c r="BD81" i="34" s="1"/>
  <c r="BE81" i="34" s="1"/>
  <c r="H52" i="34"/>
  <c r="BD52" i="34" s="1"/>
  <c r="BE52" i="34" s="1"/>
  <c r="H125" i="34"/>
  <c r="BD125" i="34" s="1"/>
  <c r="BE125" i="34" s="1"/>
  <c r="CI59" i="34"/>
  <c r="CL59" i="34"/>
  <c r="CR59" i="34"/>
  <c r="CO59" i="34"/>
  <c r="I42" i="34"/>
  <c r="I28" i="34"/>
  <c r="I48" i="34"/>
  <c r="CS48" i="34"/>
  <c r="H135" i="34"/>
  <c r="BD135" i="34" s="1"/>
  <c r="BE135" i="34" s="1"/>
  <c r="H103" i="34"/>
  <c r="BD103" i="34" s="1"/>
  <c r="BE103" i="34" s="1"/>
  <c r="H101" i="34"/>
  <c r="BD101" i="34" s="1"/>
  <c r="BE101" i="34" s="1"/>
  <c r="H137" i="34"/>
  <c r="BD137" i="34" s="1"/>
  <c r="BE137" i="34" s="1"/>
  <c r="H89" i="34"/>
  <c r="BD89" i="34" s="1"/>
  <c r="BE89" i="34" s="1"/>
  <c r="H88" i="34"/>
  <c r="BD88" i="34" s="1"/>
  <c r="BE88" i="34" s="1"/>
  <c r="H132" i="34"/>
  <c r="BD132" i="34" s="1"/>
  <c r="BE132" i="34" s="1"/>
  <c r="H72" i="34"/>
  <c r="BD72" i="34" s="1"/>
  <c r="BE72" i="34" s="1"/>
  <c r="CS42" i="34"/>
  <c r="CI119" i="34"/>
  <c r="CL119" i="34"/>
  <c r="CO119" i="34"/>
  <c r="CR119" i="34"/>
  <c r="CS46" i="34"/>
  <c r="H30" i="34"/>
  <c r="BD30" i="34" s="1"/>
  <c r="BE30" i="34" s="1"/>
  <c r="H32" i="34"/>
  <c r="BD32" i="34" s="1"/>
  <c r="BE32" i="34" s="1"/>
  <c r="H22" i="34"/>
  <c r="BD22" i="34" s="1"/>
  <c r="BE22" i="34" s="1"/>
  <c r="H27" i="34"/>
  <c r="BD27" i="34" s="1"/>
  <c r="BE27" i="34" s="1"/>
  <c r="E4" i="29" l="1"/>
  <c r="D9" i="30"/>
  <c r="I138" i="34"/>
  <c r="H146" i="34"/>
  <c r="BD146" i="34" s="1"/>
  <c r="BE146" i="34" s="1"/>
  <c r="CR146" i="34" s="1"/>
  <c r="H144" i="34"/>
  <c r="BD144" i="34" s="1"/>
  <c r="BE144" i="34" s="1"/>
  <c r="CI144" i="34" s="1"/>
  <c r="I141" i="34"/>
  <c r="I143" i="34"/>
  <c r="I146" i="34"/>
  <c r="I139" i="34"/>
  <c r="H143" i="34"/>
  <c r="BD143" i="34" s="1"/>
  <c r="BE143" i="34" s="1"/>
  <c r="CO143" i="34" s="1"/>
  <c r="H145" i="34"/>
  <c r="BD145" i="34" s="1"/>
  <c r="BE145" i="34" s="1"/>
  <c r="CO145" i="34" s="1"/>
  <c r="H150" i="34"/>
  <c r="BD150" i="34" s="1"/>
  <c r="BE150" i="34" s="1"/>
  <c r="CR150" i="34" s="1"/>
  <c r="H142" i="34"/>
  <c r="BD142" i="34" s="1"/>
  <c r="BE142" i="34" s="1"/>
  <c r="CO142" i="34" s="1"/>
  <c r="H152" i="34"/>
  <c r="BD152" i="34" s="1"/>
  <c r="BE152" i="34" s="1"/>
  <c r="CL152" i="34" s="1"/>
  <c r="I140" i="34"/>
  <c r="I144" i="34"/>
  <c r="CS99" i="34"/>
  <c r="H151" i="34"/>
  <c r="BD151" i="34" s="1"/>
  <c r="BE151" i="34" s="1"/>
  <c r="CI151" i="34" s="1"/>
  <c r="H149" i="34"/>
  <c r="BD149" i="34" s="1"/>
  <c r="BE149" i="34" s="1"/>
  <c r="CR149" i="34" s="1"/>
  <c r="I137" i="34"/>
  <c r="CS28" i="34"/>
  <c r="CS119" i="34"/>
  <c r="CR27" i="34"/>
  <c r="CL27" i="34"/>
  <c r="CO27" i="34"/>
  <c r="CI27" i="34"/>
  <c r="CI30" i="34"/>
  <c r="CR30" i="34"/>
  <c r="CL30" i="34"/>
  <c r="CO30" i="34"/>
  <c r="CL81" i="34"/>
  <c r="CO81" i="34"/>
  <c r="CI81" i="34"/>
  <c r="CR81" i="34"/>
  <c r="CL60" i="34"/>
  <c r="CO60" i="34"/>
  <c r="CI60" i="34"/>
  <c r="CR60" i="34"/>
  <c r="CO138" i="34"/>
  <c r="CI138" i="34"/>
  <c r="CL138" i="34"/>
  <c r="CR138" i="34"/>
  <c r="CL70" i="34"/>
  <c r="CO70" i="34"/>
  <c r="CI70" i="34"/>
  <c r="CR70" i="34"/>
  <c r="CO92" i="34"/>
  <c r="CI92" i="34"/>
  <c r="CL92" i="34"/>
  <c r="CR92" i="34"/>
  <c r="CI107" i="34"/>
  <c r="CL107" i="34"/>
  <c r="CO107" i="34"/>
  <c r="CR107" i="34"/>
  <c r="CR124" i="34"/>
  <c r="CO124" i="34"/>
  <c r="CI124" i="34"/>
  <c r="CL124" i="34"/>
  <c r="CI120" i="34"/>
  <c r="CL120" i="34"/>
  <c r="CO120" i="34"/>
  <c r="CR120" i="34"/>
  <c r="CR108" i="34"/>
  <c r="CO108" i="34"/>
  <c r="CI108" i="34"/>
  <c r="CL108" i="34"/>
  <c r="CI87" i="34"/>
  <c r="CR87" i="34"/>
  <c r="CO87" i="34"/>
  <c r="CL87" i="34"/>
  <c r="CL77" i="34"/>
  <c r="CO77" i="34"/>
  <c r="CI77" i="34"/>
  <c r="CR77" i="34"/>
  <c r="CO97" i="34"/>
  <c r="CI97" i="34"/>
  <c r="CL97" i="34"/>
  <c r="CR97" i="34"/>
  <c r="CR126" i="34"/>
  <c r="CO126" i="34"/>
  <c r="CI126" i="34"/>
  <c r="CL126" i="34"/>
  <c r="CI102" i="34"/>
  <c r="CL102" i="34"/>
  <c r="CO102" i="34"/>
  <c r="CR102" i="34"/>
  <c r="CI71" i="34"/>
  <c r="CR71" i="34"/>
  <c r="CO71" i="34"/>
  <c r="CL71" i="34"/>
  <c r="CI64" i="34"/>
  <c r="CR64" i="34"/>
  <c r="CO64" i="34"/>
  <c r="CL64" i="34"/>
  <c r="CR130" i="34"/>
  <c r="CO130" i="34"/>
  <c r="CI130" i="34"/>
  <c r="CL130" i="34"/>
  <c r="CR139" i="34"/>
  <c r="CI139" i="34"/>
  <c r="CL139" i="34"/>
  <c r="CO139" i="34"/>
  <c r="CI128" i="34"/>
  <c r="CL128" i="34"/>
  <c r="CO128" i="34"/>
  <c r="CR128" i="34"/>
  <c r="CL95" i="34"/>
  <c r="CR95" i="34"/>
  <c r="CI95" i="34"/>
  <c r="CO95" i="34"/>
  <c r="CR117" i="34"/>
  <c r="CO117" i="34"/>
  <c r="CI117" i="34"/>
  <c r="CL117" i="34"/>
  <c r="CL78" i="34"/>
  <c r="CO78" i="34"/>
  <c r="CI78" i="34"/>
  <c r="CR78" i="34"/>
  <c r="CO55" i="34"/>
  <c r="CL55" i="34"/>
  <c r="CR55" i="34"/>
  <c r="CI55" i="34"/>
  <c r="CL82" i="34"/>
  <c r="CO82" i="34"/>
  <c r="CI82" i="34"/>
  <c r="CR82" i="34"/>
  <c r="CL80" i="34"/>
  <c r="CO80" i="34"/>
  <c r="CI80" i="34"/>
  <c r="CR80" i="34"/>
  <c r="CL69" i="34"/>
  <c r="CO69" i="34"/>
  <c r="CI69" i="34"/>
  <c r="CR69" i="34"/>
  <c r="CI111" i="34"/>
  <c r="CL111" i="34"/>
  <c r="CO111" i="34"/>
  <c r="CR111" i="34"/>
  <c r="CL74" i="34"/>
  <c r="CO74" i="34"/>
  <c r="CI74" i="34"/>
  <c r="CR74" i="34"/>
  <c r="CR93" i="34"/>
  <c r="CL93" i="34"/>
  <c r="CO93" i="34"/>
  <c r="CI93" i="34"/>
  <c r="CL66" i="34"/>
  <c r="CO66" i="34"/>
  <c r="CI66" i="34"/>
  <c r="CR66" i="34"/>
  <c r="CI134" i="34"/>
  <c r="CL134" i="34"/>
  <c r="CO134" i="34"/>
  <c r="CR134" i="34"/>
  <c r="CO68" i="34"/>
  <c r="CL68" i="34"/>
  <c r="CR68" i="34"/>
  <c r="CI68" i="34"/>
  <c r="CR100" i="34"/>
  <c r="CO100" i="34"/>
  <c r="CI100" i="34"/>
  <c r="CL100" i="34"/>
  <c r="CL73" i="34"/>
  <c r="CO73" i="34"/>
  <c r="CI73" i="34"/>
  <c r="CR73" i="34"/>
  <c r="CI83" i="34"/>
  <c r="CR83" i="34"/>
  <c r="CO83" i="34"/>
  <c r="CL83" i="34"/>
  <c r="CO56" i="34"/>
  <c r="CR56" i="34"/>
  <c r="CI56" i="34"/>
  <c r="CL56" i="34"/>
  <c r="CI109" i="34"/>
  <c r="CL109" i="34"/>
  <c r="CO109" i="34"/>
  <c r="CR109" i="34"/>
  <c r="BD18" i="34"/>
  <c r="BE18" i="34" s="1"/>
  <c r="BE157" i="34" s="1"/>
  <c r="I161" i="34" s="1"/>
  <c r="I33" i="34"/>
  <c r="CO132" i="34"/>
  <c r="CR132" i="34"/>
  <c r="CL132" i="34"/>
  <c r="CI132" i="34"/>
  <c r="CL89" i="34"/>
  <c r="CO89" i="34"/>
  <c r="CI89" i="34"/>
  <c r="CR89" i="34"/>
  <c r="CO101" i="34"/>
  <c r="CR101" i="34"/>
  <c r="CL101" i="34"/>
  <c r="CI101" i="34"/>
  <c r="CI135" i="34"/>
  <c r="CL135" i="34"/>
  <c r="CO135" i="34"/>
  <c r="CR135" i="34"/>
  <c r="CS25" i="34"/>
  <c r="I25" i="34"/>
  <c r="CI22" i="34"/>
  <c r="CR22" i="34"/>
  <c r="CL22" i="34"/>
  <c r="CO22" i="34"/>
  <c r="CI125" i="34"/>
  <c r="CL125" i="34"/>
  <c r="CO125" i="34"/>
  <c r="CR125" i="34"/>
  <c r="CO52" i="34"/>
  <c r="CI52" i="34"/>
  <c r="CL52" i="34"/>
  <c r="CR52" i="34"/>
  <c r="CO113" i="34"/>
  <c r="CR113" i="34"/>
  <c r="CL113" i="34"/>
  <c r="CI113" i="34"/>
  <c r="CI67" i="34"/>
  <c r="CR67" i="34"/>
  <c r="CO67" i="34"/>
  <c r="CL67" i="34"/>
  <c r="CI129" i="34"/>
  <c r="CL129" i="34"/>
  <c r="CO129" i="34"/>
  <c r="CR129" i="34"/>
  <c r="CL90" i="34"/>
  <c r="CO90" i="34"/>
  <c r="CI90" i="34"/>
  <c r="CR90" i="34"/>
  <c r="CI114" i="34"/>
  <c r="CL114" i="34"/>
  <c r="CO114" i="34"/>
  <c r="CR114" i="34"/>
  <c r="CR104" i="34"/>
  <c r="CO104" i="34"/>
  <c r="CI104" i="34"/>
  <c r="CL104" i="34"/>
  <c r="CO84" i="34"/>
  <c r="CL84" i="34"/>
  <c r="CR84" i="34"/>
  <c r="CI84" i="34"/>
  <c r="CR105" i="34"/>
  <c r="CO105" i="34"/>
  <c r="CI105" i="34"/>
  <c r="CL105" i="34"/>
  <c r="CO123" i="34"/>
  <c r="CR123" i="34"/>
  <c r="CL123" i="34"/>
  <c r="CI123" i="34"/>
  <c r="CR96" i="34"/>
  <c r="CL96" i="34"/>
  <c r="CO96" i="34"/>
  <c r="CI96" i="34"/>
  <c r="CI115" i="34"/>
  <c r="CL115" i="34"/>
  <c r="CO115" i="34"/>
  <c r="CR115" i="34"/>
  <c r="CI79" i="34"/>
  <c r="CR79" i="34"/>
  <c r="CO79" i="34"/>
  <c r="CL79" i="34"/>
  <c r="CR112" i="34"/>
  <c r="CO112" i="34"/>
  <c r="CI112" i="34"/>
  <c r="CL112" i="34"/>
  <c r="CS62" i="34"/>
  <c r="CI118" i="34"/>
  <c r="CL118" i="34"/>
  <c r="CO118" i="34"/>
  <c r="CR118" i="34"/>
  <c r="CO57" i="34"/>
  <c r="CR57" i="34"/>
  <c r="CI57" i="34"/>
  <c r="CL57" i="34"/>
  <c r="CI106" i="34"/>
  <c r="CL106" i="34"/>
  <c r="CO106" i="34"/>
  <c r="CR106" i="34"/>
  <c r="CO122" i="34"/>
  <c r="CR122" i="34"/>
  <c r="CL122" i="34"/>
  <c r="CI122" i="34"/>
  <c r="CL86" i="34"/>
  <c r="CO86" i="34"/>
  <c r="CI86" i="34"/>
  <c r="CR86" i="34"/>
  <c r="CI136" i="34"/>
  <c r="CL136" i="34"/>
  <c r="CO136" i="34"/>
  <c r="CR136" i="34"/>
  <c r="CR131" i="34"/>
  <c r="CO131" i="34"/>
  <c r="CI131" i="34"/>
  <c r="CL131" i="34"/>
  <c r="CR133" i="34"/>
  <c r="CO133" i="34"/>
  <c r="CI133" i="34"/>
  <c r="CL133" i="34"/>
  <c r="CI76" i="34"/>
  <c r="CR76" i="34"/>
  <c r="CO76" i="34"/>
  <c r="CL76" i="34"/>
  <c r="CI110" i="34"/>
  <c r="CL110" i="34"/>
  <c r="CO110" i="34"/>
  <c r="CR110" i="34"/>
  <c r="CR121" i="34"/>
  <c r="CO121" i="34"/>
  <c r="CI121" i="34"/>
  <c r="CL121" i="34"/>
  <c r="CI75" i="34"/>
  <c r="CR75" i="34"/>
  <c r="CO75" i="34"/>
  <c r="CL75" i="34"/>
  <c r="CI63" i="34"/>
  <c r="CR63" i="34"/>
  <c r="CO63" i="34"/>
  <c r="CL63" i="34"/>
  <c r="CR54" i="34"/>
  <c r="CL54" i="34"/>
  <c r="CO54" i="34"/>
  <c r="CI54" i="34"/>
  <c r="CL61" i="34"/>
  <c r="CO61" i="34"/>
  <c r="CI61" i="34"/>
  <c r="CR61" i="34"/>
  <c r="CI98" i="34"/>
  <c r="CL98" i="34"/>
  <c r="CO98" i="34"/>
  <c r="CR98" i="34"/>
  <c r="CL65" i="34"/>
  <c r="CO65" i="34"/>
  <c r="CI65" i="34"/>
  <c r="CR65" i="34"/>
  <c r="CI140" i="34"/>
  <c r="CO140" i="34"/>
  <c r="CR140" i="34"/>
  <c r="CL140" i="34"/>
  <c r="CI127" i="34"/>
  <c r="CL127" i="34"/>
  <c r="CO127" i="34"/>
  <c r="CR127" i="34"/>
  <c r="CO58" i="34"/>
  <c r="CR58" i="34"/>
  <c r="CL58" i="34"/>
  <c r="CI58" i="34"/>
  <c r="CL85" i="34"/>
  <c r="CO85" i="34"/>
  <c r="CI85" i="34"/>
  <c r="CR85" i="34"/>
  <c r="CO53" i="34"/>
  <c r="CL53" i="34"/>
  <c r="CR53" i="34"/>
  <c r="CI53" i="34"/>
  <c r="CR116" i="34"/>
  <c r="CO116" i="34"/>
  <c r="CI116" i="34"/>
  <c r="CL116" i="34"/>
  <c r="I23" i="34"/>
  <c r="CI32" i="34"/>
  <c r="CO32" i="34"/>
  <c r="CR32" i="34"/>
  <c r="CL32" i="34"/>
  <c r="CL72" i="34"/>
  <c r="CO72" i="34"/>
  <c r="CI72" i="34"/>
  <c r="CR72" i="34"/>
  <c r="CI88" i="34"/>
  <c r="CR88" i="34"/>
  <c r="CO88" i="34"/>
  <c r="CL88" i="34"/>
  <c r="CO137" i="34"/>
  <c r="CI137" i="34"/>
  <c r="CL137" i="34"/>
  <c r="CR137" i="34"/>
  <c r="CI103" i="34"/>
  <c r="CL103" i="34"/>
  <c r="CO103" i="34"/>
  <c r="CR103" i="34"/>
  <c r="CS59" i="34"/>
  <c r="CS33" i="34"/>
  <c r="CS23" i="34"/>
  <c r="CS94" i="34"/>
  <c r="CS91" i="34"/>
  <c r="BR157" i="12"/>
  <c r="BH157" i="12"/>
  <c r="BO157" i="12"/>
  <c r="BJ157" i="12"/>
  <c r="BL157" i="12"/>
  <c r="BF157" i="12"/>
  <c r="C20" i="38" l="1"/>
  <c r="C20" i="36"/>
  <c r="P9" i="30"/>
  <c r="L9" i="30"/>
  <c r="M9" i="30" s="1"/>
  <c r="N9" i="30"/>
  <c r="Q9" i="30" s="1"/>
  <c r="D20" i="30"/>
  <c r="O9" i="30"/>
  <c r="T9" i="30" s="1"/>
  <c r="R9" i="30"/>
  <c r="H154" i="34"/>
  <c r="BD154" i="34" s="1"/>
  <c r="BE154" i="34" s="1"/>
  <c r="CI154" i="34" s="1"/>
  <c r="H141" i="34"/>
  <c r="BD141" i="34" s="1"/>
  <c r="BE141" i="34" s="1"/>
  <c r="CI146" i="34"/>
  <c r="CO146" i="34"/>
  <c r="CO144" i="34"/>
  <c r="CL146" i="34"/>
  <c r="I142" i="34"/>
  <c r="CO150" i="34"/>
  <c r="CL144" i="34"/>
  <c r="CR144" i="34"/>
  <c r="CL151" i="34"/>
  <c r="CR142" i="34"/>
  <c r="CR152" i="34"/>
  <c r="CI145" i="34"/>
  <c r="CI152" i="34"/>
  <c r="CR145" i="34"/>
  <c r="CL149" i="34"/>
  <c r="CL145" i="34"/>
  <c r="CR143" i="34"/>
  <c r="CL143" i="34"/>
  <c r="CL142" i="34"/>
  <c r="CI143" i="34"/>
  <c r="CI142" i="34"/>
  <c r="CL150" i="34"/>
  <c r="CI150" i="34"/>
  <c r="I147" i="34"/>
  <c r="I145" i="34"/>
  <c r="CO152" i="34"/>
  <c r="CO151" i="34"/>
  <c r="H156" i="34"/>
  <c r="BD156" i="34" s="1"/>
  <c r="BE156" i="34" s="1"/>
  <c r="CI156" i="34" s="1"/>
  <c r="CR151" i="34"/>
  <c r="CI149" i="34"/>
  <c r="I148" i="34"/>
  <c r="CO149" i="34"/>
  <c r="H155" i="34"/>
  <c r="BD155" i="34" s="1"/>
  <c r="BE155" i="34" s="1"/>
  <c r="CL155" i="34" s="1"/>
  <c r="I150" i="34"/>
  <c r="I152" i="34"/>
  <c r="I151" i="34"/>
  <c r="CS140" i="34"/>
  <c r="CS115" i="34"/>
  <c r="CS114" i="34"/>
  <c r="CS90" i="34"/>
  <c r="CS129" i="34"/>
  <c r="CS52" i="34"/>
  <c r="CS125" i="34"/>
  <c r="CS103" i="34"/>
  <c r="CS137" i="34"/>
  <c r="CS72" i="34"/>
  <c r="CS68" i="34"/>
  <c r="CS55" i="34"/>
  <c r="I22" i="34"/>
  <c r="I32" i="34"/>
  <c r="I27" i="34"/>
  <c r="CS53" i="34"/>
  <c r="CS58" i="34"/>
  <c r="CS63" i="34"/>
  <c r="CS75" i="34"/>
  <c r="CS76" i="34"/>
  <c r="CS122" i="34"/>
  <c r="CS57" i="34"/>
  <c r="CS84" i="34"/>
  <c r="CS101" i="34"/>
  <c r="CS132" i="34"/>
  <c r="CI18" i="34"/>
  <c r="CI157" i="34" s="1"/>
  <c r="CL18" i="34"/>
  <c r="CL157" i="34" s="1"/>
  <c r="CR18" i="34"/>
  <c r="CR157" i="34" s="1"/>
  <c r="CO18" i="34"/>
  <c r="CO157" i="34" s="1"/>
  <c r="CS56" i="34"/>
  <c r="CS83" i="34"/>
  <c r="CS95" i="34"/>
  <c r="CS64" i="34"/>
  <c r="CS71" i="34"/>
  <c r="CS87" i="34"/>
  <c r="CS30" i="34"/>
  <c r="CS32" i="34"/>
  <c r="CS116" i="34"/>
  <c r="CS54" i="34"/>
  <c r="CS121" i="34"/>
  <c r="CS133" i="34"/>
  <c r="CS131" i="34"/>
  <c r="CS79" i="34"/>
  <c r="CS123" i="34"/>
  <c r="CS67" i="34"/>
  <c r="CS113" i="34"/>
  <c r="CS22" i="34"/>
  <c r="CS100" i="34"/>
  <c r="CS93" i="34"/>
  <c r="CS117" i="34"/>
  <c r="CS139" i="34"/>
  <c r="CS130" i="34"/>
  <c r="CS126" i="34"/>
  <c r="CS108" i="34"/>
  <c r="CS124" i="34"/>
  <c r="CS27" i="34"/>
  <c r="I18" i="34"/>
  <c r="I30" i="34"/>
  <c r="CS88" i="34"/>
  <c r="CS85" i="34"/>
  <c r="CS127" i="34"/>
  <c r="CS65" i="34"/>
  <c r="CS98" i="34"/>
  <c r="CS61" i="34"/>
  <c r="CS110" i="34"/>
  <c r="CS136" i="34"/>
  <c r="CS86" i="34"/>
  <c r="CS106" i="34"/>
  <c r="CS118" i="34"/>
  <c r="CS112" i="34"/>
  <c r="CS96" i="34"/>
  <c r="CS105" i="34"/>
  <c r="CS104" i="34"/>
  <c r="CS135" i="34"/>
  <c r="CS89" i="34"/>
  <c r="CS109" i="34"/>
  <c r="CS73" i="34"/>
  <c r="CS134" i="34"/>
  <c r="CS66" i="34"/>
  <c r="CS74" i="34"/>
  <c r="CS111" i="34"/>
  <c r="CS69" i="34"/>
  <c r="CS80" i="34"/>
  <c r="CS82" i="34"/>
  <c r="CS78" i="34"/>
  <c r="CS128" i="34"/>
  <c r="CS102" i="34"/>
  <c r="CS97" i="34"/>
  <c r="CS77" i="34"/>
  <c r="CS120" i="34"/>
  <c r="CS107" i="34"/>
  <c r="CS92" i="34"/>
  <c r="CS70" i="34"/>
  <c r="CS138" i="34"/>
  <c r="CS60" i="34"/>
  <c r="CS81" i="34"/>
  <c r="C21" i="29"/>
  <c r="C24" i="29"/>
  <c r="C19" i="29"/>
  <c r="N45" i="30"/>
  <c r="C22" i="29"/>
  <c r="D22" i="29" s="1"/>
  <c r="E22" i="29" s="1"/>
  <c r="BT157" i="12"/>
  <c r="D20" i="36" l="1"/>
  <c r="C27" i="36"/>
  <c r="D20" i="38"/>
  <c r="E20" i="38" s="1"/>
  <c r="E27" i="38" s="1"/>
  <c r="C25" i="38"/>
  <c r="D25" i="38" s="1"/>
  <c r="D31" i="38" s="1"/>
  <c r="C36" i="38"/>
  <c r="C37" i="38" s="1"/>
  <c r="C27" i="38"/>
  <c r="CO154" i="34"/>
  <c r="CL154" i="34"/>
  <c r="CR154" i="34"/>
  <c r="L20" i="30"/>
  <c r="M20" i="30" s="1"/>
  <c r="P20" i="30"/>
  <c r="R20" i="30"/>
  <c r="D35" i="30"/>
  <c r="D45" i="30" s="1"/>
  <c r="R45" i="30" s="1"/>
  <c r="N20" i="30"/>
  <c r="Q20" i="30" s="1"/>
  <c r="O20" i="30"/>
  <c r="T20" i="30" s="1"/>
  <c r="D19" i="29"/>
  <c r="D20" i="29"/>
  <c r="D24" i="29"/>
  <c r="D77" i="30" s="1"/>
  <c r="P77" i="30" s="1"/>
  <c r="D63" i="30"/>
  <c r="R63" i="30" s="1"/>
  <c r="D21" i="29"/>
  <c r="E21" i="29" s="1"/>
  <c r="H148" i="34"/>
  <c r="BD148" i="34" s="1"/>
  <c r="BE148" i="34" s="1"/>
  <c r="CR148" i="34" s="1"/>
  <c r="H153" i="34"/>
  <c r="BD153" i="34" s="1"/>
  <c r="BE153" i="34" s="1"/>
  <c r="CL141" i="34"/>
  <c r="CI141" i="34"/>
  <c r="CO141" i="34"/>
  <c r="CR141" i="34"/>
  <c r="H147" i="34"/>
  <c r="BD147" i="34" s="1"/>
  <c r="BE147" i="34" s="1"/>
  <c r="BA157" i="12"/>
  <c r="C18" i="29" s="1"/>
  <c r="CS146" i="34"/>
  <c r="CS144" i="34"/>
  <c r="CS152" i="34"/>
  <c r="CS142" i="34"/>
  <c r="CS157" i="34"/>
  <c r="CS143" i="34"/>
  <c r="CS145" i="34"/>
  <c r="CS150" i="34"/>
  <c r="CO155" i="34"/>
  <c r="CI155" i="34"/>
  <c r="CS151" i="34"/>
  <c r="CR155" i="34"/>
  <c r="CL156" i="34"/>
  <c r="CR156" i="34"/>
  <c r="I149" i="34"/>
  <c r="I154" i="34"/>
  <c r="CS149" i="34"/>
  <c r="CO156" i="34"/>
  <c r="I156" i="34"/>
  <c r="CS18" i="34"/>
  <c r="E20" i="36" l="1"/>
  <c r="E27" i="36" s="1"/>
  <c r="D27" i="36"/>
  <c r="D58" i="30"/>
  <c r="L58" i="30" s="1"/>
  <c r="M58" i="30" s="1"/>
  <c r="E19" i="29"/>
  <c r="D48" i="30"/>
  <c r="O48" i="30" s="1"/>
  <c r="T48" i="30" s="1"/>
  <c r="E20" i="29"/>
  <c r="CS154" i="34"/>
  <c r="CI148" i="34"/>
  <c r="O45" i="30"/>
  <c r="L45" i="30"/>
  <c r="P45" i="30"/>
  <c r="L77" i="30"/>
  <c r="M77" i="30" s="1"/>
  <c r="N63" i="30"/>
  <c r="Q63" i="30" s="1"/>
  <c r="O77" i="30"/>
  <c r="T77" i="30" s="1"/>
  <c r="L63" i="30"/>
  <c r="M63" i="30" s="1"/>
  <c r="N77" i="30"/>
  <c r="Q77" i="30" s="1"/>
  <c r="P63" i="30"/>
  <c r="D79" i="30"/>
  <c r="D81" i="30" s="1"/>
  <c r="R77" i="30"/>
  <c r="O63" i="30"/>
  <c r="T63" i="30" s="1"/>
  <c r="D18" i="29"/>
  <c r="C27" i="29"/>
  <c r="CL148" i="34"/>
  <c r="CO148" i="34"/>
  <c r="I153" i="34"/>
  <c r="CS141" i="34"/>
  <c r="CI153" i="34"/>
  <c r="CL153" i="34"/>
  <c r="CR153" i="34"/>
  <c r="CO153" i="34"/>
  <c r="CR147" i="34"/>
  <c r="CO147" i="34"/>
  <c r="CL147" i="34"/>
  <c r="CI147" i="34"/>
  <c r="I155" i="34"/>
  <c r="CS155" i="34"/>
  <c r="CS156" i="34"/>
  <c r="D28" i="36" l="1"/>
  <c r="D31" i="36"/>
  <c r="D55" i="30"/>
  <c r="D60" i="30"/>
  <c r="R48" i="30"/>
  <c r="N58" i="30"/>
  <c r="Q58" i="30" s="1"/>
  <c r="P58" i="30"/>
  <c r="R58" i="30"/>
  <c r="O58" i="30"/>
  <c r="T58" i="30" s="1"/>
  <c r="P48" i="30"/>
  <c r="N48" i="30"/>
  <c r="Q48" i="30" s="1"/>
  <c r="L48" i="30"/>
  <c r="M48" i="30" s="1"/>
  <c r="E18" i="29"/>
  <c r="I22" i="29" s="1"/>
  <c r="I23" i="29" s="1"/>
  <c r="H22" i="29"/>
  <c r="CS148" i="34"/>
  <c r="T45" i="30"/>
  <c r="Q45" i="30"/>
  <c r="L81" i="30"/>
  <c r="D65" i="30"/>
  <c r="N65" i="30" s="1"/>
  <c r="Q65" i="30" s="1"/>
  <c r="D27" i="29"/>
  <c r="D28" i="29" s="1"/>
  <c r="O81" i="30"/>
  <c r="T81" i="30" s="1"/>
  <c r="R81" i="30"/>
  <c r="P81" i="30"/>
  <c r="I157" i="34"/>
  <c r="I160" i="34" s="1"/>
  <c r="N7" i="35" s="1"/>
  <c r="S7" i="35" s="1"/>
  <c r="CS147" i="34"/>
  <c r="CS153" i="34"/>
  <c r="AH25" i="36" l="1"/>
  <c r="E30" i="36"/>
  <c r="E29" i="36"/>
  <c r="M25" i="36" s="1"/>
  <c r="M26" i="36" s="1"/>
  <c r="E28" i="36"/>
  <c r="J25" i="36" s="1"/>
  <c r="J26" i="36" s="1"/>
  <c r="J27" i="36" s="1"/>
  <c r="K27" i="36" s="1"/>
  <c r="L27" i="36" s="1"/>
  <c r="M27" i="36" s="1"/>
  <c r="N27" i="36" s="1"/>
  <c r="O27" i="36" s="1"/>
  <c r="P27" i="36" s="1"/>
  <c r="Q27" i="36" s="1"/>
  <c r="R27" i="36" s="1"/>
  <c r="S27" i="36" s="1"/>
  <c r="T27" i="36" s="1"/>
  <c r="U27" i="36" s="1"/>
  <c r="V27" i="36" s="1"/>
  <c r="W27" i="36" s="1"/>
  <c r="J24" i="29"/>
  <c r="J25" i="29"/>
  <c r="J26" i="29"/>
  <c r="E29" i="29"/>
  <c r="E30" i="29"/>
  <c r="E28" i="29"/>
  <c r="J22" i="29"/>
  <c r="K22" i="29" s="1"/>
  <c r="Q81" i="30"/>
  <c r="L65" i="30"/>
  <c r="M65" i="30" s="1"/>
  <c r="R65" i="30"/>
  <c r="O65" i="30"/>
  <c r="D67" i="30"/>
  <c r="D69" i="30" s="1"/>
  <c r="P65" i="30"/>
  <c r="N10" i="35"/>
  <c r="E14" i="35" s="1"/>
  <c r="E52" i="35" s="1"/>
  <c r="N86" i="30"/>
  <c r="X25" i="36" l="1"/>
  <c r="X26" i="36" s="1"/>
  <c r="AA25" i="36"/>
  <c r="AA26" i="36" s="1"/>
  <c r="Z25" i="36"/>
  <c r="Z26" i="36" s="1"/>
  <c r="Y25" i="36"/>
  <c r="Y26" i="36" s="1"/>
  <c r="L69" i="30"/>
  <c r="P69" i="30"/>
  <c r="D86" i="30"/>
  <c r="R86" i="30" s="1"/>
  <c r="R69" i="30"/>
  <c r="T65" i="30"/>
  <c r="O69" i="30"/>
  <c r="O86" i="30" s="1"/>
  <c r="X27" i="36" l="1"/>
  <c r="Y27" i="36" s="1"/>
  <c r="Z27" i="36" s="1"/>
  <c r="AA27" i="36" s="1"/>
  <c r="AB27" i="36" s="1"/>
  <c r="AC27" i="36" s="1"/>
  <c r="AD27" i="36" s="1"/>
  <c r="AE27" i="36" s="1"/>
  <c r="AF27" i="36" s="1"/>
  <c r="AG27" i="36" s="1"/>
  <c r="AH27" i="36" s="1"/>
  <c r="Q69" i="30"/>
  <c r="P86" i="30"/>
  <c r="L86" i="30"/>
  <c r="Q86" i="30" s="1"/>
  <c r="T69" i="30"/>
  <c r="T86" i="30" l="1"/>
  <c r="I8" i="3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tc={1CA76D9E-A805-43DE-AF68-600655152791}</author>
    <author>tc={EA54A490-ACC7-416D-8DC4-C42A6579EC1C}</author>
    <author>tc={F4A25577-2000-4296-B570-BD5BE7010CD0}</author>
    <author>tc={694EC7B8-BF99-4EB0-A042-AE463FD754A7}</author>
    <author>tc={1E2641D1-D1C5-4720-8FD7-35A2FC08BAFC}</author>
    <author>tc={F4B1E532-6CB3-48AF-855B-46B8CB3E0543}</author>
    <author>tc={65B7C71A-3390-465A-B147-7D6F84C5FD24}</author>
    <author>tc={FCDD04AB-204A-42D1-98DE-C13D32828B0B}</author>
    <author>tc={7BC1F7AA-9FEA-4DE2-BD5E-3DB6229B7A4D}</author>
    <author>tc={5F45F20A-B690-4F2F-98CE-20E3045DD4CD}</author>
    <author>tc={D6C1C69C-6568-49EA-B6BF-2F4AEFA57137}</author>
    <author>tc={E15158E0-00FA-4542-82A9-BDAE990C9EB6}</author>
    <author>tc={E7D1649D-8581-4FCA-B021-476BF1798AD9}</author>
    <author>tc={D58404AC-F4AB-4430-9B2D-C4C3888FCE82}</author>
    <author>tc={A43331FB-D0D6-46F6-9BA3-FC5ACB8036B7}</author>
    <author>tc={6E06B9B0-EEC1-4A2F-AEEB-82ECAB89EC59}</author>
    <author>tc={723C5430-9992-40CD-9EC8-FAF87FA9109E}</author>
    <author>tc={EADA746C-4928-4FCE-A484-FDADF34AA95F}</author>
    <author>tc={172A3331-2186-41ED-8CC1-D1E12F2660CA}</author>
    <author>tc={4602A455-B311-4A5B-A021-0F7D8BB3258F}</author>
  </authors>
  <commentList>
    <comment ref="AD5" authorId="0" shapeId="0" xr:uid="{1CA76D9E-A805-43DE-AF68-600655152791}">
      <text>
        <t>[Threaded comment]
Your version of Excel allows you to read this threaded comment; however, any edits to it will get removed if the file is opened in a newer version of Excel. Learn more: https://go.microsoft.com/fwlink/?linkid=870924
Comment:
    PACCHETTO SERRAMENTO: SCHIUMA/BARRIERA/VITERIA</t>
      </text>
    </comment>
    <comment ref="AH5" authorId="1" shapeId="0" xr:uid="{EA54A490-ACC7-416D-8DC4-C42A6579EC1C}">
      <text>
        <t>[Threaded comment]
Your version of Excel allows you to read this threaded comment; however, any edits to it will get removed if the file is opened in a newer version of Excel. Learn more: https://go.microsoft.com/fwlink/?linkid=870924
Comment:
    Valore sistema acciaio /mq</t>
      </text>
    </comment>
    <comment ref="AN5" authorId="2" shapeId="0" xr:uid="{F4A25577-2000-4296-B570-BD5BE7010CD0}">
      <text>
        <t>[Threaded comment]
Your version of Excel allows you to read this threaded comment; however, any edits to it will get removed if the file is opened in a newer version of Excel. Learn more: https://go.microsoft.com/fwlink/?linkid=870924
Comment:
    VETRO SERRAMENTO</t>
      </text>
    </comment>
    <comment ref="AT5" authorId="3" shapeId="0" xr:uid="{694EC7B8-BF99-4EB0-A042-AE463FD754A7}">
      <text>
        <t>[Threaded comment]
Your version of Excel allows you to read this threaded comment; however, any edits to it will get removed if the file is opened in a newer version of Excel. Learn more: https://go.microsoft.com/fwlink/?linkid=870924
Comment:
    VALUTAZIONE H. OFFICINA
1H/MQ*(2H) ANTA DK
1H/MQ*(4H) PORTA
1H/MQ*(8H) ANTA SCORREVOLE</t>
      </text>
    </comment>
    <comment ref="AV5" authorId="4" shapeId="0" xr:uid="{1E2641D1-D1C5-4720-8FD7-35A2FC08BAFC}">
      <text>
        <t>[Threaded comment]
Your version of Excel allows you to read this threaded comment; however, any edits to it will get removed if the file is opened in a newer version of Excel. Learn more: https://go.microsoft.com/fwlink/?linkid=870924
Comment:
    POSA/MQ SERRAMENTI LEGNO</t>
      </text>
    </comment>
    <comment ref="P6" authorId="5" shapeId="0" xr:uid="{F4B1E532-6CB3-48AF-855B-46B8CB3E0543}">
      <text>
        <t>[Threaded comment]
Your version of Excel allows you to read this threaded comment; however, any edits to it will get removed if the file is opened in a newer version of Excel. Learn more: https://go.microsoft.com/fwlink/?linkid=870924
Comment:
    STAFFA CAD CON FINITURA</t>
      </text>
    </comment>
    <comment ref="AD6" authorId="6" shapeId="0" xr:uid="{65B7C71A-3390-465A-B147-7D6F84C5FD24}">
      <text>
        <t>[Threaded comment]
Your version of Excel allows you to read this threaded comment; however, any edits to it will get removed if the file is opened in a newer version of Excel. Learn more: https://go.microsoft.com/fwlink/?linkid=870924
Comment:
    PACCHETTOPER FW: LZ/GUAINA/LANA/LA SV MAX 125MM ESTERNO STIMATO SU PERIMETRO</t>
      </text>
    </comment>
    <comment ref="AH6" authorId="7" shapeId="0" xr:uid="{FCDD04AB-204A-42D1-98DE-C13D32828B0B}">
      <text>
        <t>[Threaded comment]
Your version of Excel allows you to read this threaded comment; however, any edits to it will get removed if the file is opened in a newer version of Excel. Learn more: https://go.microsoft.com/fwlink/?linkid=870924
Comment:
    Costo sistema acciaio ei60/mq</t>
      </text>
    </comment>
    <comment ref="AN6" authorId="8" shapeId="0" xr:uid="{7BC1F7AA-9FEA-4DE2-BD5E-3DB6229B7A4D}">
      <text>
        <t>[Threaded comment]
Your version of Excel allows you to read this threaded comment; however, any edits to it will get removed if the file is opened in a newer version of Excel. Learn more: https://go.microsoft.com/fwlink/?linkid=870924
Comment:
    VETRO FACCIATA</t>
      </text>
    </comment>
    <comment ref="AP6" authorId="9" shapeId="0" xr:uid="{5F45F20A-B690-4F2F-98CE-20E3045DD4CD}">
      <text>
        <t>[Threaded comment]
Your version of Excel allows you to read this threaded comment; however, any edits to it will get removed if the file is opened in a newer version of Excel. Learn more: https://go.microsoft.com/fwlink/?linkid=870924
Comment:
    PAN ACP /MQ COLORI SPECIALI SFRIDO INCL 18% (COMPRESI ELEMENTI DI APPESA)</t>
      </text>
    </comment>
    <comment ref="AT6" authorId="10" shapeId="0" xr:uid="{D6C1C69C-6568-49EA-B6BF-2F4AEFA57137}">
      <text>
        <t>[Threaded comment]
Your version of Excel allows you to read this threaded comment; however, any edits to it will get removed if the file is opened in a newer version of Excel. Learn more: https://go.microsoft.com/fwlink/?linkid=870924
Comment:
    EURO /MQ PEER FACCIATA CONT.</t>
      </text>
    </comment>
    <comment ref="AV6" authorId="11" shapeId="0" xr:uid="{E15158E0-00FA-4542-82A9-BDAE990C9EB6}">
      <text>
        <t>[Threaded comment]
Your version of Excel allows you to read this threaded comment; however, any edits to it will get removed if the file is opened in a newer version of Excel. Learn more: https://go.microsoft.com/fwlink/?linkid=870924
Comment:
    POSA FACCIATA CONTINUA /MQ</t>
      </text>
    </comment>
    <comment ref="P7" authorId="12" shapeId="0" xr:uid="{E7D1649D-8581-4FCA-B021-476BF1798AD9}">
      <text>
        <t>[Threaded comment]
Your version of Excel allows you to read this threaded comment; however, any edits to it will get removed if the file is opened in a newer version of Excel. Learn more: https://go.microsoft.com/fwlink/?linkid=870924
Comment:
    LZ PREZINCATA LAVORATA EURO/KG</t>
      </text>
    </comment>
    <comment ref="AD7" authorId="13" shapeId="0" xr:uid="{D58404AC-F4AB-4430-9B2D-C4C3888FCE82}">
      <text>
        <t>[Threaded comment]
Your version of Excel allows you to read this threaded comment; however, any edits to it will get removed if the file is opened in a newer version of Excel. Learn more: https://go.microsoft.com/fwlink/?linkid=870924
Comment:
    ANTIROMBO /MQ</t>
      </text>
    </comment>
    <comment ref="AN7" authorId="14" shapeId="0" xr:uid="{A43331FB-D0D6-46F6-9BA3-FC5ACB8036B7}">
      <text>
        <t>[Threaded comment]
Your version of Excel allows you to read this threaded comment; however, any edits to it will get removed if the file is opened in a newer version of Excel. Learn more: https://go.microsoft.com/fwlink/?linkid=870924
Comment:
    VETRO sagomato +100%</t>
      </text>
    </comment>
    <comment ref="AT7" authorId="15" shapeId="0" xr:uid="{6E06B9B0-EEC1-4A2F-AEEB-82ECAB89EC59}">
      <text>
        <t>[Threaded comment]
Your version of Excel allows you to read this threaded comment; however, any edits to it will get removed if the file is opened in a newer version of Excel. Learn more: https://go.microsoft.com/fwlink/?linkid=870924
Comment:
    EURO /TAGLIO OFFICINA</t>
      </text>
    </comment>
    <comment ref="AV7" authorId="16" shapeId="0" xr:uid="{723C5430-9992-40CD-9EC8-FAF87FA9109E}">
      <text>
        <t>[Threaded comment]
Your version of Excel allows you to read this threaded comment; however, any edits to it will get removed if the file is opened in a newer version of Excel. Learn more: https://go.microsoft.com/fwlink/?linkid=870924
Comment:
    POSA SERR ACCIAO/MQ</t>
      </text>
    </comment>
    <comment ref="AN8" authorId="17" shapeId="0" xr:uid="{EADA746C-4928-4FCE-A484-FDADF34AA95F}">
      <text>
        <t>[Threaded comment]
Your version of Excel allows you to read this threaded comment; however, any edits to it will get removed if the file is opened in a newer version of Excel. Learn more: https://go.microsoft.com/fwlink/?linkid=870924
Comment:
    Vetrocamera ei60</t>
      </text>
    </comment>
    <comment ref="AT8" authorId="18" shapeId="0" xr:uid="{172A3331-2186-41ED-8CC1-D1E12F2660CA}">
      <text>
        <t>[Threaded comment]
Your version of Excel allows you to read this threaded comment; however, any edits to it will get removed if the file is opened in a newer version of Excel. Learn more: https://go.microsoft.com/fwlink/?linkid=870924
Comment:
    LAVORAZIONE/MQ PER SOTTOSTRUTTURA AMGGIORAZIONE SU SFRIDO MATERIALE (18%)</t>
      </text>
    </comment>
    <comment ref="AV8" authorId="19" shapeId="0" xr:uid="{4602A455-B311-4A5B-A021-0F7D8BB3258F}">
      <text>
        <t>[Threaded comment]
Your version of Excel allows you to read this threaded comment; however, any edits to it will get removed if the file is opened in a newer version of Excel. Learn more: https://go.microsoft.com/fwlink/?linkid=870924
Comment:
    POSA SERR EI/CAD</t>
      </text>
    </comment>
  </commentList>
</comments>
</file>

<file path=xl/sharedStrings.xml><?xml version="1.0" encoding="utf-8"?>
<sst xmlns="http://schemas.openxmlformats.org/spreadsheetml/2006/main" count="1008" uniqueCount="455">
  <si>
    <t>Suburban S.r.l. a Socio Unico</t>
  </si>
  <si>
    <t>Spett.le</t>
  </si>
  <si>
    <t>P.IVA: 12352270966</t>
  </si>
  <si>
    <t>REA: MB - 2656311</t>
  </si>
  <si>
    <t>Via A. Manzoni 38</t>
  </si>
  <si>
    <t xml:space="preserve">Sede Legale: </t>
  </si>
  <si>
    <t>20121 Milano, Italy</t>
  </si>
  <si>
    <t>CORNATE D'ADDA (MB) - VIA</t>
  </si>
  <si>
    <t>P.IVA: 08218800962</t>
  </si>
  <si>
    <t>BERLINGUER 17/A CAP 20872</t>
  </si>
  <si>
    <t xml:space="preserve">C.a. </t>
  </si>
  <si>
    <t>Cornate</t>
  </si>
  <si>
    <t>d'Adda</t>
  </si>
  <si>
    <t xml:space="preserve">Ns. Preventivo </t>
  </si>
  <si>
    <t xml:space="preserve">Oggetto:  </t>
  </si>
  <si>
    <t>Immobile:</t>
  </si>
  <si>
    <t>RingraziandoVi per la fiducia riservataci nell’averci interpellati, Vi inviamo, per il cantiere in oggetto, nostra offerta per quanto di nostra competenza.</t>
  </si>
  <si>
    <t>L'offerta è stata redatta analizzando la documentazione ricevuta e potrà subire variazioni al ricevimento di documentazione più precisa.
Dalla presente offerta risultano esclusi i ponteggi e la gru di cantiere.</t>
  </si>
  <si>
    <t xml:space="preserve">OFFERTA </t>
  </si>
  <si>
    <t>ITEM</t>
  </si>
  <si>
    <t>CODICE</t>
  </si>
  <si>
    <t>LARGH</t>
  </si>
  <si>
    <t>ALT.</t>
  </si>
  <si>
    <t>DESCRIZIONE</t>
  </si>
  <si>
    <t>U.M.</t>
  </si>
  <si>
    <t>Q.TA'</t>
  </si>
  <si>
    <t>PREZZO</t>
  </si>
  <si>
    <t>IMPORTO TOTALE</t>
  </si>
  <si>
    <t>cad.</t>
  </si>
  <si>
    <t>CPO</t>
  </si>
  <si>
    <t>TOTALE COMPLESSIVO IN OFFERTA</t>
  </si>
  <si>
    <t>Condizioni generali di fornitura</t>
  </si>
  <si>
    <t>I prezzi indicati nella ns. offerta sono validi alle seguenti condizioni:</t>
  </si>
  <si>
    <t>Resa</t>
  </si>
  <si>
    <t>franco cantiere</t>
  </si>
  <si>
    <t>Tempi di consegna/planning</t>
  </si>
  <si>
    <t>Programma Lavori da confermare</t>
  </si>
  <si>
    <t>Modalità di pagamento</t>
  </si>
  <si>
    <t>50% - Acconto all'ordine rimessa diretta</t>
  </si>
  <si>
    <t>40% - Firma Esecutivi</t>
  </si>
  <si>
    <t>10% SAL MENSILI - Rimessa Diretta</t>
  </si>
  <si>
    <t>Validità offerta</t>
  </si>
  <si>
    <t>15 gg solari dalla presente</t>
  </si>
  <si>
    <t>Inclusioni/esclusioni</t>
  </si>
  <si>
    <t>incluso</t>
  </si>
  <si>
    <t>escluso</t>
  </si>
  <si>
    <t>Rilievi in cantiere</t>
  </si>
  <si>
    <t>P</t>
  </si>
  <si>
    <t>Rilievo topografico o laserscan</t>
  </si>
  <si>
    <t>O</t>
  </si>
  <si>
    <t>Modello BIM</t>
  </si>
  <si>
    <t>Analisi della documentazione tecnica ricevuta dal cliente</t>
  </si>
  <si>
    <t>Campionatura a richiesta dei materiali per l'approvazione qualitativa</t>
  </si>
  <si>
    <t>Elaborazione disegni di sistema per approvazione e approvvigionamento materiali</t>
  </si>
  <si>
    <t>Elaborazione disegni esecutivi per approvazione (1 rev inclusa)</t>
  </si>
  <si>
    <t>Relazioni di calcolo (termica e statica) (1 rev inclusa)</t>
  </si>
  <si>
    <t>Relazione di calcolo acustica (1 rev inclusa)</t>
  </si>
  <si>
    <t>Relazione di calcolo allo shock termico (1 rev inclusa)</t>
  </si>
  <si>
    <t>Elaborazione di disegni per produzione e installazione (che non saranno forniti)</t>
  </si>
  <si>
    <t>Elaborazione disegni as-built</t>
  </si>
  <si>
    <t>Certificazione prestazionale dei sistemi commerciali in Cascading</t>
  </si>
  <si>
    <t>Visual mock up (1 sola realizzazione, quantità e dimensioni come da specifica)</t>
  </si>
  <si>
    <t>Performance mock up (quantità e dimensioni come da specifica)</t>
  </si>
  <si>
    <t>Prove e test specifici su serramenti e facciate</t>
  </si>
  <si>
    <t>Prove e test richiesti in cantiere</t>
  </si>
  <si>
    <t>Fornitura dei manufatti oggetto dell'offerta</t>
  </si>
  <si>
    <t>Imballo idoneo alla tipologia di prodotto e di trasporto</t>
  </si>
  <si>
    <t>Trasporto in cantiere</t>
  </si>
  <si>
    <t>Mezzi di sollevamento e scarico dei materiali su nostri automezzi</t>
  </si>
  <si>
    <t>Assistenza allo scarico da nostri automezzi</t>
  </si>
  <si>
    <t>Magazzino e area per lo stoccaggio dei materiali</t>
  </si>
  <si>
    <t>Eventuali oneri per l'occupazione del suolo pubblico</t>
  </si>
  <si>
    <r>
      <t>Impianto di cantiere</t>
    </r>
    <r>
      <rPr>
        <b/>
        <sz val="8"/>
        <color theme="1"/>
        <rFont val="Times New Roman"/>
        <family val="1"/>
      </rPr>
      <t xml:space="preserve"> (</t>
    </r>
    <r>
      <rPr>
        <b/>
        <sz val="9"/>
        <color theme="1"/>
        <rFont val="Times New Roman"/>
        <family val="1"/>
      </rPr>
      <t>container uso spogliatoio/uso ufficio-colleg. acqua-energia-internet a disposizione</t>
    </r>
    <r>
      <rPr>
        <b/>
        <sz val="8"/>
        <color theme="1"/>
        <rFont val="Times New Roman"/>
        <family val="1"/>
      </rPr>
      <t>)</t>
    </r>
  </si>
  <si>
    <t>Supervisione durante la fase di installazione</t>
  </si>
  <si>
    <t>Guardiania cantiere</t>
  </si>
  <si>
    <t>Messa in sicurezza area di cantiere</t>
  </si>
  <si>
    <t>Oneri sicurezza e Covid 19</t>
  </si>
  <si>
    <t>Assistenza al Coordinamento della sicurezza</t>
  </si>
  <si>
    <t>Coordinamento con enti locali di congruità delle normative vigenti</t>
  </si>
  <si>
    <t>Trabatelli</t>
  </si>
  <si>
    <t>Ponteggi fissi/piattaforme/lavori in quota</t>
  </si>
  <si>
    <t>Gru di cantiere</t>
  </si>
  <si>
    <t>Tiro al piano</t>
  </si>
  <si>
    <t>Distribuzione orizzontale ai piani</t>
  </si>
  <si>
    <t>Eventuali protezioni per consentire i lavori in caso di intemperie</t>
  </si>
  <si>
    <t>Energia elettrica e acqua ai piani di lavoro</t>
  </si>
  <si>
    <t>Opere murarie di qualsiasi genere, demolizioni, risarcitura intonaci, tinteggiature...</t>
  </si>
  <si>
    <t>Posa in opera dei manufatti oggetto della fornitura</t>
  </si>
  <si>
    <t>Posa e fornitura profili Halfen se previsti</t>
  </si>
  <si>
    <t>Fornitura e posa di controtelai</t>
  </si>
  <si>
    <t>Elementi di finitura e di raccordo se non espressamente indicate nei documenti di gara</t>
  </si>
  <si>
    <t>Eventuali allacciamenti e collegamenti elettrici su nostri manufatti</t>
  </si>
  <si>
    <t>Collegamenti equipotenziali serramenti/facciate</t>
  </si>
  <si>
    <t>Pulizia in corso d'opera dei nostri sfridi (containers messi a disposizone dal committente)</t>
  </si>
  <si>
    <t>Smaltimento rifiuti (v.sopra)</t>
  </si>
  <si>
    <t xml:space="preserve">Protezioni int/est nostre opere con pannelli in policarbonato o legno H 2m </t>
  </si>
  <si>
    <t>Asportazione pelabile nostri manufatti con utilizzo di sistemi di sollevamento del committente</t>
  </si>
  <si>
    <t>Pulizia di fino nostre installazioni</t>
  </si>
  <si>
    <t>Gestione fornitura sotto LEED</t>
  </si>
  <si>
    <t>Assicurazione CAR</t>
  </si>
  <si>
    <t>Assicurazione Decennale</t>
  </si>
  <si>
    <t>Fidejussione Performance Bond</t>
  </si>
  <si>
    <t>Tutto quanto non espressamente indicato in offerta</t>
  </si>
  <si>
    <t>Tasse importazione/Dazi doganali</t>
  </si>
  <si>
    <t>IVA ed oneri fiscali</t>
  </si>
  <si>
    <t>Foro competente:
Tutte le controversie che dovessero insorgere in relazione al presente preventivo saranno risolte mediante arbitrato rituale secondo il Regolamento della Camera Arbitrale di Monza e Brianza. L’organo arbitrale sarà composto da un arbitro unico e nominato in conformità a tale Regolamento.</t>
  </si>
  <si>
    <t>N.B. Trattasi di preventivo di massima non impegnativo subordinato al sopralluogo in cantiere per la verifica delle misure e delle condizioni ambientali di lavoro e predisposto sulla base dei prezzi delle materie e dei costi del lavoro in vigore alla data del presente.</t>
  </si>
  <si>
    <t xml:space="preserve">Privacy 
Suburban Srl a Socio Unico, Titolare del trattamento, gestirà i dati personali ricevuti in modo conforme a quanto previsto dal Reg. UE. 2016/679 (GDPR). 
</t>
  </si>
  <si>
    <t>SPECIFICHE PARTICOLARI</t>
  </si>
  <si>
    <t>Note:
Nel caso di applicazione di vetro Selettivo Basso Emissivo va tenuto in considerazione che non sarà possibile applicare pellicole protettive, oscuranti o mascherature sul lato interno; nel caso di tendaggi o altro dovrà esserci una adeguata ventilazione di almeno 15 cm. Nel caso di applicazione di pellicole sul lato esterno queste devono coprire il 100% della vetrata. Nel mancato rispetto di tali regole la nostra società NON si assume l’onere per la sostituzione di vetrate rotte a causa di shock-termico.</t>
  </si>
  <si>
    <t>INTERRUZIONE POSA IN OPERA E TERMINI DI CONSEGNA:
Tutti i prezzi esposti nella presente offerta sono stati calcolati prevedendo che l'esecuzione della posa in opera venga eseguita da nostri montatori con continuità. L'eventuale interruzione della stessa dovuta a cause a noi non imputabili, quali: Vostra richiesta, mancato completamento delle opere murarie, incompleta predisposizione delle attrezzature di cantiere da parte dell'impresa delle grosse opere e/o quanto altro impedisca il regolare e continuo svolgimento della posa in opera, comporta inevitabili maggiori costi che verranno da noi sostenuti per le eventuali interruzioni sopra specificate, Vi verranno comunicati separatamente e successivamente addebitati, e di conseguenza i termini di consegna pattuiti non saranno più validi e da ristabilire a fronte degli impedimenti avvenuti.</t>
  </si>
  <si>
    <t>RACCORDI ALLE MURATURE:
Tutti gli elementi previsti e quotati nella presente offerta si intendono da realizzare con sagoma atta a raccordarsi alla muratura, e quindi assorbire piccole tolleranze di fuori piombo verticale e fuori livello orizzontale. Pertanto, se dopo i rilievi effettuati in cantiere verrà riscontrata una tolleranza superiore a quella da noi prevista, sarà necessario fornire ulteriori o speciali coprifili e/o sigillatura non calcolati nella presente e che Vi saranno segnalati ed esposti a parte. Vi informiamo inoltre che detti elementi di raccordo sono quelli di nostra produzione abituale. Eventuali modifiche agli stessi che necessitassero per soddisfare le esigenze di cantiere (maggiori sviluppi lamiera, ecc.) Vi saranno segnalate dopo la stesura dei disegni particolareggiati e faranno parte di conteggio supplementare (in aggiunta o detrazione). Quanto sopra è valido anche per le quantità esposte, in quanto, non avendo disegni esecutivi, non siamo in grado di effettuare l'esatta misurazione delle stesse.</t>
  </si>
  <si>
    <t>CONDIZIONI DI FORNITURA</t>
  </si>
  <si>
    <t>QUANTITA' ESPOSTE - OPERE AGGIUNTIVE - CONTEGGIO FINALE:
La presente è stata formulata sulla base delle caratteristiche dimensionali e delle quantità ricavate dai Vostri disegni ed in particolare secondo le caratteristiche riportate nei singoli articoli. Qualora in sede di ordine, o perché da Voi apportate o da noi accertate durante i rilievi o lo sviluppo dei disegni esecutivi, emergessero necessarie aggiunte e varianti, ci riserviamo la facoltà di aggiornare gli elementi e le quotazioni dandovene tempestiva e circostanziata dimostrazione. Resta altresì inteso che eventuali ordinativi in aggiunta o modifiche ai tipi di materiali saranno ugualmente soggetti a conteggio supplementare. Qualora le quotazioni esposte nella presente offerta non siano riferite all'unità di prodotto fornito ma alla superficie dei manufatti la misurazione sarà definita dall'area dei serramenti e delle facciate aventi come perimetro il filo esterno in vista delle parti fornite inclusi eventuali raccordi anche se esposti a parte con prezzo unitario. I prezzi isolati come aperture o raccordi si intendono unitari e a metrolineare e la loro quantificazione sarà effettuata rispettivamente sul loro numero e sulla loro lunghezza massima. Per i rivestimenti la misurazione sarà calcolata considerando l'effettiva superficie in vista compreso risvolti e pieghe sui terrazzi (non in vista dall'esterno). Resta concordato che tale sistema di calcolo sarà adottato al termine dei lavori per il conteggio definitivo delle opere</t>
  </si>
  <si>
    <t>Con i migliori saluti</t>
  </si>
  <si>
    <t>(Il committente)</t>
  </si>
  <si>
    <t>Cosimo Pignatelli</t>
  </si>
  <si>
    <t>_______________________</t>
  </si>
  <si>
    <t>_________________</t>
  </si>
  <si>
    <t>ANALISI COSTO PREVENTIVO</t>
  </si>
  <si>
    <t>Comm.</t>
  </si>
  <si>
    <t>SUBURBAN SRL a Socio Unico
ANALISI PREVENTIVA</t>
  </si>
  <si>
    <t>Dimensioni
ESTERNO TELAIO</t>
  </si>
  <si>
    <t xml:space="preserve">Mq. </t>
  </si>
  <si>
    <t>COSTO 
MATERALE LAVORATO E POSATO
CAD:</t>
  </si>
  <si>
    <t>COSTO 
MATERALE LAVORATO E POSATO
TOT.</t>
  </si>
  <si>
    <t>COSTO 
MATERALE LAVORATO E POSATO
MQ.</t>
  </si>
  <si>
    <t>COSTI POST - MATERIALE POSATO</t>
  </si>
  <si>
    <t>COSTI 
INDUSTRIALI DA COSTI MATERIALE</t>
  </si>
  <si>
    <t>MOL SU BASE
COSTI MATERIALE</t>
  </si>
  <si>
    <t>PREZZO
CLIENTE
CAD.</t>
  </si>
  <si>
    <t>PREZZO
CLIENTE
TOT.</t>
  </si>
  <si>
    <t>PREZZO
CLIENTE
MQ..</t>
  </si>
  <si>
    <t>Pos.</t>
  </si>
  <si>
    <t>B</t>
  </si>
  <si>
    <t>*</t>
  </si>
  <si>
    <t>H</t>
  </si>
  <si>
    <t>MQ/Cad.</t>
  </si>
  <si>
    <t>Qt.</t>
  </si>
  <si>
    <t>MQ TOTALI</t>
  </si>
  <si>
    <t>PRODOTTO ACQUISTATO FINITO LEGNO O LEGNO ALLUMINIO</t>
  </si>
  <si>
    <t>Sc 1</t>
  </si>
  <si>
    <t>Sc 2</t>
  </si>
  <si>
    <t>Sc 3</t>
  </si>
  <si>
    <t>PRODOTTO ACQUISTATO FINITO LEGNO O LEGNO ALLUMINIO
Scontato
CAD.</t>
  </si>
  <si>
    <t>PRODOTTO ACQUISTATO FINITO LEGNO O LEGNO ALLUMINIO
Scontato
TOTALE</t>
  </si>
  <si>
    <t>ST /LZ - STAFFAME
CAD.</t>
  </si>
  <si>
    <t>sc 1</t>
  </si>
  <si>
    <t>ST /LZ - STAFFAME
SCONTATO CAD.</t>
  </si>
  <si>
    <t>ST /LZ - STAFFAME
TOT.</t>
  </si>
  <si>
    <t>Accessorio
Maniglie e 
Maniglioni
Listino
CAD.</t>
  </si>
  <si>
    <t>Accessorio
Maniglie e 
Maniglioni
CAD.</t>
  </si>
  <si>
    <t>Accessorio
Maniglie e 
Maniglioni
TOTALE</t>
  </si>
  <si>
    <t>LA
Listino</t>
  </si>
  <si>
    <t>LA
CAD</t>
  </si>
  <si>
    <t>LA
TOTALE</t>
  </si>
  <si>
    <t>PACCHETTO DI COIBENTAZIONE
CAD</t>
  </si>
  <si>
    <t xml:space="preserve">
PACCHETTO DI COIBENTAZIONECOIBENTAZIONE
TOTALE</t>
  </si>
  <si>
    <t>SISTEMA ALLUMINIO E ACCESSORI DI SISTEMA 
CAD.</t>
  </si>
  <si>
    <t>SISTEMA ALLUMINIO E ACCESSORI DI SISTEMA 
TOTALE</t>
  </si>
  <si>
    <t>SISTEMA ACCIAIO E ACCESSORI DI SISTEMA 
CAD.</t>
  </si>
  <si>
    <t>SISTEMA ACCIAIO E ACCESSORI DI SISTEMA  TOTALE</t>
  </si>
  <si>
    <t>Trasformazione Acciaio
CAD.</t>
  </si>
  <si>
    <t>Trasformazione Acciaio
TOTALE</t>
  </si>
  <si>
    <t>Automatismo
CAD.</t>
  </si>
  <si>
    <t>Automatismo
TOTALE</t>
  </si>
  <si>
    <t>Vetro
CAD.</t>
  </si>
  <si>
    <t>Vetro
TOTALE.</t>
  </si>
  <si>
    <t>Pannell
CAD.</t>
  </si>
  <si>
    <t>Pannell
TOTALE</t>
  </si>
  <si>
    <t>Controtelaio
CAD.</t>
  </si>
  <si>
    <t>Controtelaio
TOTALE.</t>
  </si>
  <si>
    <t>Trasformazione
Alluminio
CAD.</t>
  </si>
  <si>
    <t>Trasformazione
Alluminio
TOTALE.</t>
  </si>
  <si>
    <t>Posa SER e FAC..
CAD</t>
  </si>
  <si>
    <t>Posa SER e FAC..
TOTALE</t>
  </si>
  <si>
    <t>FW FINITA
LIN CAD</t>
  </si>
  <si>
    <t>FW 
FINITA
TOTALE</t>
  </si>
  <si>
    <t>NOLO
CAD.</t>
  </si>
  <si>
    <t>NOLO
TOTALE</t>
  </si>
  <si>
    <t>Trasporto
e
Imballo
CAD:</t>
  </si>
  <si>
    <t>Trasporto
e
Imballo
TOT.</t>
  </si>
  <si>
    <t>sviluppo tecnico e PM
CAD.</t>
  </si>
  <si>
    <t>sviluppo tecnico e PM
TOTALE.</t>
  </si>
  <si>
    <t>PRESIDIO
CANTIERE
SITE MNG
NOLI
CANTIERIZZAZIONE CAD.</t>
  </si>
  <si>
    <t>PRESIDIO
CANTIERE
SITE MNG
NOLI
CANTIERIZZAZIONE TOT.</t>
  </si>
  <si>
    <t>EXTRA
CAD.</t>
  </si>
  <si>
    <t>EXTRA
TOT.</t>
  </si>
  <si>
    <t>%</t>
  </si>
  <si>
    <t>EURO</t>
  </si>
  <si>
    <t>Note</t>
  </si>
  <si>
    <t>COD.</t>
  </si>
  <si>
    <t>P1002_25_CON_REV03_P1 E EI ALLUMINIO</t>
  </si>
  <si>
    <t>mm</t>
  </si>
  <si>
    <t>mq</t>
  </si>
  <si>
    <t>DATA</t>
  </si>
  <si>
    <t>CLIENTE
RAG.SOCIALE</t>
  </si>
  <si>
    <t>VASTINT ITALY s.r.l.</t>
  </si>
  <si>
    <t>RIFERIMENTO</t>
  </si>
  <si>
    <t>Mr.Marco Mor/Ing. Esposito</t>
  </si>
  <si>
    <t>OGGETTO</t>
  </si>
  <si>
    <t>FPO SERRAMENTI E RACCORDO - EX STAZIONE SUSA</t>
  </si>
  <si>
    <t>ITEMS</t>
  </si>
  <si>
    <t>DESCRIZIONE D'OFFERTA</t>
  </si>
  <si>
    <t>CAD.</t>
  </si>
  <si>
    <t>TOT.</t>
  </si>
  <si>
    <t>SERRAMENTI SERIE F</t>
  </si>
  <si>
    <t>F1</t>
  </si>
  <si>
    <t>Serramento in legno doppia anta battente apertura interna e sopraluce curvo con apertura vasistas fissato solidamente ad un controtelaio in profili di legno adeguatamente trattato e isolato. 
Compreso controtelaio costituito da profili in legno sagomato a L, adeguatamente trattato per evitare formazione di muffe o deformazioni geometriche, ancorato alla struttura principale mediante adeguate zanche annegate nel muro o viti di fissaggio. Vetro: 66.2 COOL-LITE 70-33#2 INDURITI / 20mm (aria-argon 90%) / 55.2 int. RICOTTI
Comprese lamiere di raccordo, memebrane e isolanti.</t>
  </si>
  <si>
    <t>F1a</t>
  </si>
  <si>
    <t>F2</t>
  </si>
  <si>
    <t>Serramento in legno doppia anta battente apertura interna e sopraluce curvo fisso. Specchiature fisse laterali e superiori, fissato solidamente ad un controtelaio in profili di legno adeguatamente trattato e isolato e persiane a lamelle fisse esterne. 
Compreso controtelaio costituito da profili in legno sagomato a L, adeguatamente trattato per evitare formazione di muffe o deformazioni geometriche, ancorato alla struttura principale mediante adeguate zanche annegate nel muro o viti di fissaggio. Vetro: 66.2 COOL-LITE 70-33#2 INDURITI / 20mm (aria-argon 90%) / 55.2 int. RICOTTI
Comprese lamiere di raccordo, memebrane e isolanti.</t>
  </si>
  <si>
    <t>EI</t>
  </si>
  <si>
    <t>F3 - EI60
Serramento in acciaio EI60 tipo Secco EBE85</t>
  </si>
  <si>
    <r>
      <t xml:space="preserve">Serramento in legno fissa, serramento fissato solidamente ad un controtelaio in profili di legno adeguatamente trattato e isolato. Per questo serramento è richiesta una prestazione di resistenza all’incendio pari a EI60.  
</t>
    </r>
    <r>
      <rPr>
        <b/>
        <sz val="10"/>
        <color theme="1"/>
        <rFont val="Calibri"/>
        <family val="2"/>
      </rPr>
      <t xml:space="preserve">SOSTITUITO CON ALLUMINIO 
Reynaers ConceptSystem 77-FP EI 60 </t>
    </r>
    <r>
      <rPr>
        <sz val="10"/>
        <color theme="1"/>
        <rFont val="Calibri"/>
        <family val="2"/>
      </rPr>
      <t>(</t>
    </r>
    <r>
      <rPr>
        <b/>
        <sz val="10"/>
        <color theme="1"/>
        <rFont val="Calibri"/>
        <family val="2"/>
      </rPr>
      <t>CS 77-FPEI60</t>
    </r>
    <r>
      <rPr>
        <sz val="10"/>
        <color theme="1"/>
        <rFont val="Calibri"/>
        <family val="2"/>
      </rPr>
      <t>)</t>
    </r>
    <r>
      <rPr>
        <b/>
        <sz val="10"/>
        <color theme="1"/>
        <rFont val="Calibri"/>
        <family val="2"/>
      </rPr>
      <t xml:space="preserve"> 
</t>
    </r>
    <r>
      <rPr>
        <sz val="10"/>
        <color theme="1"/>
        <rFont val="Calibri"/>
        <family val="2"/>
      </rPr>
      <t>Compreso controtelaio costituito da profili in legno sagomato a L, adeguatamente trattato per evitare formazione di muffe o deformazioni geometriche, ancorato alla struttura principale mediante adeguate zanche annegate nel muro o viti di fissaggio. Vetro: 66.2 COOL-LITE 70-33#2 / 14mm (aria-argon 90%) / 27 CF60-3.
Comprese lamiere di raccordo, memebrane e isolanti.</t>
    </r>
  </si>
  <si>
    <t>F3a</t>
  </si>
  <si>
    <t>Porta a doppio battente apertura interno dell’edificio con pushbar esterno e chiudiporta, presenza di sopraluce fisso è presente un ulteriore sopraluce curvo con presenza di lamelle di areazione. Il serramento presente una prestazione EI60 escluso la parte lamellata.
SOSTITUITO CON ALLUMINIO 
Reynaers ConceptSystem 77-FP EI 60 (CS 77-FPEI60) 
Compreso controtelaio costituito da profili in legno sagomato a L, adeguatamente trattato per evitare formazione di muffe o deformazioni geometriche, ancorato alla struttura principale mediante adeguate zanche annegate nel muro o viti di fissaggio. Vetro: 66.2 COOL-LITE 70-33#2 / 14mm (aria-argon 90%) / 27 CF60-3.
Comprese lamiere di raccordo, memebrane e isolanti.</t>
  </si>
  <si>
    <t>F3b</t>
  </si>
  <si>
    <t>Serramento con specchiature vision fisse è presente un ulteriore sopraluce curvo con presenza di lamelle di areazione. Il serramento presenta una prestazione EI60 escluso la parte lamellata.SOSTITUITO CON ALLUMINIO 
Reynaers ConceptSystem 77-FP EI 60 (CS 77-FPEI60) 
Compreso controtelaio costituito da profili in legno sagomato a L, adeguatamente trattato per evitare formazione di muffe o deformazioni geometriche, ancorato alla struttura principale mediante adeguate zanche annegate nel muro o viti di fissaggio. Vetro: 66.2 COOL-LITE 70-33#2 / 14mm (aria-argon 90%) / 27 CF60-3.
Comprese lamiere di raccordo, memebrane e isolanti.</t>
  </si>
  <si>
    <t>F4a</t>
  </si>
  <si>
    <t>Serramento in acciaio con volta circolare apribile a vasistas meccanizzato e automatico specchiatura inferiore con porta a doppio battente apertura esterna, sopraluce rettangolare fisso.
SOSTITUITO CON ALLUMINIO 
Reynaers ConceptSystem 77-FP EI 60 (CS 77-FPEI60) 
Controtelaio composto da tubi rettangolari ancorato alla struttura principale mediante adeguate zanche annegate nel muro o viti di fissaggio, il telaio deve essere correttamente isolato e zincato per proteggerlo dalla corrosione.  
Vetro: 66.2 COOL-LITE 70-33#2 / 14mm (aria-argon 90%) / 27 CF60-3.
Comprese lamiere di raccordo, memebrane e isolanti.</t>
  </si>
  <si>
    <t>F4b</t>
  </si>
  <si>
    <t>Porta a doppio battente vetrata, apertura doppia anta verso l’esterno, sopraluce fisso.
Compreso controtelaio costituito da profili in legno sagomato a L, adeguatamente trattato per evitare formazione di muffe o deformazioni geometriche, ancorato alla struttura principale mediante adeguate zanche annegate nel muro o viti di fissaggio. Vetro: 66.2 COOL-LITE 70-33#2 INDURITI / 20mm (aria-argon 90%) / 55.2 int. RICOTTI
Comprese lamiere di raccordo, memebrane e isolanti.</t>
  </si>
  <si>
    <t>F5a - EI60
Serramento in acciaio EI60 tipo Secco EBE85</t>
  </si>
  <si>
    <t>F5b - EI60
Serramento in acciaio EI60 tipo Secco EBE85</t>
  </si>
  <si>
    <t>F6</t>
  </si>
  <si>
    <t>Serramento portafinestra in legno doppia anta battente apertura interna fissato solidamente ad un controtelaio in profili di legno adeguatamente trattato e isolato. 
Compreso controtelaio costituito da profili in legno sagomato a L, adeguatamente trattato per evitare formazione di muffe o deformazioni geometriche, ancorato alla struttura principale mediante adeguate zanche annegate nel muro o viti di fissaggio. Vetro: 66.2 COOL-LITE 70-33#2 INDURITI / 20mm (aria-argon 90%) / 55.2 int. RICOTTI
Comprese lamiere di raccordo, memebrane e isolanti.</t>
  </si>
  <si>
    <t>F6a</t>
  </si>
  <si>
    <t>Serramento portafinestra in legno doppia anta battente apertura interna fissato solidamente ad un controtelaio in profili di legno adeguatamente trattato e isolato. SERRAMENTO A TENUTA FUMI.
Compreso controtelaio costituito da profili in legno sagomato a L, adeguatamente trattato per evitare formazione di muffe o deformazioni geometriche, ancorato alla struttura principale mediante adeguate zanche annegate nel muro o viti di fissaggio. Vetro: 66.2 COOL-LITE 70-33#2 INDURITI / 20mm (aria-argon 90%) / 55.2 int. RICOTTI
Comprese lamiere di raccordo, memebrane e isolanti.</t>
  </si>
  <si>
    <t>F6b</t>
  </si>
  <si>
    <t>Serramento portafinestra in legno doppia anta battente apertura esterna fissato solidamente ad un controtelaio in profili di legno adeguatamente trattato e isolato. SERRAMENTO A TENUTA FUMI.
Compreso controtelaio costituito da profili in legno sagomato a L, adeguatamente trattato per evitare formazione di muffe o deformazioni geometriche, ancorato alla struttura principale mediante adeguate zanche annegate nel muro o viti di fissaggio. Vetro: 66.2 COOL-LITE 70-33#2 INDURITI / 20mm (aria-argon 90%) / 55.2 int. RICOTTI
Comprese lamiere di raccordo, memebrane e isolanti.</t>
  </si>
  <si>
    <t>F7</t>
  </si>
  <si>
    <t>Serramento finestra in legno doppia anta battente apertura interna fissato solidamente ad un controtelaio in profili di legno adeguatamente trattato e isolato. 
Compreso controtelaio costituito da profili in legno sagomato a L, adeguatamente trattato per evitare formazione di muffe o deformazioni geometriche, ancorato alla struttura principale mediante adeguate zanche annegate nel muro o viti di fissaggio. Vetro: 66.2 COOL-LITE 70-33#2 INDURITI / 20mm (aria-argon 90%) / 55.2 int. RICOTTI
Comprese lamiere di raccordo, memebrane e isolanti.</t>
  </si>
  <si>
    <t>F7a</t>
  </si>
  <si>
    <t>SERRAMENTI SERIE S</t>
  </si>
  <si>
    <t>S1a</t>
  </si>
  <si>
    <t>Serramento in acciaio con volta circolare fissa specchiatura inferiore con porta a doppio battente apertura esterna, sopraluce rettangolare fisso e apribile vasistas di ventilazione ad apertura meccanizzata. 
Controtelaio composto da tubi rettangolari ancorato alla struttura principale mediante adeguate zanche annegate nel muro o viti di fissaggio, il telaio deve essere correttamente isolato e zincato per proteggerlo dalla corrosione. 
Vetro: 66.2 COOL-LITE 70-33#2 INDURITI / 20mm (aria-argon 90%) / 55.2 int. INDURITI
Comprese lamiere di raccordo, memebrane e isolanti.</t>
  </si>
  <si>
    <t>S1b</t>
  </si>
  <si>
    <t>Serramento in acciaio con volta circolare fissa specchiatura inferiore con porta a doppio battente apertura esterna, sopraluci rettangolari fissi.
Controtelaio composto da tubi rettangolari ancorato alla struttura principale mediante adeguate zanche annegate nel muro o viti di fissaggio, il telaio deve essere correttamente isolato e zincato per proteggerlo dalla corrosione. 
Vetro: 66.2 COOL-LITE 70-33#2 INDURITI / 20mm (aria-argon 90%) / 55.2 int. INDURITI
Comprese lamiere di raccordo, memebrane e isolanti.</t>
  </si>
  <si>
    <t>S1c</t>
  </si>
  <si>
    <t>Serramento in acciaio con volta circolare fissa specchiatura inferiore con porta US a doppio battente apertura esterna con pushbar, sopraluci rettangolari fissi.
Controtelaio composto da tubi rettangolari ancorato alla struttura principale mediante adeguate zanche annegate nel muro o viti di fissaggio, il telaio deve essere correttamente isolato e zincato per proteggerlo dalla corrosione. 
Vetro: 66.2 COOL-LITE 70-33#2 INDURITI / 20mm (aria-argon 90%) / 55.2 int. INDURITI
Comprese lamiere di raccordo, memebrane e isolanti.</t>
  </si>
  <si>
    <t>S2a</t>
  </si>
  <si>
    <t>Serramento in acciaio con volta circolare fissa specchiatura inferiore con vetri fissi, sopraluce rettangolare fisso e apribile vasistas di ventilazione apertura meccanizzata.
Controtelaio composto da tubi rettangolari ancorato alla struttura principale mediante adeguate zanche annegate nel muro o viti di fissaggio, il telaio deve essere correttamente isolato e zincato per proteggerlo dalla corrosione. 
Vetro: 66.2 COOL-LITE 70-33#2 INDURITI / 20mm (aria-argon 90%) / 55.2 int. INDURITI
Comprese lamiere di raccordo, memebrane e isolanti.</t>
  </si>
  <si>
    <t>S2b</t>
  </si>
  <si>
    <t>Serramento in acciaio con volta circolare fissa specchiatura inferiore con vetri fissi, sopraluce rettangolari fissi.
Controtelaio composto da tubi rettangolari ancorato alla struttura principale mediante adeguate zanche annegate nel muro o viti di fissaggio, il telaio deve essere correttamente isolato e zincato per proteggerlo dalla corrosione. 
Vetro: 66.2 COOL-LITE 70-33#2 INDURITI / 20mm (aria-argon 90%) / 55.2 int. INDURITI
Comprese lamiere di raccordo, memebrane e isolanti.</t>
  </si>
  <si>
    <t>S2c</t>
  </si>
  <si>
    <t>S3</t>
  </si>
  <si>
    <t>Serramento in acciaio con volta circolare fissa, specchiatura inferiore con porta scorrevole ad anta e fissi laterali, sopraluce rettangolare fisso e apribile vasistas di ventilazione apertura meccanizzata.
Controtelaio composto da tubi rettangolari ancorato alla struttura principale mediante adeguate zanche annegate nel muro o viti di fissaggio, il telaio deve essere correttamente isolato e zincato per proteggerlo dalla corrosione. 
Vetro: 66.2 COOL-LITE 70-33#2 INDURITI / 20mm (aria-argon 90%) / 55.2 int. INDURITI
Comprese lamiere di raccordo, memebrane e isolanti.</t>
  </si>
  <si>
    <t>S4</t>
  </si>
  <si>
    <t>Serramento in acciaio con volta circolare apribile a vasistas specchiatura inferiore con porta a doppio battente apertura esterna, sopraluce rettangolare fisso
Controtelaio composto da tubi rettangolari ancorato alla struttura principale mediante adeguate zanche annegate nel muro o viti di fissaggio, il telaio deve essere correttamente isolato e zincato per proteggerlo dalla corrosione. 
Vetro: 66.2 COOL-LITE 70-33#2 INDURITI / 20mm (aria-argon 90%) / 55.2 int. INDURITI
Comprese lamiere di raccordo, memebrane e isolanti.</t>
  </si>
  <si>
    <t>S4a - EI60</t>
  </si>
  <si>
    <t>AL</t>
  </si>
  <si>
    <t>S5</t>
  </si>
  <si>
    <t>Serramento in acciaio rettangolare con porta inferiore a doppia anta apertura esterna; tre specchiature sopraluce: inferiore apribile a battente apertura esterna, centrale rettangolare opaca fissa, superiore a vasistas apertura interna. SOSTITUITO CON SERRAMENTO IN ALLUMINIO COMPOSTO DA PIU ELEMENTI ACCOPPIATI Reynaers SlimLine 38 (SL 38) 
Controtelaio composto da tubi rettangolari ancorato alla struttura principale mediante adeguate zanche annegate nel muro o viti di fissaggio, il telaio deve essere correttamente isolato e zincato per proteggerlo dalla corrosione. 
Vetro: 66.2 COOL-LITE 70-33#2 INDURITI / 20mm (aria-argon 90%) / 55.2 int. INDURITI
Comprese lamiere di raccordo, memebrane e isolanti.</t>
  </si>
  <si>
    <t>S5a</t>
  </si>
  <si>
    <t>Serramento in acciaio rettangolare con porta inferiore a doppia anta apertura esterna; con tre specchiature sopraluce: inferiore apribile a battente apertura esterna, centrale rettangolare opaca fissa, superiore a vasistas apertura interna.SOSTITUITO CON SERRAMENTO IN ALLUMINIO COMPOSTO DA PIU ELEMENTI ACCOPPIATI Reynaers SlimLine 38 (SL 38)
Controtelaio composto da tubi rettangolari ancorato alla struttura principale mediante adeguate zanche annegate nel muro o viti di fissaggio, il telaio deve essere correttamente isolato e zincato per proteggerlo dalla corrosione. 
Vetro: 66.2 COOL-LITE 70-33#2 INDURITI / 20mm (aria-argon 90%) / 55.2 int. INDURITI
Comprese lamiere di raccordo, memebrane e isolanti.</t>
  </si>
  <si>
    <t>S6</t>
  </si>
  <si>
    <t>Serramento in acciaio rettangolare con porta inferiore a doppia anta apertura interna; tre specchiature sopraluce: inferiore apribile a vasistas apertura interna, centrale rettangolare opaca fissa, superiore a vasistas apertura interna.SOSTITUITO CON SERRAMENTO IN ALLUMINIO COMPOSTO DA PIU ELEMENTI ACCOPPIATI Reynaers SlimLine 38 (SL 38)
Controtelaio composto da tubi rettangolari ancorato alla struttura principale mediante adeguate zanche annegate nel muro o viti di fissaggio, il telaio deve essere correttamente isolato e zincato per proteggerlo dalla corrosione. 
Vetro: 66.2 COOL-LITE 70-33#2 INDURITI / 20mm (aria-argon 90%) / 55.2 int. INDURITI
Comprese lamiere di raccordo, memebrane e isolanti.</t>
  </si>
  <si>
    <t>S6a</t>
  </si>
  <si>
    <t>Serramento in acciaio rettangolare con porta inferiore a doppia anta apertura interna; con tre specchiature sopraluce: inferiore apribile a battente apertura esterna, centrale rettangolare opaca fissa, superiore a vasistas apertura interna.SOSTITUITO CON SERRAMENTO IN ALLUMINIO COMPOSTO DA PIU ELEMENTI ACCOPPIATI Reynaers SlimLine 38 (SL 38)
Controtelaio composto da tubi rettangolari ancorato alla struttura principale mediante adeguate zanche annegate nel muro o viti di fissaggio, il telaio deve essere correttamente isolato e zincato per proteggerlo dalla corrosione. 
Vetro: 66.2 COOL-LITE 70-33#2 INDURITI / 20mm (aria-argon 90%) / 55.2 int. INDURITI
Comprese lamiere di raccordo, memebrane e isolanti.</t>
  </si>
  <si>
    <t>S7</t>
  </si>
  <si>
    <t>Serramento in acciaio rettangolare con porta inferiore a doppia anta apertura esterna US con pushbar; tre specchiature sopraluce: inferiore apribile a battente e apertura esterna, centrale rettangolare opaca fissa, superiore a vasistas apertura interna.SOSTITUITO CON SERRAMENTO IN ALLUMINIO COMPOSTO DA PIU ELEMENTI ACCOPPIATI Reynaers SlimLine 38 (SL 38)
Controtelaio composto da tubi rettangolari ancorato alla struttura principale mediante adeguate zanche annegate nel muro o viti di fissaggio, il telaio deve essere correttamente isolato e zincato per proteggerlo dalla corrosione. 
Vetro: 66.2 COOL-LITE 70-33#2 INDURITI / 20mm (aria-argon 90%) / 55.2 int. INDURITI
Comprese lamiere di raccordo, memebrane e isolanti.</t>
  </si>
  <si>
    <t>S7a</t>
  </si>
  <si>
    <t>S7b</t>
  </si>
  <si>
    <t>Serramento in acciaio rettangolare con porta inferiore a doppia anta apertura esterna US con pushbar; tre specchiature sopraluce:; inferiore apribile a battente e apertura esterna, centrale rettangolare opaca fissa, superiore a battente e apertura esterna.SOSTITUITO CON SERRAMENTO IN ALLUMINIO COMPOSTO DA PIU ELEMENTI ACCOPPIATI Reynaers SlimLine 38 (SL 38)
Controtelaio composto da tubi rettangolari ancorato alla struttura principale mediante adeguate zanche annegate nel muro o viti di fissaggio, il telaio deve essere correttamente isolato e zincato per proteggerlo dalla corrosione. 
Vetro: 66.2 COOL-LITE 70-33#2 INDURITI / 20mm (aria-argon 90%) / 55.2 int. INDURITI
Comprese lamiere di raccordo, memebrane e isolanti.</t>
  </si>
  <si>
    <t>S8</t>
  </si>
  <si>
    <t>Serramento in acciaio rettangolare con porta inferiore a doppia anta apertura esterna; tre specchiature sopraluce:; inferiore apribile a battente e apertura esterna, centrale rettangolare opaca fissa, superiore a battente e apertura esterna.SOSTITUITO CON SERRAMENTO IN ALLUMINIO COMPOSTO DA PIU ELEMENTI ACCOPPIATI Reynaers SlimLine 38 (SL 38)
Controtelaio composto da tubi rettangolari ancorato alla struttura principale mediante adeguate zanche annegate nel muro o viti di fissaggio, il telaio deve essere correttamente isolato e zincato per proteggerlo dalla corrosione. 
Vetro: 66.2 COOL-LITE 70-33#2 INDURITI / 20mm (aria-argon 90%) / 55.2 int. INDURITI
Comprese lamiere di raccordo, memebrane e isolanti.</t>
  </si>
  <si>
    <t>S9</t>
  </si>
  <si>
    <t>FW</t>
  </si>
  <si>
    <t>CONNECTION - SISTEMA FACCIATA MONTANTI E TRAVERSI CON CARTELLA :
Reynaers ConceptWall 50/60 (CW50-CW60) 
Reynaers SlimLine 38 (SL 38) 
Reynaers ConceptWall Outward Opening GB
Secondo documento di gara
Compresi: partizione EI60 FISSA Reynaers ConceptWall 50-FP (CW 50-FP) 
Vetro: 66.2 COOL-LITE 70-33#2 INDURITI / 20mm (aria-argon 90%) / 55.2 int. INDURITI
Comprese lamiere di finitura estern sv. 500mm ,  isolanti e staffe.</t>
  </si>
  <si>
    <t xml:space="preserve">COMMESSA : </t>
  </si>
  <si>
    <t xml:space="preserve">CANTIERE    : </t>
  </si>
  <si>
    <t xml:space="preserve">CLIENTE      : </t>
  </si>
  <si>
    <t>BUDGET ITEM</t>
  </si>
  <si>
    <t>Ordini emessi</t>
  </si>
  <si>
    <t>Costi sostenuti</t>
  </si>
  <si>
    <t>Da evadere</t>
  </si>
  <si>
    <t>% pagati su ordine</t>
  </si>
  <si>
    <t>% ORDINE  Avanzamento</t>
  </si>
  <si>
    <t>Disponibilità residua su ordine</t>
  </si>
  <si>
    <t>% su preventivato</t>
  </si>
  <si>
    <t>Ipotesi di ordine residuo</t>
  </si>
  <si>
    <t>CONTROLLO
Budget/ordine</t>
  </si>
  <si>
    <t>CONTROLLO 
Ordine/Residuo</t>
  </si>
  <si>
    <t>CONTROLLO
pagamenti</t>
  </si>
  <si>
    <t>AVANZO SU BUDGET</t>
  </si>
  <si>
    <t>TOTALE</t>
  </si>
  <si>
    <t>n° FATTURA</t>
  </si>
  <si>
    <t>Valore</t>
  </si>
  <si>
    <t>RIEPILOGO BUDGET</t>
  </si>
  <si>
    <t>Costi previsti</t>
  </si>
  <si>
    <t>NOTE</t>
  </si>
  <si>
    <t>Totale costi previsti  €</t>
  </si>
  <si>
    <t>VOCI AGGIUNTE DURANTE COMMESSA</t>
  </si>
  <si>
    <t xml:space="preserve">Totale costi previsti A1 -  €  </t>
  </si>
  <si>
    <t xml:space="preserve">Totale costi previsti /Aggiunti A1 -  €  </t>
  </si>
  <si>
    <t xml:space="preserve">Totale costi previsti   A2 -  €  </t>
  </si>
  <si>
    <t>TOTALE TIPO A  €</t>
  </si>
  <si>
    <t xml:space="preserve">Totale costi previsti  B1 -   €  </t>
  </si>
  <si>
    <t xml:space="preserve">Totale costi previsti  B2 -   €  </t>
  </si>
  <si>
    <t xml:space="preserve">Totale costi previsti  B3 -   €  </t>
  </si>
  <si>
    <t>TOTALE TIPO B €</t>
  </si>
  <si>
    <t>Dazi e Cambio</t>
  </si>
  <si>
    <t xml:space="preserve">Totale costi previsti  C1 -   €  </t>
  </si>
  <si>
    <t>TOTALE  TIPO C €</t>
  </si>
  <si>
    <t>in costi generali messi anche  costi finanz assic</t>
  </si>
  <si>
    <t>BUDGET</t>
  </si>
  <si>
    <t>Disponibilità residua</t>
  </si>
  <si>
    <t>AVANZO</t>
  </si>
  <si>
    <t>TOTALE  A+B+C €</t>
  </si>
  <si>
    <t>M.O.</t>
  </si>
  <si>
    <t>CLIENTE</t>
  </si>
  <si>
    <t>SAL</t>
  </si>
  <si>
    <t>N° Comm. PXXXX_22</t>
  </si>
  <si>
    <t>Commessa: XXXXXXXXXXXXX</t>
  </si>
  <si>
    <t>COMMESSA</t>
  </si>
  <si>
    <t>Descrizione</t>
  </si>
  <si>
    <t>Q.tà</t>
  </si>
  <si>
    <t>Tot . Ml</t>
  </si>
  <si>
    <t>Mq</t>
  </si>
  <si>
    <t>Tot . Mq</t>
  </si>
  <si>
    <t>importo unit.</t>
  </si>
  <si>
    <t>Tot. € Contrattuali</t>
  </si>
  <si>
    <t>Acconto alla firma contratto</t>
  </si>
  <si>
    <t>Acconto Disegni costruttivi</t>
  </si>
  <si>
    <t>Posa staffe, tubolari in ferro, lamiere per posa guaina e falsitelai</t>
  </si>
  <si>
    <t>Installazione completa reticoli e accessori per posa tamponamenti, telai per serramenti e porte</t>
  </si>
  <si>
    <t>Tamponamenti visivi e pannellatura in genere</t>
  </si>
  <si>
    <t>Scossaline, copertine e lamiere di finitura e finiture in genere</t>
  </si>
  <si>
    <t>Avanzamento!!</t>
  </si>
  <si>
    <t>MESE1</t>
  </si>
  <si>
    <t>MESE2</t>
  </si>
  <si>
    <t>MESE3</t>
  </si>
  <si>
    <t>MESE4</t>
  </si>
  <si>
    <t>MESE5</t>
  </si>
  <si>
    <t>MESE6</t>
  </si>
  <si>
    <t>MESE7</t>
  </si>
  <si>
    <t>MESE8</t>
  </si>
  <si>
    <t>MESE9</t>
  </si>
  <si>
    <t>MESE10</t>
  </si>
  <si>
    <t>Qty [n]</t>
  </si>
  <si>
    <t>Qty [%]</t>
  </si>
  <si>
    <t>SAL-1</t>
  </si>
  <si>
    <t>SAL-2</t>
  </si>
  <si>
    <t>SAL-3</t>
  </si>
  <si>
    <t>SAL-4</t>
  </si>
  <si>
    <t>SAL-5</t>
  </si>
  <si>
    <t>SAL-6</t>
  </si>
  <si>
    <t>SAL-7</t>
  </si>
  <si>
    <t>SAL-8</t>
  </si>
  <si>
    <t>SAL-9</t>
  </si>
  <si>
    <t>SAL-10</t>
  </si>
  <si>
    <t xml:space="preserve">REALIZZAZIONE MOCK-UP </t>
  </si>
  <si>
    <t>Somme Totali</t>
  </si>
  <si>
    <t>VETRI</t>
  </si>
  <si>
    <t>GRIGLIA/PAN</t>
  </si>
  <si>
    <t>LAMIERA</t>
  </si>
  <si>
    <t>FALSO TELAIO</t>
  </si>
  <si>
    <t>Q.ta a contratto
INIZIALI</t>
  </si>
  <si>
    <t>UNITA 
DI REALIZZO
REALI</t>
  </si>
  <si>
    <t>PT</t>
  </si>
  <si>
    <t>P1</t>
  </si>
  <si>
    <t>P2</t>
  </si>
  <si>
    <t>P3</t>
  </si>
  <si>
    <t>P4</t>
  </si>
  <si>
    <t>P5</t>
  </si>
  <si>
    <t>P6</t>
  </si>
  <si>
    <t>P7</t>
  </si>
  <si>
    <t>P8</t>
  </si>
  <si>
    <t>TIPO 1</t>
  </si>
  <si>
    <t>TIPO 2</t>
  </si>
  <si>
    <t>PIPO 3</t>
  </si>
  <si>
    <t>PIPO 4</t>
  </si>
  <si>
    <t>QTA</t>
  </si>
  <si>
    <t>LUNGH</t>
  </si>
  <si>
    <t>MT</t>
  </si>
  <si>
    <t>NORD</t>
  </si>
  <si>
    <t>SUD</t>
  </si>
  <si>
    <t>OVEST</t>
  </si>
  <si>
    <t>EST</t>
  </si>
  <si>
    <t>L1</t>
  </si>
  <si>
    <t>L2</t>
  </si>
  <si>
    <t>L</t>
  </si>
  <si>
    <t>H1</t>
  </si>
  <si>
    <t>H2</t>
  </si>
  <si>
    <t>mq tot
DI 
REALIZZO</t>
  </si>
  <si>
    <t>Unita di 
Misura 
considerata
A CONTRATTO</t>
  </si>
  <si>
    <t xml:space="preserve">Valore da contabilizzare
SINGOLO MQ
</t>
  </si>
  <si>
    <t xml:space="preserve">Valore da contabilizzare
TOTALE
</t>
  </si>
  <si>
    <t>DESC 1</t>
  </si>
  <si>
    <t>DESC 2</t>
  </si>
  <si>
    <t>DESC 3</t>
  </si>
  <si>
    <t>DESC 4</t>
  </si>
  <si>
    <t>GRIGLIA</t>
  </si>
  <si>
    <t>LA 01</t>
  </si>
  <si>
    <t>LA 02</t>
  </si>
  <si>
    <t>LA 03</t>
  </si>
  <si>
    <t>LA 04</t>
  </si>
  <si>
    <t>LA 05</t>
  </si>
  <si>
    <t>LA 06</t>
  </si>
  <si>
    <t>LA 07</t>
  </si>
  <si>
    <t>LA 08</t>
  </si>
  <si>
    <t>LA 09</t>
  </si>
  <si>
    <t>L INTERNA 
FALSO IN LEGNO</t>
  </si>
  <si>
    <t>H INTERNA 
FALSO IN LEGNO</t>
  </si>
  <si>
    <t>TOTALE CONTRATTO INIZIALE</t>
  </si>
  <si>
    <t>TOTALECONTRATTO REALE</t>
  </si>
  <si>
    <t>VARIANTI</t>
  </si>
  <si>
    <t>DOCUMENTO SAL</t>
  </si>
  <si>
    <r>
      <rPr>
        <b/>
        <sz val="10"/>
        <color theme="1"/>
        <rFont val="Calibri"/>
        <family val="2"/>
        <scheme val="minor"/>
      </rPr>
      <t>Suburban S.r.l. a Socio Unico</t>
    </r>
    <r>
      <rPr>
        <sz val="10"/>
        <color theme="1"/>
        <rFont val="Calibri"/>
        <family val="2"/>
        <scheme val="minor"/>
      </rPr>
      <t xml:space="preserve">
P.IVA: 12352270966
REA: MB - 2656311
Sede Legale: 
CORNATE D'ADDA (MB) - VIA
BERLINGUER 17/A CAP 20872</t>
    </r>
  </si>
  <si>
    <t>RIFERIMENTO CANTIERE</t>
  </si>
  <si>
    <t>AVANZAMENTO LAVORI AL :</t>
  </si>
  <si>
    <t>XX.XX.XXXX</t>
  </si>
  <si>
    <t>DEL MESE DI:              DICEMRE 2021</t>
  </si>
  <si>
    <t>SAL N° 1</t>
  </si>
  <si>
    <t>RELATIVI AL SAL N° :</t>
  </si>
  <si>
    <t>Contratto:</t>
  </si>
  <si>
    <t>Polizza CAR</t>
  </si>
  <si>
    <t>CERTIFICATI PRECEDENTI</t>
  </si>
  <si>
    <t>AMMONTARE DEI LAVORI MENSILI IN PAGAMENTO</t>
  </si>
  <si>
    <t>Totale</t>
  </si>
  <si>
    <t xml:space="preserve"> N.</t>
  </si>
  <si>
    <t xml:space="preserve">% </t>
  </si>
  <si>
    <t/>
  </si>
  <si>
    <t>TOTALE SAL MENSILE</t>
  </si>
  <si>
    <t>DECURTAZIONI o ORE ECONOMIA</t>
  </si>
  <si>
    <t>AMMONTARE TOTALE DEI LAVORI</t>
  </si>
  <si>
    <t>RITENUTE:</t>
  </si>
  <si>
    <t>TOTALE IN AVANZAMENTO</t>
  </si>
  <si>
    <t>RITENUTA A GARANZIA Art. 16.3</t>
  </si>
  <si>
    <t>PROGRESSIVO IN PAGAMENTO</t>
  </si>
  <si>
    <t>TOTALE    €</t>
  </si>
  <si>
    <t>TOTALE IMPONIBILE</t>
  </si>
  <si>
    <t>DATA:</t>
  </si>
  <si>
    <t>SUBURBAN SRL 
A SOCIO UNICO</t>
  </si>
  <si>
    <t>DIREZIONE LAVORI</t>
  </si>
  <si>
    <t>COMMITTENTE</t>
  </si>
  <si>
    <t>XXXXXX</t>
  </si>
  <si>
    <t xml:space="preserve"> </t>
  </si>
  <si>
    <t>MQ SERRAMENTI</t>
  </si>
  <si>
    <t>PERCENTUALE DI SCONTO DOPO FIRMA</t>
  </si>
  <si>
    <t>REBATE DA FORNITORI TOTALE</t>
  </si>
  <si>
    <t>REBATE</t>
  </si>
  <si>
    <t>CHECK SOMME
FINALI</t>
  </si>
  <si>
    <t>SCALARE FINANZIARIO</t>
  </si>
  <si>
    <t>INCASSI</t>
  </si>
  <si>
    <t>RITENUTE A GARANZIA</t>
  </si>
  <si>
    <t>CASH FLOW</t>
  </si>
  <si>
    <t>metalservice posa incluso macchine evitto alloggio no subappalto</t>
  </si>
  <si>
    <t>plus metalsaervice</t>
  </si>
  <si>
    <t>CONTRATTO DI FORNITURA E PROGETTO sbu verso metalservice</t>
  </si>
  <si>
    <t>costi sbu</t>
  </si>
  <si>
    <t>mol sbu</t>
  </si>
  <si>
    <t>MATERIALE SECCO</t>
  </si>
  <si>
    <t>CONSEGNA IPOTIZZATA CNSIDERANDO 4 MESI PER LA LAVRAZIONE)
SE LA LAVORAZIONE FOSSE PARI A 2 MESI LA CONSEGNA SLITTEREBBE A NOV26)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</si>
</sst>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44" formatCode="_-* #,##0.00\ &quot;€&quot;_-;\-* #,##0.00\ &quot;€&quot;_-;_-* &quot;-&quot;??\ &quot;€&quot;_-;_-@_-"/>
    <numFmt numFmtId="43" formatCode="_-* #,##0.00_-;\-* #,##0.00_-;_-* &quot;-&quot;??_-;_-@_-"/>
    <numFmt numFmtId="164" formatCode="_-&quot;€&quot;\ * #,##0.00_-;\-&quot;€&quot;\ * #,##0.00_-;_-&quot;€&quot;\ * &quot;-&quot;??_-;_-@_-"/>
    <numFmt numFmtId="165" formatCode="_-[$€-410]\ * #,##0.00_-;\-[$€-410]\ * #,##0.00_-;_-[$€-410]\ * &quot;-&quot;??_-;_-@_-"/>
    <numFmt numFmtId="166" formatCode="#,##0.00_ ;[Red]\-#,##0.00\ "/>
    <numFmt numFmtId="167" formatCode="#,##0.00000000"/>
    <numFmt numFmtId="168" formatCode="#,##0.00_ ;\-#,##0.00\ "/>
    <numFmt numFmtId="169" formatCode="#,##0.0000_ ;[Red]\-#,##0.0000\ "/>
    <numFmt numFmtId="170" formatCode="[$-F800]dddd\,\ mmmm\ dd\,\ yyyy"/>
    <numFmt numFmtId="171" formatCode="_-* #,##0.00\ [$€-410]_-;\-* #,##0.00\ [$€-410]_-;_-* &quot;-&quot;??\ [$€-410]_-;_-@_-"/>
    <numFmt numFmtId="172" formatCode="#,##0_);\(#,##0\)"/>
    <numFmt numFmtId="173" formatCode="0.000%"/>
    <numFmt numFmtId="174" formatCode="[$-410]mmm\-yy;@"/>
    <numFmt numFmtId="175" formatCode="#,##0.0_);\(#,##0.0\)"/>
    <numFmt numFmtId="176" formatCode="0_)"/>
  </numFmts>
  <fonts count="63">
    <font>
      <sz val="11"/>
      <color theme="1"/>
      <name val="Calibri"/>
      <family val="2"/>
      <scheme val="minor"/>
    </font>
    <font>
      <sz val="11"/>
      <color theme="1"/>
      <name val="Calibri"/>
      <family val="2"/>
      <scheme val="minor"/>
    </font>
    <font>
      <b/>
      <sz val="8"/>
      <color theme="1"/>
      <name val="Calibri"/>
      <family val="2"/>
      <scheme val="minor"/>
    </font>
    <font>
      <sz val="8"/>
      <color theme="1"/>
      <name val="Calibri"/>
      <family val="2"/>
      <scheme val="minor"/>
    </font>
    <font>
      <sz val="8"/>
      <name val="Calibri"/>
      <family val="2"/>
      <scheme val="minor"/>
    </font>
    <font>
      <sz val="10"/>
      <color theme="1"/>
      <name val="Calibri"/>
      <family val="2"/>
      <scheme val="minor"/>
    </font>
    <font>
      <sz val="10"/>
      <name val="Calibri"/>
      <family val="2"/>
      <scheme val="minor"/>
    </font>
    <font>
      <sz val="9"/>
      <color theme="1"/>
      <name val="Calibri"/>
      <family val="2"/>
      <scheme val="minor"/>
    </font>
    <font>
      <sz val="9"/>
      <name val="Calibri"/>
      <family val="2"/>
      <scheme val="minor"/>
    </font>
    <font>
      <b/>
      <u val="singleAccounting"/>
      <sz val="8"/>
      <color theme="1"/>
      <name val="Calibri"/>
      <family val="2"/>
      <scheme val="minor"/>
    </font>
    <font>
      <b/>
      <sz val="9"/>
      <name val="Calibri"/>
      <family val="2"/>
      <scheme val="minor"/>
    </font>
    <font>
      <b/>
      <sz val="8"/>
      <name val="Calibri"/>
      <family val="2"/>
      <scheme val="minor"/>
    </font>
    <font>
      <b/>
      <u val="singleAccounting"/>
      <sz val="8"/>
      <name val="Calibri"/>
      <family val="2"/>
      <scheme val="minor"/>
    </font>
    <font>
      <sz val="10"/>
      <name val="Arial"/>
      <family val="2"/>
    </font>
    <font>
      <b/>
      <u/>
      <sz val="9"/>
      <name val="Calibri"/>
      <family val="2"/>
      <scheme val="minor"/>
    </font>
    <font>
      <b/>
      <sz val="11"/>
      <color theme="1"/>
      <name val="Calibri"/>
      <family val="2"/>
      <scheme val="minor"/>
    </font>
    <font>
      <sz val="8"/>
      <name val="Arial"/>
      <family val="2"/>
    </font>
    <font>
      <sz val="12"/>
      <color theme="1"/>
      <name val="Times New Roman"/>
      <family val="1"/>
    </font>
    <font>
      <sz val="7"/>
      <name val="Arial"/>
      <family val="2"/>
    </font>
    <font>
      <b/>
      <i/>
      <sz val="12"/>
      <color theme="1"/>
      <name val="Times New Roman"/>
      <family val="1"/>
    </font>
    <font>
      <sz val="12"/>
      <name val="Times New Roman"/>
      <family val="1"/>
    </font>
    <font>
      <b/>
      <i/>
      <sz val="7"/>
      <name val="Arial"/>
      <family val="2"/>
    </font>
    <font>
      <i/>
      <sz val="12"/>
      <color theme="1"/>
      <name val="Times New Roman"/>
      <family val="1"/>
    </font>
    <font>
      <b/>
      <sz val="8"/>
      <color theme="0"/>
      <name val="Arial"/>
      <family val="2"/>
    </font>
    <font>
      <b/>
      <sz val="12"/>
      <color theme="1"/>
      <name val="Calibri"/>
      <family val="2"/>
      <scheme val="minor"/>
    </font>
    <font>
      <b/>
      <i/>
      <u/>
      <sz val="11"/>
      <color theme="1"/>
      <name val="Times New Roman"/>
      <family val="1"/>
    </font>
    <font>
      <sz val="11"/>
      <color theme="1"/>
      <name val="Times New Roman"/>
      <family val="1"/>
    </font>
    <font>
      <b/>
      <sz val="11"/>
      <color theme="1"/>
      <name val="Times New Roman"/>
      <family val="1"/>
    </font>
    <font>
      <sz val="11"/>
      <color theme="1"/>
      <name val="Calibri"/>
      <family val="2"/>
    </font>
    <font>
      <b/>
      <sz val="9"/>
      <color theme="1"/>
      <name val="Times New Roman"/>
      <family val="1"/>
    </font>
    <font>
      <sz val="9"/>
      <color theme="1"/>
      <name val="Times New Roman"/>
      <family val="1"/>
    </font>
    <font>
      <sz val="9"/>
      <color theme="1"/>
      <name val="Calibri"/>
      <family val="2"/>
    </font>
    <font>
      <sz val="11"/>
      <color rgb="FF00B050"/>
      <name val="Wingdings 2"/>
      <family val="1"/>
      <charset val="2"/>
    </font>
    <font>
      <sz val="11"/>
      <color rgb="FFFF0000"/>
      <name val="Wingdings 2"/>
      <family val="1"/>
      <charset val="2"/>
    </font>
    <font>
      <b/>
      <sz val="8"/>
      <color theme="1"/>
      <name val="Times New Roman"/>
      <family val="1"/>
    </font>
    <font>
      <i/>
      <sz val="10"/>
      <color theme="1"/>
      <name val="Times New Roman"/>
      <family val="1"/>
    </font>
    <font>
      <sz val="10"/>
      <color theme="1"/>
      <name val="Times New Roman"/>
      <family val="1"/>
    </font>
    <font>
      <b/>
      <sz val="8"/>
      <color theme="0"/>
      <name val="Calibri"/>
      <family val="2"/>
      <scheme val="minor"/>
    </font>
    <font>
      <b/>
      <sz val="9"/>
      <color theme="0"/>
      <name val="Calibri"/>
      <family val="2"/>
      <scheme val="minor"/>
    </font>
    <font>
      <b/>
      <sz val="10"/>
      <name val="Calibri"/>
      <family val="2"/>
      <scheme val="minor"/>
    </font>
    <font>
      <b/>
      <u val="singleAccounting"/>
      <sz val="10"/>
      <name val="Calibri"/>
      <family val="2"/>
      <scheme val="minor"/>
    </font>
    <font>
      <b/>
      <sz val="10"/>
      <color theme="1"/>
      <name val="Calibri"/>
      <family val="2"/>
      <scheme val="minor"/>
    </font>
    <font>
      <b/>
      <sz val="8"/>
      <color rgb="FFFF0000"/>
      <name val="Calibri"/>
      <family val="2"/>
      <scheme val="minor"/>
    </font>
    <font>
      <sz val="8"/>
      <color theme="0"/>
      <name val="Calibri"/>
      <family val="2"/>
      <scheme val="minor"/>
    </font>
    <font>
      <b/>
      <sz val="10"/>
      <color theme="0"/>
      <name val="Calibri"/>
      <family val="2"/>
      <scheme val="minor"/>
    </font>
    <font>
      <sz val="10"/>
      <color theme="0"/>
      <name val="Calibri"/>
      <family val="2"/>
      <scheme val="minor"/>
    </font>
    <font>
      <b/>
      <u/>
      <sz val="8"/>
      <color theme="1"/>
      <name val="Calibri"/>
      <family val="2"/>
      <scheme val="minor"/>
    </font>
    <font>
      <b/>
      <u/>
      <sz val="12"/>
      <color theme="1"/>
      <name val="Calibri"/>
      <family val="2"/>
      <scheme val="minor"/>
    </font>
    <font>
      <sz val="9"/>
      <color indexed="10"/>
      <name val="Calibri"/>
      <family val="2"/>
      <scheme val="minor"/>
    </font>
    <font>
      <b/>
      <sz val="10"/>
      <color indexed="10"/>
      <name val="Calibri"/>
      <family val="2"/>
      <scheme val="minor"/>
    </font>
    <font>
      <b/>
      <u/>
      <sz val="10"/>
      <name val="Calibri"/>
      <family val="2"/>
      <scheme val="minor"/>
    </font>
    <font>
      <sz val="8"/>
      <color indexed="10"/>
      <name val="Calibri"/>
      <family val="2"/>
      <scheme val="minor"/>
    </font>
    <font>
      <sz val="9"/>
      <color rgb="FF00B050"/>
      <name val="Calibri"/>
      <family val="2"/>
      <scheme val="minor"/>
    </font>
    <font>
      <b/>
      <sz val="11"/>
      <color rgb="FF4472C4"/>
      <name val="Calibri"/>
      <family val="2"/>
      <scheme val="minor"/>
    </font>
    <font>
      <u/>
      <sz val="11"/>
      <color theme="1"/>
      <name val="Calibri"/>
      <family val="2"/>
      <scheme val="minor"/>
    </font>
    <font>
      <u/>
      <sz val="11"/>
      <color theme="1"/>
      <name val="Times New Roman"/>
      <family val="1"/>
    </font>
    <font>
      <sz val="10"/>
      <color theme="1"/>
      <name val="Calibri"/>
      <family val="2"/>
    </font>
    <font>
      <sz val="8"/>
      <color rgb="FFFF0000"/>
      <name val="Calibri"/>
      <family val="2"/>
      <scheme val="minor"/>
    </font>
    <font>
      <sz val="10"/>
      <color rgb="FF262626"/>
      <name val="Verdana"/>
      <family val="2"/>
    </font>
    <font>
      <b/>
      <sz val="10"/>
      <color theme="1"/>
      <name val="Calibri"/>
      <family val="2"/>
    </font>
    <font>
      <sz val="6"/>
      <color theme="1"/>
      <name val="Calibri"/>
      <family val="2"/>
      <scheme val="minor"/>
    </font>
    <font>
      <sz val="6"/>
      <name val="Calibri"/>
      <family val="2"/>
      <scheme val="minor"/>
    </font>
    <font>
      <sz val="6"/>
      <color rgb="FFFF0000"/>
      <name val="Calibri"/>
      <family val="2"/>
      <scheme val="minor"/>
    </font>
  </fonts>
  <fills count="24">
    <fill>
      <patternFill patternType="none"/>
    </fill>
    <fill>
      <patternFill patternType="gray125"/>
    </fill>
    <fill>
      <patternFill patternType="solid">
        <fgColor theme="0" tint="-4.9989318521683403E-2"/>
        <bgColor indexed="64"/>
      </patternFill>
    </fill>
    <fill>
      <patternFill patternType="solid">
        <fgColor rgb="FF92D050"/>
        <bgColor indexed="64"/>
      </patternFill>
    </fill>
    <fill>
      <patternFill patternType="solid">
        <fgColor theme="2" tint="-0.499984740745262"/>
        <bgColor indexed="64"/>
      </patternFill>
    </fill>
    <fill>
      <patternFill patternType="solid">
        <fgColor theme="0" tint="-0.14999847407452621"/>
        <bgColor indexed="64"/>
      </patternFill>
    </fill>
    <fill>
      <patternFill patternType="solid">
        <fgColor rgb="FFFFC000"/>
        <bgColor indexed="64"/>
      </patternFill>
    </fill>
    <fill>
      <patternFill patternType="solid">
        <fgColor theme="9" tint="0.79998168889431442"/>
        <bgColor indexed="64"/>
      </patternFill>
    </fill>
    <fill>
      <patternFill patternType="solid">
        <fgColor rgb="FFFFFF00"/>
        <bgColor indexed="64"/>
      </patternFill>
    </fill>
    <fill>
      <patternFill patternType="solid">
        <fgColor theme="3" tint="0.59999389629810485"/>
        <bgColor indexed="64"/>
      </patternFill>
    </fill>
    <fill>
      <patternFill patternType="solid">
        <fgColor theme="7" tint="0.39997558519241921"/>
        <bgColor indexed="64"/>
      </patternFill>
    </fill>
    <fill>
      <patternFill patternType="solid">
        <fgColor rgb="FFFFFFFF"/>
      </patternFill>
    </fill>
    <fill>
      <patternFill patternType="solid">
        <fgColor theme="8" tint="0.59999389629810485"/>
        <bgColor indexed="64"/>
      </patternFill>
    </fill>
    <fill>
      <patternFill patternType="solid">
        <fgColor rgb="FF00B0F0"/>
        <bgColor indexed="64"/>
      </patternFill>
    </fill>
    <fill>
      <patternFill patternType="solid">
        <fgColor theme="6" tint="0.59999389629810485"/>
        <bgColor indexed="64"/>
      </patternFill>
    </fill>
    <fill>
      <patternFill patternType="solid">
        <fgColor theme="4"/>
        <bgColor indexed="64"/>
      </patternFill>
    </fill>
    <fill>
      <patternFill patternType="solid">
        <fgColor theme="6" tint="0.79998168889431442"/>
        <bgColor indexed="64"/>
      </patternFill>
    </fill>
    <fill>
      <patternFill patternType="solid">
        <fgColor theme="6" tint="0.39997558519241921"/>
        <bgColor indexed="64"/>
      </patternFill>
    </fill>
    <fill>
      <patternFill patternType="solid">
        <fgColor theme="2" tint="-0.249977111117893"/>
        <bgColor indexed="64"/>
      </patternFill>
    </fill>
    <fill>
      <patternFill patternType="solid">
        <fgColor theme="2" tint="-0.749992370372631"/>
        <bgColor indexed="64"/>
      </patternFill>
    </fill>
    <fill>
      <patternFill patternType="solid">
        <fgColor theme="2" tint="-0.89999084444715716"/>
        <bgColor indexed="64"/>
      </patternFill>
    </fill>
    <fill>
      <patternFill patternType="solid">
        <fgColor theme="2"/>
        <bgColor indexed="64"/>
      </patternFill>
    </fill>
    <fill>
      <patternFill patternType="solid">
        <fgColor theme="5" tint="0.79998168889431442"/>
        <bgColor indexed="64"/>
      </patternFill>
    </fill>
    <fill>
      <patternFill patternType="solid">
        <fgColor theme="2" tint="-9.9978637043366805E-2"/>
        <bgColor indexed="64"/>
      </patternFill>
    </fill>
  </fills>
  <borders count="191">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style="medium">
        <color indexed="64"/>
      </top>
      <bottom style="medium">
        <color indexed="64"/>
      </bottom>
      <diagonal/>
    </border>
    <border>
      <left style="thin">
        <color indexed="64"/>
      </left>
      <right/>
      <top/>
      <bottom/>
      <diagonal/>
    </border>
    <border>
      <left style="thin">
        <color indexed="64"/>
      </left>
      <right style="thin">
        <color indexed="64"/>
      </right>
      <top/>
      <bottom/>
      <diagonal/>
    </border>
    <border>
      <left/>
      <right style="thin">
        <color indexed="64"/>
      </right>
      <top/>
      <bottom/>
      <diagonal/>
    </border>
    <border>
      <left/>
      <right/>
      <top style="thin">
        <color indexed="64"/>
      </top>
      <bottom/>
      <diagonal/>
    </border>
    <border>
      <left style="medium">
        <color indexed="64"/>
      </left>
      <right style="thin">
        <color indexed="64"/>
      </right>
      <top/>
      <bottom/>
      <diagonal/>
    </border>
    <border>
      <left style="thin">
        <color indexed="64"/>
      </left>
      <right style="medium">
        <color indexed="64"/>
      </right>
      <top/>
      <bottom/>
      <diagonal/>
    </border>
    <border>
      <left/>
      <right/>
      <top/>
      <bottom style="thin">
        <color indexed="64"/>
      </bottom>
      <diagonal/>
    </border>
    <border>
      <left/>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top style="thin">
        <color indexed="64"/>
      </top>
      <bottom/>
      <diagonal/>
    </border>
    <border>
      <left/>
      <right style="thin">
        <color indexed="64"/>
      </right>
      <top style="thin">
        <color indexed="64"/>
      </top>
      <bottom/>
      <diagonal/>
    </border>
    <border>
      <left/>
      <right/>
      <top/>
      <bottom style="medium">
        <color indexed="64"/>
      </bottom>
      <diagonal/>
    </border>
    <border>
      <left/>
      <right/>
      <top style="medium">
        <color indexed="64"/>
      </top>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style="medium">
        <color indexed="64"/>
      </top>
      <bottom/>
      <diagonal/>
    </border>
    <border>
      <left style="thin">
        <color auto="1"/>
      </left>
      <right/>
      <top style="medium">
        <color indexed="64"/>
      </top>
      <bottom/>
      <diagonal/>
    </border>
    <border>
      <left/>
      <right style="thin">
        <color indexed="64"/>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diagonal/>
    </border>
    <border>
      <left style="medium">
        <color indexed="64"/>
      </left>
      <right style="dotted">
        <color indexed="64"/>
      </right>
      <top style="medium">
        <color indexed="64"/>
      </top>
      <bottom/>
      <diagonal/>
    </border>
    <border>
      <left style="dotted">
        <color indexed="64"/>
      </left>
      <right style="medium">
        <color indexed="64"/>
      </right>
      <top style="medium">
        <color indexed="64"/>
      </top>
      <bottom/>
      <diagonal/>
    </border>
    <border>
      <left/>
      <right/>
      <top style="thin">
        <color indexed="64"/>
      </top>
      <bottom style="thin">
        <color indexed="64"/>
      </bottom>
      <diagonal/>
    </border>
    <border>
      <left style="medium">
        <color auto="1"/>
      </left>
      <right/>
      <top/>
      <bottom/>
      <diagonal/>
    </border>
    <border>
      <left/>
      <right style="medium">
        <color auto="1"/>
      </right>
      <top/>
      <bottom/>
      <diagonal/>
    </border>
    <border>
      <left style="medium">
        <color auto="1"/>
      </left>
      <right style="medium">
        <color auto="1"/>
      </right>
      <top/>
      <bottom/>
      <diagonal/>
    </border>
    <border>
      <left style="medium">
        <color auto="1"/>
      </left>
      <right style="dotted">
        <color auto="1"/>
      </right>
      <top/>
      <bottom/>
      <diagonal/>
    </border>
    <border>
      <left style="dotted">
        <color auto="1"/>
      </left>
      <right style="medium">
        <color auto="1"/>
      </right>
      <top/>
      <bottom/>
      <diagonal/>
    </border>
    <border>
      <left/>
      <right/>
      <top style="thin">
        <color auto="1"/>
      </top>
      <bottom style="hair">
        <color auto="1"/>
      </bottom>
      <diagonal/>
    </border>
    <border>
      <left/>
      <right style="thin">
        <color indexed="64"/>
      </right>
      <top style="thin">
        <color auto="1"/>
      </top>
      <bottom style="hair">
        <color auto="1"/>
      </bottom>
      <diagonal/>
    </border>
    <border>
      <left style="thin">
        <color indexed="64"/>
      </left>
      <right style="thin">
        <color indexed="64"/>
      </right>
      <top style="thin">
        <color indexed="64"/>
      </top>
      <bottom style="hair">
        <color indexed="64"/>
      </bottom>
      <diagonal/>
    </border>
    <border>
      <left style="medium">
        <color auto="1"/>
      </left>
      <right/>
      <top style="thin">
        <color auto="1"/>
      </top>
      <bottom style="hair">
        <color auto="1"/>
      </bottom>
      <diagonal/>
    </border>
    <border>
      <left/>
      <right style="medium">
        <color indexed="64"/>
      </right>
      <top style="thin">
        <color indexed="64"/>
      </top>
      <bottom style="hair">
        <color indexed="64"/>
      </bottom>
      <diagonal/>
    </border>
    <border>
      <left style="thin">
        <color auto="1"/>
      </left>
      <right/>
      <top style="thin">
        <color auto="1"/>
      </top>
      <bottom style="hair">
        <color auto="1"/>
      </bottom>
      <diagonal/>
    </border>
    <border>
      <left style="medium">
        <color indexed="64"/>
      </left>
      <right style="thin">
        <color indexed="64"/>
      </right>
      <top style="thin">
        <color indexed="64"/>
      </top>
      <bottom style="hair">
        <color indexed="64"/>
      </bottom>
      <diagonal/>
    </border>
    <border>
      <left style="thin">
        <color indexed="64"/>
      </left>
      <right style="medium">
        <color indexed="64"/>
      </right>
      <top style="thin">
        <color indexed="64"/>
      </top>
      <bottom style="hair">
        <color indexed="64"/>
      </bottom>
      <diagonal/>
    </border>
    <border>
      <left style="medium">
        <color auto="1"/>
      </left>
      <right style="medium">
        <color auto="1"/>
      </right>
      <top style="thin">
        <color auto="1"/>
      </top>
      <bottom style="hair">
        <color auto="1"/>
      </bottom>
      <diagonal/>
    </border>
    <border>
      <left style="medium">
        <color indexed="64"/>
      </left>
      <right style="dotted">
        <color indexed="64"/>
      </right>
      <top style="thin">
        <color indexed="64"/>
      </top>
      <bottom style="hair">
        <color indexed="64"/>
      </bottom>
      <diagonal/>
    </border>
    <border>
      <left style="dotted">
        <color indexed="64"/>
      </left>
      <right style="medium">
        <color indexed="64"/>
      </right>
      <top style="thin">
        <color indexed="64"/>
      </top>
      <bottom style="hair">
        <color indexed="64"/>
      </bottom>
      <diagonal/>
    </border>
    <border>
      <left style="hair">
        <color indexed="64"/>
      </left>
      <right style="hair">
        <color indexed="64"/>
      </right>
      <top/>
      <bottom style="hair">
        <color indexed="64"/>
      </bottom>
      <diagonal/>
    </border>
    <border>
      <left style="hair">
        <color indexed="64"/>
      </left>
      <right/>
      <top/>
      <bottom style="hair">
        <color indexed="64"/>
      </bottom>
      <diagonal/>
    </border>
    <border>
      <left style="hair">
        <color indexed="64"/>
      </left>
      <right style="thin">
        <color indexed="64"/>
      </right>
      <top/>
      <bottom style="hair">
        <color indexed="64"/>
      </bottom>
      <diagonal/>
    </border>
    <border>
      <left style="thin">
        <color indexed="64"/>
      </left>
      <right style="thin">
        <color indexed="64"/>
      </right>
      <top/>
      <bottom style="hair">
        <color indexed="64"/>
      </bottom>
      <diagonal/>
    </border>
    <border>
      <left style="medium">
        <color indexed="64"/>
      </left>
      <right style="hair">
        <color indexed="64"/>
      </right>
      <top/>
      <bottom style="hair">
        <color indexed="64"/>
      </bottom>
      <diagonal/>
    </border>
    <border>
      <left style="hair">
        <color indexed="64"/>
      </left>
      <right style="medium">
        <color indexed="64"/>
      </right>
      <top/>
      <bottom style="hair">
        <color indexed="64"/>
      </bottom>
      <diagonal/>
    </border>
    <border>
      <left style="medium">
        <color indexed="64"/>
      </left>
      <right/>
      <top/>
      <bottom style="hair">
        <color indexed="64"/>
      </bottom>
      <diagonal/>
    </border>
    <border>
      <left style="thin">
        <color auto="1"/>
      </left>
      <right style="hair">
        <color auto="1"/>
      </right>
      <top/>
      <bottom style="hair">
        <color auto="1"/>
      </bottom>
      <diagonal/>
    </border>
    <border>
      <left/>
      <right/>
      <top/>
      <bottom style="hair">
        <color indexed="64"/>
      </bottom>
      <diagonal/>
    </border>
    <border>
      <left/>
      <right style="medium">
        <color auto="1"/>
      </right>
      <top/>
      <bottom style="hair">
        <color auto="1"/>
      </bottom>
      <diagonal/>
    </border>
    <border>
      <left style="medium">
        <color auto="1"/>
      </left>
      <right style="thin">
        <color auto="1"/>
      </right>
      <top style="hair">
        <color indexed="64"/>
      </top>
      <bottom style="hair">
        <color indexed="64"/>
      </bottom>
      <diagonal/>
    </border>
    <border>
      <left style="thin">
        <color auto="1"/>
      </left>
      <right style="thin">
        <color auto="1"/>
      </right>
      <top style="hair">
        <color auto="1"/>
      </top>
      <bottom style="hair">
        <color auto="1"/>
      </bottom>
      <diagonal/>
    </border>
    <border>
      <left style="thin">
        <color indexed="64"/>
      </left>
      <right style="medium">
        <color indexed="64"/>
      </right>
      <top/>
      <bottom style="hair">
        <color auto="1"/>
      </bottom>
      <diagonal/>
    </border>
    <border>
      <left style="medium">
        <color indexed="64"/>
      </left>
      <right style="medium">
        <color indexed="64"/>
      </right>
      <top style="hair">
        <color indexed="64"/>
      </top>
      <bottom style="hair">
        <color indexed="64"/>
      </bottom>
      <diagonal/>
    </border>
    <border>
      <left style="medium">
        <color indexed="64"/>
      </left>
      <right style="medium">
        <color indexed="64"/>
      </right>
      <top/>
      <bottom style="hair">
        <color indexed="64"/>
      </bottom>
      <diagonal/>
    </border>
    <border>
      <left style="medium">
        <color indexed="64"/>
      </left>
      <right style="dotted">
        <color indexed="64"/>
      </right>
      <top/>
      <bottom style="hair">
        <color indexed="64"/>
      </bottom>
      <diagonal/>
    </border>
    <border>
      <left style="dotted">
        <color indexed="64"/>
      </left>
      <right style="medium">
        <color indexed="64"/>
      </right>
      <top/>
      <bottom style="hair">
        <color indexed="64"/>
      </bottom>
      <diagonal/>
    </border>
    <border>
      <left style="medium">
        <color indexed="64"/>
      </left>
      <right style="hair">
        <color indexed="64"/>
      </right>
      <top style="hair">
        <color indexed="64"/>
      </top>
      <bottom style="hair">
        <color indexed="64"/>
      </bottom>
      <diagonal/>
    </border>
    <border>
      <left style="hair">
        <color auto="1"/>
      </left>
      <right style="hair">
        <color auto="1"/>
      </right>
      <top style="hair">
        <color auto="1"/>
      </top>
      <bottom style="hair">
        <color auto="1"/>
      </bottom>
      <diagonal/>
    </border>
    <border>
      <left style="hair">
        <color auto="1"/>
      </left>
      <right style="medium">
        <color auto="1"/>
      </right>
      <top style="hair">
        <color indexed="64"/>
      </top>
      <bottom style="hair">
        <color indexed="64"/>
      </bottom>
      <diagonal/>
    </border>
    <border>
      <left style="medium">
        <color auto="1"/>
      </left>
      <right/>
      <top style="hair">
        <color indexed="64"/>
      </top>
      <bottom style="hair">
        <color indexed="64"/>
      </bottom>
      <diagonal/>
    </border>
    <border>
      <left style="thin">
        <color auto="1"/>
      </left>
      <right style="hair">
        <color auto="1"/>
      </right>
      <top style="hair">
        <color indexed="64"/>
      </top>
      <bottom style="hair">
        <color indexed="64"/>
      </bottom>
      <diagonal/>
    </border>
    <border>
      <left/>
      <right/>
      <top style="hair">
        <color indexed="64"/>
      </top>
      <bottom style="hair">
        <color indexed="64"/>
      </bottom>
      <diagonal/>
    </border>
    <border>
      <left style="hair">
        <color auto="1"/>
      </left>
      <right style="thin">
        <color auto="1"/>
      </right>
      <top style="hair">
        <color indexed="64"/>
      </top>
      <bottom style="hair">
        <color indexed="64"/>
      </bottom>
      <diagonal/>
    </border>
    <border>
      <left/>
      <right style="medium">
        <color auto="1"/>
      </right>
      <top style="hair">
        <color indexed="64"/>
      </top>
      <bottom style="hair">
        <color indexed="64"/>
      </bottom>
      <diagonal/>
    </border>
    <border>
      <left style="medium">
        <color indexed="64"/>
      </left>
      <right style="dotted">
        <color indexed="64"/>
      </right>
      <top style="hair">
        <color indexed="64"/>
      </top>
      <bottom style="hair">
        <color indexed="64"/>
      </bottom>
      <diagonal/>
    </border>
    <border>
      <left style="dotted">
        <color auto="1"/>
      </left>
      <right style="medium">
        <color auto="1"/>
      </right>
      <top style="hair">
        <color indexed="64"/>
      </top>
      <bottom style="hair">
        <color indexed="64"/>
      </bottom>
      <diagonal/>
    </border>
    <border>
      <left style="hair">
        <color indexed="64"/>
      </left>
      <right/>
      <top style="hair">
        <color indexed="64"/>
      </top>
      <bottom style="hair">
        <color indexed="64"/>
      </bottom>
      <diagonal/>
    </border>
    <border>
      <left style="thin">
        <color indexed="64"/>
      </left>
      <right style="thin">
        <color indexed="64"/>
      </right>
      <top style="hair">
        <color indexed="64"/>
      </top>
      <bottom style="medium">
        <color indexed="64"/>
      </bottom>
      <diagonal/>
    </border>
    <border>
      <left style="medium">
        <color indexed="64"/>
      </left>
      <right style="hair">
        <color indexed="64"/>
      </right>
      <top style="hair">
        <color indexed="64"/>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medium">
        <color indexed="64"/>
      </left>
      <right/>
      <top style="hair">
        <color indexed="64"/>
      </top>
      <bottom style="medium">
        <color indexed="64"/>
      </bottom>
      <diagonal/>
    </border>
    <border>
      <left style="thin">
        <color auto="1"/>
      </left>
      <right style="hair">
        <color indexed="64"/>
      </right>
      <top style="hair">
        <color indexed="64"/>
      </top>
      <bottom style="medium">
        <color indexed="64"/>
      </bottom>
      <diagonal/>
    </border>
    <border>
      <left/>
      <right/>
      <top style="hair">
        <color auto="1"/>
      </top>
      <bottom style="medium">
        <color indexed="64"/>
      </bottom>
      <diagonal/>
    </border>
    <border>
      <left style="hair">
        <color indexed="64"/>
      </left>
      <right style="thin">
        <color indexed="64"/>
      </right>
      <top style="hair">
        <color auto="1"/>
      </top>
      <bottom style="medium">
        <color indexed="64"/>
      </bottom>
      <diagonal/>
    </border>
    <border>
      <left/>
      <right style="medium">
        <color indexed="64"/>
      </right>
      <top style="hair">
        <color auto="1"/>
      </top>
      <bottom style="medium">
        <color indexed="64"/>
      </bottom>
      <diagonal/>
    </border>
    <border>
      <left style="medium">
        <color indexed="64"/>
      </left>
      <right style="thin">
        <color auto="1"/>
      </right>
      <top style="hair">
        <color indexed="64"/>
      </top>
      <bottom style="medium">
        <color indexed="64"/>
      </bottom>
      <diagonal/>
    </border>
    <border>
      <left style="thin">
        <color indexed="64"/>
      </left>
      <right style="medium">
        <color indexed="64"/>
      </right>
      <top style="hair">
        <color auto="1"/>
      </top>
      <bottom style="medium">
        <color indexed="64"/>
      </bottom>
      <diagonal/>
    </border>
    <border>
      <left style="medium">
        <color auto="1"/>
      </left>
      <right style="medium">
        <color auto="1"/>
      </right>
      <top style="hair">
        <color auto="1"/>
      </top>
      <bottom/>
      <diagonal/>
    </border>
    <border>
      <left style="medium">
        <color indexed="64"/>
      </left>
      <right style="medium">
        <color indexed="64"/>
      </right>
      <top style="hair">
        <color indexed="64"/>
      </top>
      <bottom style="medium">
        <color indexed="64"/>
      </bottom>
      <diagonal/>
    </border>
    <border>
      <left style="medium">
        <color indexed="64"/>
      </left>
      <right style="dotted">
        <color indexed="64"/>
      </right>
      <top style="hair">
        <color auto="1"/>
      </top>
      <bottom style="medium">
        <color indexed="64"/>
      </bottom>
      <diagonal/>
    </border>
    <border>
      <left style="dotted">
        <color indexed="64"/>
      </left>
      <right style="medium">
        <color indexed="64"/>
      </right>
      <top style="hair">
        <color auto="1"/>
      </top>
      <bottom style="medium">
        <color indexed="64"/>
      </bottom>
      <diagonal/>
    </border>
    <border>
      <left style="hair">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hair">
        <color indexed="64"/>
      </left>
      <right style="hair">
        <color indexed="64"/>
      </right>
      <top style="medium">
        <color indexed="64"/>
      </top>
      <bottom style="hair">
        <color auto="1"/>
      </bottom>
      <diagonal/>
    </border>
    <border>
      <left style="hair">
        <color indexed="64"/>
      </left>
      <right/>
      <top style="medium">
        <color indexed="64"/>
      </top>
      <bottom style="hair">
        <color indexed="64"/>
      </bottom>
      <diagonal/>
    </border>
    <border>
      <left style="hair">
        <color indexed="64"/>
      </left>
      <right style="thin">
        <color indexed="64"/>
      </right>
      <top style="medium">
        <color indexed="64"/>
      </top>
      <bottom style="hair">
        <color auto="1"/>
      </bottom>
      <diagonal/>
    </border>
    <border>
      <left style="thin">
        <color indexed="64"/>
      </left>
      <right style="thin">
        <color indexed="64"/>
      </right>
      <top style="medium">
        <color indexed="64"/>
      </top>
      <bottom style="hair">
        <color auto="1"/>
      </bottom>
      <diagonal/>
    </border>
    <border>
      <left style="medium">
        <color indexed="64"/>
      </left>
      <right style="hair">
        <color indexed="64"/>
      </right>
      <top style="medium">
        <color indexed="64"/>
      </top>
      <bottom style="hair">
        <color auto="1"/>
      </bottom>
      <diagonal/>
    </border>
    <border>
      <left style="hair">
        <color indexed="64"/>
      </left>
      <right style="medium">
        <color indexed="64"/>
      </right>
      <top style="medium">
        <color indexed="64"/>
      </top>
      <bottom style="hair">
        <color indexed="64"/>
      </bottom>
      <diagonal/>
    </border>
    <border>
      <left style="medium">
        <color auto="1"/>
      </left>
      <right/>
      <top style="medium">
        <color indexed="64"/>
      </top>
      <bottom style="hair">
        <color auto="1"/>
      </bottom>
      <diagonal/>
    </border>
    <border>
      <left style="thin">
        <color indexed="64"/>
      </left>
      <right style="hair">
        <color indexed="64"/>
      </right>
      <top style="medium">
        <color indexed="64"/>
      </top>
      <bottom style="hair">
        <color auto="1"/>
      </bottom>
      <diagonal/>
    </border>
    <border>
      <left/>
      <right/>
      <top style="medium">
        <color indexed="64"/>
      </top>
      <bottom style="hair">
        <color auto="1"/>
      </bottom>
      <diagonal/>
    </border>
    <border>
      <left/>
      <right style="medium">
        <color auto="1"/>
      </right>
      <top style="medium">
        <color indexed="64"/>
      </top>
      <bottom style="hair">
        <color auto="1"/>
      </bottom>
      <diagonal/>
    </border>
    <border>
      <left style="medium">
        <color indexed="64"/>
      </left>
      <right style="thin">
        <color indexed="64"/>
      </right>
      <top style="medium">
        <color indexed="64"/>
      </top>
      <bottom style="hair">
        <color indexed="64"/>
      </bottom>
      <diagonal/>
    </border>
    <border>
      <left style="thin">
        <color indexed="64"/>
      </left>
      <right style="medium">
        <color indexed="64"/>
      </right>
      <top style="medium">
        <color indexed="64"/>
      </top>
      <bottom style="hair">
        <color auto="1"/>
      </bottom>
      <diagonal/>
    </border>
    <border>
      <left style="medium">
        <color indexed="64"/>
      </left>
      <right style="medium">
        <color indexed="64"/>
      </right>
      <top style="medium">
        <color indexed="64"/>
      </top>
      <bottom style="hair">
        <color indexed="64"/>
      </bottom>
      <diagonal/>
    </border>
    <border>
      <left style="medium">
        <color auto="1"/>
      </left>
      <right style="dotted">
        <color auto="1"/>
      </right>
      <top style="medium">
        <color indexed="64"/>
      </top>
      <bottom style="hair">
        <color auto="1"/>
      </bottom>
      <diagonal/>
    </border>
    <border>
      <left style="dotted">
        <color auto="1"/>
      </left>
      <right style="medium">
        <color auto="1"/>
      </right>
      <top style="medium">
        <color indexed="64"/>
      </top>
      <bottom style="hair">
        <color auto="1"/>
      </bottom>
      <diagonal/>
    </border>
    <border>
      <left style="hair">
        <color indexed="64"/>
      </left>
      <right/>
      <top style="hair">
        <color indexed="64"/>
      </top>
      <bottom style="medium">
        <color indexed="64"/>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medium">
        <color indexed="64"/>
      </left>
      <right style="hair">
        <color indexed="64"/>
      </right>
      <top style="medium">
        <color indexed="64"/>
      </top>
      <bottom style="medium">
        <color indexed="64"/>
      </bottom>
      <diagonal/>
    </border>
    <border>
      <left style="hair">
        <color indexed="64"/>
      </left>
      <right style="hair">
        <color indexed="64"/>
      </right>
      <top style="medium">
        <color indexed="64"/>
      </top>
      <bottom style="medium">
        <color indexed="64"/>
      </bottom>
      <diagonal/>
    </border>
    <border>
      <left style="hair">
        <color indexed="64"/>
      </left>
      <right style="medium">
        <color indexed="64"/>
      </right>
      <top style="medium">
        <color indexed="64"/>
      </top>
      <bottom style="medium">
        <color indexed="64"/>
      </bottom>
      <diagonal/>
    </border>
    <border>
      <left style="medium">
        <color indexed="64"/>
      </left>
      <right/>
      <top style="thick">
        <color indexed="64"/>
      </top>
      <bottom style="thick">
        <color indexed="64"/>
      </bottom>
      <diagonal/>
    </border>
    <border>
      <left style="thin">
        <color indexed="64"/>
      </left>
      <right style="hair">
        <color indexed="64"/>
      </right>
      <top style="thick">
        <color indexed="64"/>
      </top>
      <bottom style="thick">
        <color indexed="64"/>
      </bottom>
      <diagonal/>
    </border>
    <border>
      <left style="hair">
        <color indexed="64"/>
      </left>
      <right style="thin">
        <color indexed="64"/>
      </right>
      <top style="thick">
        <color indexed="64"/>
      </top>
      <bottom style="thick">
        <color indexed="64"/>
      </bottom>
      <diagonal/>
    </border>
    <border>
      <left/>
      <right style="medium">
        <color indexed="64"/>
      </right>
      <top style="thick">
        <color indexed="64"/>
      </top>
      <bottom style="thick">
        <color indexed="64"/>
      </bottom>
      <diagonal/>
    </border>
    <border>
      <left style="medium">
        <color indexed="64"/>
      </left>
      <right style="thin">
        <color indexed="64"/>
      </right>
      <top style="thick">
        <color indexed="64"/>
      </top>
      <bottom style="thick">
        <color indexed="64"/>
      </bottom>
      <diagonal/>
    </border>
    <border>
      <left style="thin">
        <color auto="1"/>
      </left>
      <right style="thin">
        <color auto="1"/>
      </right>
      <top style="thick">
        <color auto="1"/>
      </top>
      <bottom style="thick">
        <color auto="1"/>
      </bottom>
      <diagonal/>
    </border>
    <border>
      <left style="thin">
        <color indexed="64"/>
      </left>
      <right style="medium">
        <color indexed="64"/>
      </right>
      <top style="thick">
        <color indexed="64"/>
      </top>
      <bottom style="thick">
        <color indexed="64"/>
      </bottom>
      <diagonal/>
    </border>
    <border>
      <left style="thick">
        <color auto="1"/>
      </left>
      <right style="thick">
        <color auto="1"/>
      </right>
      <top style="thick">
        <color auto="1"/>
      </top>
      <bottom style="thick">
        <color auto="1"/>
      </bottom>
      <diagonal/>
    </border>
    <border>
      <left style="medium">
        <color indexed="64"/>
      </left>
      <right style="hair">
        <color indexed="64"/>
      </right>
      <top/>
      <bottom style="medium">
        <color indexed="64"/>
      </bottom>
      <diagonal/>
    </border>
    <border>
      <left style="hair">
        <color indexed="64"/>
      </left>
      <right style="hair">
        <color indexed="64"/>
      </right>
      <top/>
      <bottom style="medium">
        <color indexed="64"/>
      </bottom>
      <diagonal/>
    </border>
    <border>
      <left style="hair">
        <color indexed="64"/>
      </left>
      <right style="medium">
        <color indexed="64"/>
      </right>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thick">
        <color indexed="64"/>
      </left>
      <right style="hair">
        <color indexed="64"/>
      </right>
      <top style="thick">
        <color indexed="64"/>
      </top>
      <bottom style="thick">
        <color indexed="64"/>
      </bottom>
      <diagonal/>
    </border>
    <border>
      <left style="hair">
        <color indexed="64"/>
      </left>
      <right style="hair">
        <color indexed="64"/>
      </right>
      <top style="thick">
        <color indexed="64"/>
      </top>
      <bottom style="thick">
        <color indexed="64"/>
      </bottom>
      <diagonal/>
    </border>
    <border>
      <left style="hair">
        <color indexed="64"/>
      </left>
      <right style="medium">
        <color indexed="64"/>
      </right>
      <top style="thick">
        <color indexed="64"/>
      </top>
      <bottom style="thick">
        <color indexed="64"/>
      </bottom>
      <diagonal/>
    </border>
    <border>
      <left style="medium">
        <color indexed="64"/>
      </left>
      <right style="hair">
        <color indexed="64"/>
      </right>
      <top style="medium">
        <color indexed="64"/>
      </top>
      <bottom/>
      <diagonal/>
    </border>
    <border>
      <left style="hair">
        <color indexed="64"/>
      </left>
      <right style="hair">
        <color indexed="64"/>
      </right>
      <top style="medium">
        <color indexed="64"/>
      </top>
      <bottom/>
      <diagonal/>
    </border>
    <border>
      <left style="hair">
        <color indexed="64"/>
      </left>
      <right style="medium">
        <color indexed="64"/>
      </right>
      <top style="medium">
        <color indexed="64"/>
      </top>
      <bottom/>
      <diagonal/>
    </border>
    <border>
      <left style="thin">
        <color indexed="64"/>
      </left>
      <right/>
      <top style="medium">
        <color indexed="64"/>
      </top>
      <bottom style="hair">
        <color auto="1"/>
      </bottom>
      <diagonal/>
    </border>
    <border>
      <left/>
      <right style="thin">
        <color indexed="64"/>
      </right>
      <top style="medium">
        <color indexed="64"/>
      </top>
      <bottom style="hair">
        <color auto="1"/>
      </bottom>
      <diagonal/>
    </border>
    <border>
      <left style="thin">
        <color auto="1"/>
      </left>
      <right/>
      <top style="hair">
        <color auto="1"/>
      </top>
      <bottom style="double">
        <color auto="1"/>
      </bottom>
      <diagonal/>
    </border>
    <border>
      <left/>
      <right/>
      <top style="hair">
        <color auto="1"/>
      </top>
      <bottom style="double">
        <color auto="1"/>
      </bottom>
      <diagonal/>
    </border>
    <border>
      <left/>
      <right style="thin">
        <color auto="1"/>
      </right>
      <top style="hair">
        <color auto="1"/>
      </top>
      <bottom style="double">
        <color indexed="64"/>
      </bottom>
      <diagonal/>
    </border>
    <border>
      <left style="double">
        <color indexed="64"/>
      </left>
      <right/>
      <top style="double">
        <color indexed="64"/>
      </top>
      <bottom style="double">
        <color indexed="64"/>
      </bottom>
      <diagonal/>
    </border>
    <border>
      <left/>
      <right/>
      <top style="double">
        <color indexed="64"/>
      </top>
      <bottom style="double">
        <color indexed="64"/>
      </bottom>
      <diagonal/>
    </border>
    <border>
      <left/>
      <right style="double">
        <color indexed="64"/>
      </right>
      <top style="double">
        <color indexed="64"/>
      </top>
      <bottom style="double">
        <color indexed="64"/>
      </bottom>
      <diagonal/>
    </border>
    <border>
      <left style="double">
        <color indexed="64"/>
      </left>
      <right style="hair">
        <color indexed="64"/>
      </right>
      <top style="double">
        <color indexed="64"/>
      </top>
      <bottom style="double">
        <color indexed="64"/>
      </bottom>
      <diagonal/>
    </border>
    <border>
      <left style="hair">
        <color indexed="64"/>
      </left>
      <right style="hair">
        <color indexed="64"/>
      </right>
      <top style="double">
        <color indexed="64"/>
      </top>
      <bottom style="double">
        <color indexed="64"/>
      </bottom>
      <diagonal/>
    </border>
    <border>
      <left style="hair">
        <color indexed="64"/>
      </left>
      <right style="medium">
        <color indexed="64"/>
      </right>
      <top style="double">
        <color indexed="64"/>
      </top>
      <bottom style="double">
        <color indexed="64"/>
      </bottom>
      <diagonal/>
    </border>
    <border>
      <left style="medium">
        <color indexed="64"/>
      </left>
      <right/>
      <top style="double">
        <color indexed="64"/>
      </top>
      <bottom style="double">
        <color indexed="64"/>
      </bottom>
      <diagonal/>
    </border>
    <border>
      <left style="thin">
        <color indexed="64"/>
      </left>
      <right style="hair">
        <color indexed="64"/>
      </right>
      <top style="double">
        <color auto="1"/>
      </top>
      <bottom style="double">
        <color indexed="64"/>
      </bottom>
      <diagonal/>
    </border>
    <border>
      <left style="hair">
        <color indexed="64"/>
      </left>
      <right style="thin">
        <color indexed="64"/>
      </right>
      <top style="double">
        <color auto="1"/>
      </top>
      <bottom style="double">
        <color indexed="64"/>
      </bottom>
      <diagonal/>
    </border>
    <border>
      <left/>
      <right style="medium">
        <color indexed="64"/>
      </right>
      <top style="double">
        <color indexed="64"/>
      </top>
      <bottom style="double">
        <color indexed="64"/>
      </bottom>
      <diagonal/>
    </border>
    <border>
      <left style="double">
        <color indexed="64"/>
      </left>
      <right style="double">
        <color indexed="64"/>
      </right>
      <top style="double">
        <color indexed="64"/>
      </top>
      <bottom style="double">
        <color indexed="64"/>
      </bottom>
      <diagonal/>
    </border>
    <border>
      <left style="thin">
        <color indexed="64"/>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thin">
        <color indexed="64"/>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style="thin">
        <color auto="1"/>
      </left>
      <right style="thin">
        <color auto="1"/>
      </right>
      <top/>
      <bottom style="medium">
        <color indexed="64"/>
      </bottom>
      <diagonal/>
    </border>
    <border>
      <left style="thin">
        <color indexed="64"/>
      </left>
      <right/>
      <top/>
      <bottom style="medium">
        <color indexed="64"/>
      </bottom>
      <diagonal/>
    </border>
    <border>
      <left style="medium">
        <color auto="1"/>
      </left>
      <right/>
      <top style="medium">
        <color auto="1"/>
      </top>
      <bottom style="thin">
        <color indexed="64"/>
      </bottom>
      <diagonal/>
    </border>
    <border>
      <left style="thin">
        <color auto="1"/>
      </left>
      <right style="thin">
        <color auto="1"/>
      </right>
      <top style="medium">
        <color auto="1"/>
      </top>
      <bottom style="thin">
        <color indexed="64"/>
      </bottom>
      <diagonal/>
    </border>
    <border>
      <left style="thin">
        <color auto="1"/>
      </left>
      <right style="medium">
        <color indexed="64"/>
      </right>
      <top style="medium">
        <color indexed="64"/>
      </top>
      <bottom style="thin">
        <color auto="1"/>
      </bottom>
      <diagonal/>
    </border>
    <border>
      <left style="medium">
        <color indexed="64"/>
      </left>
      <right/>
      <top/>
      <bottom style="thin">
        <color indexed="64"/>
      </bottom>
      <diagonal/>
    </border>
    <border>
      <left style="medium">
        <color auto="1"/>
      </left>
      <right/>
      <top style="thin">
        <color indexed="64"/>
      </top>
      <bottom style="medium">
        <color auto="1"/>
      </bottom>
      <diagonal/>
    </border>
    <border>
      <left/>
      <right/>
      <top style="thin">
        <color indexed="64"/>
      </top>
      <bottom style="medium">
        <color indexed="64"/>
      </bottom>
      <diagonal/>
    </border>
    <border>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right style="thin">
        <color indexed="64"/>
      </right>
      <top/>
      <bottom style="medium">
        <color indexed="64"/>
      </bottom>
      <diagonal/>
    </border>
    <border>
      <left style="thin">
        <color indexed="64"/>
      </left>
      <right style="thin">
        <color indexed="64"/>
      </right>
      <top style="thin">
        <color indexed="64"/>
      </top>
      <bottom style="medium">
        <color auto="1"/>
      </bottom>
      <diagonal/>
    </border>
    <border>
      <left style="medium">
        <color indexed="64"/>
      </left>
      <right style="hair">
        <color indexed="64"/>
      </right>
      <top/>
      <bottom/>
      <diagonal/>
    </border>
    <border>
      <left/>
      <right style="hair">
        <color indexed="64"/>
      </right>
      <top/>
      <bottom/>
      <diagonal/>
    </border>
    <border>
      <left style="medium">
        <color indexed="64"/>
      </left>
      <right style="thin">
        <color indexed="64"/>
      </right>
      <top/>
      <bottom style="medium">
        <color indexed="64"/>
      </bottom>
      <diagonal/>
    </border>
    <border>
      <left style="medium">
        <color indexed="64"/>
      </left>
      <right style="thin">
        <color indexed="64"/>
      </right>
      <top style="thin">
        <color indexed="64"/>
      </top>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diagonal/>
    </border>
    <border>
      <left/>
      <right style="medium">
        <color auto="1"/>
      </right>
      <top style="medium">
        <color indexed="64"/>
      </top>
      <bottom style="thin">
        <color indexed="64"/>
      </bottom>
      <diagonal/>
    </border>
    <border>
      <left style="medium">
        <color indexed="64"/>
      </left>
      <right style="medium">
        <color indexed="64"/>
      </right>
      <top style="thin">
        <color indexed="64"/>
      </top>
      <bottom/>
      <diagonal/>
    </border>
  </borders>
  <cellStyleXfs count="8">
    <xf numFmtId="0" fontId="0" fillId="0" borderId="0"/>
    <xf numFmtId="164" fontId="1" fillId="0" borderId="0" applyFont="0" applyFill="0" applyBorder="0" applyAlignment="0" applyProtection="0"/>
    <xf numFmtId="9" fontId="1"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0" fontId="13" fillId="0" borderId="0"/>
    <xf numFmtId="43" fontId="1" fillId="0" borderId="0" applyFont="0" applyFill="0" applyBorder="0" applyAlignment="0" applyProtection="0"/>
    <xf numFmtId="43" fontId="1" fillId="0" borderId="0" applyFont="0" applyFill="0" applyBorder="0" applyAlignment="0" applyProtection="0"/>
  </cellStyleXfs>
  <cellXfs count="972">
    <xf numFmtId="0" fontId="0" fillId="0" borderId="0" xfId="0"/>
    <xf numFmtId="0" fontId="3" fillId="0" borderId="0" xfId="0" applyFont="1" applyAlignment="1">
      <alignment horizontal="center"/>
    </xf>
    <xf numFmtId="0" fontId="3" fillId="0" borderId="13" xfId="0" applyFont="1" applyBorder="1" applyAlignment="1">
      <alignment horizontal="center"/>
    </xf>
    <xf numFmtId="0" fontId="3" fillId="0" borderId="7" xfId="0" applyFont="1" applyBorder="1" applyAlignment="1">
      <alignment horizontal="center" wrapText="1"/>
    </xf>
    <xf numFmtId="164" fontId="3" fillId="0" borderId="0" xfId="0" applyNumberFormat="1" applyFont="1" applyAlignment="1">
      <alignment horizontal="center"/>
    </xf>
    <xf numFmtId="2" fontId="3" fillId="0" borderId="0" xfId="0" applyNumberFormat="1" applyFont="1" applyAlignment="1">
      <alignment horizontal="center"/>
    </xf>
    <xf numFmtId="3" fontId="2" fillId="2" borderId="4" xfId="0" applyNumberFormat="1" applyFont="1" applyFill="1" applyBorder="1" applyAlignment="1">
      <alignment horizontal="center" vertical="center"/>
    </xf>
    <xf numFmtId="0" fontId="4" fillId="0" borderId="7" xfId="0" applyFont="1" applyBorder="1" applyAlignment="1">
      <alignment horizontal="center"/>
    </xf>
    <xf numFmtId="0" fontId="3" fillId="5" borderId="0" xfId="0" applyFont="1" applyFill="1" applyAlignment="1">
      <alignment horizontal="center"/>
    </xf>
    <xf numFmtId="0" fontId="2" fillId="2" borderId="1" xfId="0" applyFont="1" applyFill="1" applyBorder="1" applyAlignment="1">
      <alignment horizontal="center" vertical="center"/>
    </xf>
    <xf numFmtId="165" fontId="2" fillId="0" borderId="7" xfId="2" applyNumberFormat="1" applyFont="1" applyFill="1" applyBorder="1" applyAlignment="1">
      <alignment horizontal="center"/>
    </xf>
    <xf numFmtId="0" fontId="3" fillId="5" borderId="0" xfId="0" applyFont="1" applyFill="1"/>
    <xf numFmtId="0" fontId="7" fillId="5" borderId="0" xfId="0" applyFont="1" applyFill="1"/>
    <xf numFmtId="0" fontId="7" fillId="0" borderId="0" xfId="0" applyFont="1" applyAlignment="1">
      <alignment horizontal="left"/>
    </xf>
    <xf numFmtId="0" fontId="9" fillId="5" borderId="0" xfId="0" applyFont="1" applyFill="1"/>
    <xf numFmtId="0" fontId="9" fillId="0" borderId="0" xfId="0" applyFont="1" applyAlignment="1">
      <alignment horizontal="center"/>
    </xf>
    <xf numFmtId="164" fontId="9" fillId="5" borderId="0" xfId="1" applyFont="1" applyFill="1" applyAlignment="1"/>
    <xf numFmtId="164" fontId="9" fillId="0" borderId="0" xfId="1" applyFont="1" applyAlignment="1">
      <alignment horizontal="center"/>
    </xf>
    <xf numFmtId="0" fontId="3" fillId="0" borderId="0" xfId="0" applyFont="1" applyAlignment="1">
      <alignment horizontal="center" vertical="top"/>
    </xf>
    <xf numFmtId="0" fontId="4" fillId="0" borderId="0" xfId="0" applyFont="1" applyAlignment="1">
      <alignment horizontal="center"/>
    </xf>
    <xf numFmtId="0" fontId="10" fillId="0" borderId="2" xfId="0" applyFont="1" applyBorder="1" applyAlignment="1">
      <alignment horizontal="left" vertical="center"/>
    </xf>
    <xf numFmtId="0" fontId="11" fillId="0" borderId="3" xfId="0" applyFont="1" applyBorder="1" applyAlignment="1">
      <alignment horizontal="center" vertical="center"/>
    </xf>
    <xf numFmtId="2" fontId="11" fillId="0" borderId="3" xfId="0" applyNumberFormat="1" applyFont="1" applyBorder="1" applyAlignment="1">
      <alignment horizontal="center" vertical="center"/>
    </xf>
    <xf numFmtId="0" fontId="12" fillId="0" borderId="3" xfId="0" applyFont="1" applyBorder="1" applyAlignment="1">
      <alignment horizontal="center" vertical="center"/>
    </xf>
    <xf numFmtId="164" fontId="12" fillId="0" borderId="3" xfId="1" applyFont="1" applyFill="1" applyBorder="1" applyAlignment="1">
      <alignment horizontal="center" vertical="center"/>
    </xf>
    <xf numFmtId="0" fontId="11" fillId="0" borderId="1" xfId="0" applyFont="1" applyBorder="1" applyAlignment="1">
      <alignment horizontal="center" vertical="center"/>
    </xf>
    <xf numFmtId="0" fontId="4" fillId="0" borderId="13" xfId="0" applyFont="1" applyBorder="1" applyAlignment="1">
      <alignment horizontal="center"/>
    </xf>
    <xf numFmtId="0" fontId="11" fillId="0" borderId="6" xfId="0" applyFont="1" applyBorder="1" applyAlignment="1">
      <alignment horizontal="center"/>
    </xf>
    <xf numFmtId="0" fontId="11" fillId="0" borderId="7" xfId="0" applyFont="1" applyBorder="1" applyAlignment="1">
      <alignment horizontal="center" vertical="top"/>
    </xf>
    <xf numFmtId="0" fontId="10" fillId="0" borderId="10" xfId="0" applyFont="1" applyBorder="1" applyAlignment="1">
      <alignment horizontal="center" vertical="top" wrapText="1"/>
    </xf>
    <xf numFmtId="0" fontId="11" fillId="0" borderId="11" xfId="0" applyFont="1" applyBorder="1" applyAlignment="1">
      <alignment horizontal="center" vertical="top"/>
    </xf>
    <xf numFmtId="0" fontId="11" fillId="0" borderId="12" xfId="0" applyFont="1" applyBorder="1" applyAlignment="1">
      <alignment horizontal="center" vertical="top"/>
    </xf>
    <xf numFmtId="0" fontId="11" fillId="0" borderId="8" xfId="0" applyFont="1" applyBorder="1" applyAlignment="1">
      <alignment horizontal="center" vertical="top"/>
    </xf>
    <xf numFmtId="0" fontId="11" fillId="0" borderId="7" xfId="0" applyFont="1" applyBorder="1" applyAlignment="1">
      <alignment horizontal="center" vertical="top" wrapText="1"/>
    </xf>
    <xf numFmtId="0" fontId="11" fillId="0" borderId="8" xfId="0" applyFont="1" applyBorder="1" applyAlignment="1">
      <alignment horizontal="center" vertical="top" wrapText="1"/>
    </xf>
    <xf numFmtId="2" fontId="11" fillId="0" borderId="7" xfId="0" applyNumberFormat="1" applyFont="1" applyBorder="1" applyAlignment="1">
      <alignment horizontal="center" vertical="top"/>
    </xf>
    <xf numFmtId="0" fontId="12" fillId="0" borderId="7" xfId="0" applyFont="1" applyBorder="1" applyAlignment="1">
      <alignment horizontal="center" vertical="top" wrapText="1"/>
    </xf>
    <xf numFmtId="164" fontId="12" fillId="0" borderId="7" xfId="1" applyFont="1" applyFill="1" applyBorder="1" applyAlignment="1">
      <alignment horizontal="center" vertical="top"/>
    </xf>
    <xf numFmtId="0" fontId="11" fillId="0" borderId="7" xfId="0" applyFont="1" applyBorder="1" applyAlignment="1">
      <alignment horizontal="center" wrapText="1"/>
    </xf>
    <xf numFmtId="0" fontId="10" fillId="0" borderId="10" xfId="0" applyFont="1" applyBorder="1" applyAlignment="1">
      <alignment horizontal="left"/>
    </xf>
    <xf numFmtId="0" fontId="11" fillId="0" borderId="11" xfId="0" applyFont="1" applyBorder="1" applyAlignment="1">
      <alignment horizontal="center"/>
    </xf>
    <xf numFmtId="0" fontId="11" fillId="0" borderId="7" xfId="0" applyFont="1" applyBorder="1" applyAlignment="1">
      <alignment horizontal="center"/>
    </xf>
    <xf numFmtId="0" fontId="11" fillId="0" borderId="12" xfId="0" applyFont="1" applyBorder="1" applyAlignment="1">
      <alignment horizontal="center"/>
    </xf>
    <xf numFmtId="0" fontId="11" fillId="0" borderId="8" xfId="0" applyFont="1" applyBorder="1" applyAlignment="1">
      <alignment horizontal="center"/>
    </xf>
    <xf numFmtId="0" fontId="4" fillId="0" borderId="11" xfId="0" applyFont="1" applyBorder="1" applyAlignment="1">
      <alignment horizontal="center"/>
    </xf>
    <xf numFmtId="0" fontId="4" fillId="0" borderId="12" xfId="0" applyFont="1" applyBorder="1" applyAlignment="1">
      <alignment horizontal="center"/>
    </xf>
    <xf numFmtId="2" fontId="4" fillId="0" borderId="8" xfId="0" applyNumberFormat="1" applyFont="1" applyBorder="1" applyAlignment="1">
      <alignment horizontal="center"/>
    </xf>
    <xf numFmtId="164" fontId="4" fillId="0" borderId="7" xfId="1" applyFont="1" applyFill="1" applyBorder="1" applyAlignment="1">
      <alignment horizontal="center"/>
    </xf>
    <xf numFmtId="165" fontId="11" fillId="0" borderId="8" xfId="0" applyNumberFormat="1" applyFont="1" applyBorder="1" applyAlignment="1">
      <alignment horizontal="center"/>
    </xf>
    <xf numFmtId="165" fontId="11" fillId="0" borderId="7" xfId="0" applyNumberFormat="1" applyFont="1" applyBorder="1" applyAlignment="1">
      <alignment horizontal="center"/>
    </xf>
    <xf numFmtId="164" fontId="4" fillId="0" borderId="8" xfId="1" applyFont="1" applyFill="1" applyBorder="1" applyAlignment="1">
      <alignment horizontal="center"/>
    </xf>
    <xf numFmtId="2" fontId="11" fillId="0" borderId="7" xfId="2" applyNumberFormat="1" applyFont="1" applyFill="1" applyBorder="1" applyAlignment="1">
      <alignment horizontal="center"/>
    </xf>
    <xf numFmtId="165" fontId="12" fillId="0" borderId="7" xfId="2" applyNumberFormat="1" applyFont="1" applyFill="1" applyBorder="1" applyAlignment="1">
      <alignment horizontal="center"/>
    </xf>
    <xf numFmtId="164" fontId="12" fillId="0" borderId="7" xfId="1" applyFont="1" applyFill="1" applyBorder="1" applyAlignment="1">
      <alignment horizontal="center"/>
    </xf>
    <xf numFmtId="164" fontId="11" fillId="0" borderId="7" xfId="1" applyFont="1" applyFill="1" applyBorder="1" applyAlignment="1">
      <alignment horizontal="center"/>
    </xf>
    <xf numFmtId="165" fontId="11" fillId="0" borderId="7" xfId="2" applyNumberFormat="1" applyFont="1" applyFill="1" applyBorder="1" applyAlignment="1">
      <alignment horizontal="center"/>
    </xf>
    <xf numFmtId="0" fontId="8" fillId="0" borderId="22" xfId="0" applyFont="1" applyBorder="1" applyAlignment="1">
      <alignment vertical="top" wrapText="1"/>
    </xf>
    <xf numFmtId="0" fontId="8" fillId="0" borderId="0" xfId="0" applyFont="1" applyAlignment="1">
      <alignment horizontal="left"/>
    </xf>
    <xf numFmtId="2" fontId="4" fillId="0" borderId="0" xfId="0" applyNumberFormat="1" applyFont="1" applyAlignment="1">
      <alignment horizontal="center"/>
    </xf>
    <xf numFmtId="2" fontId="11" fillId="0" borderId="0" xfId="0" applyNumberFormat="1" applyFont="1" applyAlignment="1">
      <alignment horizontal="center"/>
    </xf>
    <xf numFmtId="164" fontId="4" fillId="0" borderId="0" xfId="0" applyNumberFormat="1" applyFont="1" applyAlignment="1">
      <alignment horizontal="center"/>
    </xf>
    <xf numFmtId="0" fontId="4" fillId="0" borderId="7" xfId="0" applyFont="1" applyBorder="1" applyAlignment="1">
      <alignment horizontal="center" vertical="center" wrapText="1"/>
    </xf>
    <xf numFmtId="0" fontId="1" fillId="0" borderId="0" xfId="0" applyFont="1"/>
    <xf numFmtId="0" fontId="1" fillId="0" borderId="0" xfId="0" applyFont="1" applyAlignment="1">
      <alignment horizontal="right"/>
    </xf>
    <xf numFmtId="0" fontId="19" fillId="0" borderId="0" xfId="0" applyFont="1" applyAlignment="1">
      <alignment horizontal="left" vertical="center" indent="1"/>
    </xf>
    <xf numFmtId="0" fontId="19" fillId="0" borderId="0" xfId="0" applyFont="1" applyAlignment="1">
      <alignment vertical="center"/>
    </xf>
    <xf numFmtId="49" fontId="18" fillId="11" borderId="137" xfId="0" applyNumberFormat="1" applyFont="1" applyFill="1" applyBorder="1" applyAlignment="1">
      <alignment horizontal="center" vertical="center" wrapText="1" shrinkToFit="1"/>
    </xf>
    <xf numFmtId="49" fontId="18" fillId="11" borderId="30" xfId="0" applyNumberFormat="1" applyFont="1" applyFill="1" applyBorder="1" applyAlignment="1">
      <alignment horizontal="center" vertical="center" wrapText="1" shrinkToFit="1"/>
    </xf>
    <xf numFmtId="49" fontId="18" fillId="11" borderId="30" xfId="0" applyNumberFormat="1" applyFont="1" applyFill="1" applyBorder="1" applyAlignment="1">
      <alignment horizontal="left" vertical="center" wrapText="1" shrinkToFit="1"/>
    </xf>
    <xf numFmtId="43" fontId="18" fillId="11" borderId="30" xfId="7" applyFont="1" applyFill="1" applyBorder="1" applyAlignment="1">
      <alignment horizontal="right" vertical="center" wrapText="1" shrinkToFit="1"/>
    </xf>
    <xf numFmtId="49" fontId="18" fillId="11" borderId="43" xfId="0" applyNumberFormat="1" applyFont="1" applyFill="1" applyBorder="1" applyAlignment="1">
      <alignment horizontal="left" vertical="top" wrapText="1" shrinkToFit="1"/>
    </xf>
    <xf numFmtId="0" fontId="24" fillId="0" borderId="2" xfId="0" applyFont="1" applyBorder="1"/>
    <xf numFmtId="0" fontId="15" fillId="0" borderId="3" xfId="0" applyFont="1" applyBorder="1"/>
    <xf numFmtId="0" fontId="15" fillId="0" borderId="3" xfId="0" applyFont="1" applyBorder="1" applyAlignment="1">
      <alignment horizontal="right"/>
    </xf>
    <xf numFmtId="0" fontId="25" fillId="0" borderId="0" xfId="0" applyFont="1" applyAlignment="1">
      <alignment horizontal="center"/>
    </xf>
    <xf numFmtId="0" fontId="26" fillId="0" borderId="0" xfId="0" applyFont="1"/>
    <xf numFmtId="0" fontId="27" fillId="0" borderId="0" xfId="0" applyFont="1"/>
    <xf numFmtId="0" fontId="28" fillId="0" borderId="0" xfId="0" applyFont="1" applyAlignment="1">
      <alignment horizontal="center"/>
    </xf>
    <xf numFmtId="0" fontId="27" fillId="0" borderId="0" xfId="0" applyFont="1" applyAlignment="1">
      <alignment horizontal="center"/>
    </xf>
    <xf numFmtId="0" fontId="29" fillId="0" borderId="169" xfId="0" applyFont="1" applyBorder="1"/>
    <xf numFmtId="0" fontId="29" fillId="0" borderId="26" xfId="0" applyFont="1" applyBorder="1"/>
    <xf numFmtId="0" fontId="30" fillId="0" borderId="26" xfId="0" applyFont="1" applyBorder="1"/>
    <xf numFmtId="0" fontId="31" fillId="0" borderId="17" xfId="0" applyFont="1" applyBorder="1" applyAlignment="1">
      <alignment horizontal="center"/>
    </xf>
    <xf numFmtId="0" fontId="32" fillId="0" borderId="170" xfId="0" applyFont="1" applyBorder="1" applyAlignment="1">
      <alignment horizontal="center"/>
    </xf>
    <xf numFmtId="0" fontId="26" fillId="0" borderId="171" xfId="0" applyFont="1" applyBorder="1"/>
    <xf numFmtId="0" fontId="29" fillId="0" borderId="172" xfId="0" applyFont="1" applyBorder="1"/>
    <xf numFmtId="0" fontId="29" fillId="0" borderId="25" xfId="0" applyFont="1" applyBorder="1"/>
    <xf numFmtId="0" fontId="30" fillId="0" borderId="25" xfId="0" applyFont="1" applyBorder="1"/>
    <xf numFmtId="0" fontId="30" fillId="0" borderId="6" xfId="0" applyFont="1" applyBorder="1"/>
    <xf numFmtId="0" fontId="26" fillId="0" borderId="7" xfId="0" applyFont="1" applyBorder="1"/>
    <xf numFmtId="0" fontId="33" fillId="0" borderId="12" xfId="0" applyFont="1" applyBorder="1" applyAlignment="1">
      <alignment horizontal="center"/>
    </xf>
    <xf numFmtId="0" fontId="1" fillId="0" borderId="7" xfId="0" applyFont="1" applyBorder="1" applyAlignment="1">
      <alignment horizontal="right"/>
    </xf>
    <xf numFmtId="0" fontId="32" fillId="0" borderId="7" xfId="0" applyFont="1" applyBorder="1" applyAlignment="1">
      <alignment horizontal="center"/>
    </xf>
    <xf numFmtId="0" fontId="1" fillId="0" borderId="12" xfId="0" applyFont="1" applyBorder="1"/>
    <xf numFmtId="0" fontId="28" fillId="0" borderId="7" xfId="0" applyFont="1" applyBorder="1" applyAlignment="1">
      <alignment horizontal="center"/>
    </xf>
    <xf numFmtId="0" fontId="1" fillId="0" borderId="7" xfId="0" applyFont="1" applyBorder="1"/>
    <xf numFmtId="0" fontId="29" fillId="0" borderId="42" xfId="0" applyFont="1" applyBorder="1"/>
    <xf numFmtId="0" fontId="29" fillId="0" borderId="0" xfId="0" applyFont="1"/>
    <xf numFmtId="0" fontId="30" fillId="0" borderId="0" xfId="0" applyFont="1"/>
    <xf numFmtId="0" fontId="30" fillId="0" borderId="21" xfId="0" applyFont="1" applyBorder="1"/>
    <xf numFmtId="0" fontId="29" fillId="0" borderId="173" xfId="0" applyFont="1" applyBorder="1"/>
    <xf numFmtId="0" fontId="29" fillId="0" borderId="174" xfId="0" applyFont="1" applyBorder="1"/>
    <xf numFmtId="0" fontId="30" fillId="0" borderId="174" xfId="0" applyFont="1" applyBorder="1"/>
    <xf numFmtId="0" fontId="30" fillId="0" borderId="175" xfId="0" applyFont="1" applyBorder="1"/>
    <xf numFmtId="0" fontId="28" fillId="0" borderId="175" xfId="0" applyFont="1" applyBorder="1" applyAlignment="1">
      <alignment horizontal="center"/>
    </xf>
    <xf numFmtId="0" fontId="33" fillId="0" borderId="176" xfId="0" applyFont="1" applyBorder="1" applyAlignment="1">
      <alignment horizontal="center"/>
    </xf>
    <xf numFmtId="0" fontId="33" fillId="0" borderId="0" xfId="0" applyFont="1" applyAlignment="1">
      <alignment horizontal="center"/>
    </xf>
    <xf numFmtId="0" fontId="30" fillId="0" borderId="17" xfId="0" applyFont="1" applyBorder="1"/>
    <xf numFmtId="0" fontId="28" fillId="0" borderId="12" xfId="0" applyFont="1" applyBorder="1" applyAlignment="1">
      <alignment horizontal="center"/>
    </xf>
    <xf numFmtId="0" fontId="27" fillId="0" borderId="137" xfId="0" applyFont="1" applyBorder="1"/>
    <xf numFmtId="0" fontId="1" fillId="0" borderId="30" xfId="0" applyFont="1" applyBorder="1"/>
    <xf numFmtId="0" fontId="1" fillId="0" borderId="177" xfId="0" applyFont="1" applyBorder="1" applyAlignment="1">
      <alignment horizontal="right"/>
    </xf>
    <xf numFmtId="0" fontId="1" fillId="0" borderId="178" xfId="0" applyFont="1" applyBorder="1"/>
    <xf numFmtId="0" fontId="28" fillId="0" borderId="176" xfId="0" applyFont="1" applyBorder="1" applyAlignment="1">
      <alignment horizontal="center"/>
    </xf>
    <xf numFmtId="0" fontId="1" fillId="0" borderId="0" xfId="0" applyFont="1" applyAlignment="1">
      <alignment horizontal="left" wrapText="1"/>
    </xf>
    <xf numFmtId="0" fontId="15" fillId="0" borderId="0" xfId="0" applyFont="1"/>
    <xf numFmtId="0" fontId="18" fillId="11" borderId="14" xfId="0" applyFont="1" applyFill="1" applyBorder="1" applyAlignment="1">
      <alignment horizontal="center" vertical="center" wrapText="1" shrinkToFit="1"/>
    </xf>
    <xf numFmtId="49" fontId="18" fillId="11" borderId="13" xfId="0" applyNumberFormat="1" applyFont="1" applyFill="1" applyBorder="1" applyAlignment="1">
      <alignment horizontal="center" vertical="center" wrapText="1" shrinkToFit="1"/>
    </xf>
    <xf numFmtId="0" fontId="18" fillId="11" borderId="13" xfId="0" applyFont="1" applyFill="1" applyBorder="1" applyAlignment="1">
      <alignment horizontal="left" vertical="top" wrapText="1" shrinkToFit="1"/>
    </xf>
    <xf numFmtId="49" fontId="16" fillId="0" borderId="0" xfId="0" applyNumberFormat="1" applyFont="1" applyAlignment="1">
      <alignment horizontal="left" vertical="center" wrapText="1" shrinkToFit="1"/>
    </xf>
    <xf numFmtId="49" fontId="16" fillId="11" borderId="0" xfId="0" applyNumberFormat="1" applyFont="1" applyFill="1" applyAlignment="1">
      <alignment horizontal="left" vertical="center" wrapText="1" shrinkToFit="1"/>
    </xf>
    <xf numFmtId="0" fontId="19" fillId="0" borderId="0" xfId="0" applyFont="1" applyAlignment="1">
      <alignment horizontal="left" vertical="top"/>
    </xf>
    <xf numFmtId="49" fontId="18" fillId="11" borderId="0" xfId="0" applyNumberFormat="1" applyFont="1" applyFill="1" applyAlignment="1">
      <alignment horizontal="right" vertical="center" wrapText="1" shrinkToFit="1"/>
    </xf>
    <xf numFmtId="170" fontId="20" fillId="11" borderId="0" xfId="0" applyNumberFormat="1" applyFont="1" applyFill="1" applyAlignment="1">
      <alignment horizontal="left" vertical="center" indent="1"/>
    </xf>
    <xf numFmtId="0" fontId="17" fillId="0" borderId="0" xfId="0" applyFont="1" applyAlignment="1">
      <alignment horizontal="left" vertical="center" indent="1"/>
    </xf>
    <xf numFmtId="0" fontId="17" fillId="0" borderId="0" xfId="0" applyFont="1" applyAlignment="1">
      <alignment horizontal="left" vertical="top" indent="1"/>
    </xf>
    <xf numFmtId="0" fontId="1" fillId="0" borderId="0" xfId="0" applyFont="1" applyAlignment="1">
      <alignment vertical="top"/>
    </xf>
    <xf numFmtId="49" fontId="18" fillId="11" borderId="0" xfId="0" applyNumberFormat="1" applyFont="1" applyFill="1" applyAlignment="1">
      <alignment vertical="center" wrapText="1" shrinkToFit="1"/>
    </xf>
    <xf numFmtId="49" fontId="16" fillId="11" borderId="0" xfId="0" applyNumberFormat="1" applyFont="1" applyFill="1" applyAlignment="1">
      <alignment vertical="center" wrapText="1" shrinkToFit="1"/>
    </xf>
    <xf numFmtId="49" fontId="21" fillId="11" borderId="0" xfId="0" applyNumberFormat="1" applyFont="1" applyFill="1" applyAlignment="1">
      <alignment horizontal="left" vertical="center" wrapText="1" shrinkToFit="1"/>
    </xf>
    <xf numFmtId="49" fontId="21" fillId="11" borderId="0" xfId="0" applyNumberFormat="1" applyFont="1" applyFill="1" applyAlignment="1">
      <alignment horizontal="right" vertical="center" wrapText="1" shrinkToFit="1"/>
    </xf>
    <xf numFmtId="2" fontId="18" fillId="11" borderId="27" xfId="7" applyNumberFormat="1" applyFont="1" applyFill="1" applyBorder="1" applyAlignment="1">
      <alignment horizontal="right" vertical="center" wrapText="1" shrinkToFit="1"/>
    </xf>
    <xf numFmtId="0" fontId="20" fillId="11" borderId="0" xfId="0" applyFont="1" applyFill="1" applyAlignment="1">
      <alignment horizontal="left" vertical="top" indent="1"/>
    </xf>
    <xf numFmtId="0" fontId="37" fillId="3" borderId="7" xfId="0" applyFont="1" applyFill="1" applyBorder="1" applyAlignment="1">
      <alignment horizontal="center" wrapText="1"/>
    </xf>
    <xf numFmtId="0" fontId="38" fillId="3" borderId="10" xfId="0" applyFont="1" applyFill="1" applyBorder="1" applyAlignment="1">
      <alignment horizontal="left"/>
    </xf>
    <xf numFmtId="14" fontId="38" fillId="3" borderId="10" xfId="0" applyNumberFormat="1" applyFont="1" applyFill="1" applyBorder="1" applyAlignment="1">
      <alignment horizontal="left"/>
    </xf>
    <xf numFmtId="49" fontId="38" fillId="3" borderId="10" xfId="0" applyNumberFormat="1" applyFont="1" applyFill="1" applyBorder="1" applyAlignment="1">
      <alignment horizontal="left"/>
    </xf>
    <xf numFmtId="0" fontId="5" fillId="2" borderId="0" xfId="0" applyFont="1" applyFill="1" applyAlignment="1">
      <alignment horizontal="center" vertical="center"/>
    </xf>
    <xf numFmtId="0" fontId="6" fillId="2" borderId="7" xfId="0" applyFont="1" applyFill="1" applyBorder="1" applyAlignment="1">
      <alignment horizontal="center" vertical="center"/>
    </xf>
    <xf numFmtId="0" fontId="6" fillId="2" borderId="10" xfId="0" applyFont="1" applyFill="1" applyBorder="1" applyAlignment="1">
      <alignment horizontal="left" vertical="center" wrapText="1"/>
    </xf>
    <xf numFmtId="0" fontId="6" fillId="2" borderId="11" xfId="0" applyFont="1" applyFill="1" applyBorder="1" applyAlignment="1">
      <alignment horizontal="center" vertical="center"/>
    </xf>
    <xf numFmtId="0" fontId="6" fillId="2" borderId="12" xfId="0" applyFont="1" applyFill="1" applyBorder="1" applyAlignment="1">
      <alignment horizontal="center" vertical="center"/>
    </xf>
    <xf numFmtId="2" fontId="6" fillId="2" borderId="8" xfId="0" applyNumberFormat="1" applyFont="1" applyFill="1" applyBorder="1" applyAlignment="1">
      <alignment horizontal="center" vertical="center"/>
    </xf>
    <xf numFmtId="164" fontId="6" fillId="2" borderId="7" xfId="1" applyFont="1" applyFill="1" applyBorder="1" applyAlignment="1">
      <alignment horizontal="center" vertical="center"/>
    </xf>
    <xf numFmtId="2" fontId="6" fillId="2" borderId="7" xfId="1" applyNumberFormat="1" applyFont="1" applyFill="1" applyBorder="1" applyAlignment="1">
      <alignment horizontal="center" vertical="center"/>
    </xf>
    <xf numFmtId="165" fontId="39" fillId="2" borderId="8" xfId="0" applyNumberFormat="1" applyFont="1" applyFill="1" applyBorder="1" applyAlignment="1">
      <alignment horizontal="center" vertical="center"/>
    </xf>
    <xf numFmtId="165" fontId="39" fillId="2" borderId="7" xfId="0" applyNumberFormat="1" applyFont="1" applyFill="1" applyBorder="1" applyAlignment="1">
      <alignment horizontal="center" vertical="center"/>
    </xf>
    <xf numFmtId="165" fontId="6" fillId="2" borderId="7" xfId="0" applyNumberFormat="1" applyFont="1" applyFill="1" applyBorder="1" applyAlignment="1">
      <alignment horizontal="center" vertical="center"/>
    </xf>
    <xf numFmtId="164" fontId="6" fillId="2" borderId="8" xfId="1" applyFont="1" applyFill="1" applyBorder="1" applyAlignment="1">
      <alignment horizontal="center" vertical="center"/>
    </xf>
    <xf numFmtId="2" fontId="39" fillId="2" borderId="7" xfId="2" applyNumberFormat="1" applyFont="1" applyFill="1" applyBorder="1" applyAlignment="1">
      <alignment horizontal="center" vertical="center"/>
    </xf>
    <xf numFmtId="165" fontId="40" fillId="2" borderId="7" xfId="2" applyNumberFormat="1" applyFont="1" applyFill="1" applyBorder="1" applyAlignment="1">
      <alignment horizontal="center" vertical="center"/>
    </xf>
    <xf numFmtId="164" fontId="40" fillId="2" borderId="7" xfId="1" applyFont="1" applyFill="1" applyBorder="1" applyAlignment="1">
      <alignment horizontal="center" vertical="center"/>
    </xf>
    <xf numFmtId="164" fontId="39" fillId="2" borderId="7" xfId="1" applyFont="1" applyFill="1" applyBorder="1" applyAlignment="1">
      <alignment horizontal="center" vertical="center"/>
    </xf>
    <xf numFmtId="165" fontId="39" fillId="2" borderId="7" xfId="2" applyNumberFormat="1" applyFont="1" applyFill="1" applyBorder="1" applyAlignment="1">
      <alignment horizontal="center" vertical="center"/>
    </xf>
    <xf numFmtId="165" fontId="41" fillId="2" borderId="7" xfId="2" applyNumberFormat="1" applyFont="1" applyFill="1" applyBorder="1" applyAlignment="1">
      <alignment horizontal="center" vertical="center"/>
    </xf>
    <xf numFmtId="0" fontId="5" fillId="2" borderId="7" xfId="0" applyFont="1" applyFill="1" applyBorder="1" applyAlignment="1">
      <alignment horizontal="center" vertical="center" wrapText="1"/>
    </xf>
    <xf numFmtId="0" fontId="3" fillId="0" borderId="0" xfId="0" applyFont="1"/>
    <xf numFmtId="164" fontId="3" fillId="0" borderId="0" xfId="1" applyFont="1"/>
    <xf numFmtId="0" fontId="3" fillId="0" borderId="0" xfId="0" applyFont="1" applyAlignment="1">
      <alignment horizontal="left"/>
    </xf>
    <xf numFmtId="164" fontId="3" fillId="0" borderId="0" xfId="1" applyFont="1" applyFill="1"/>
    <xf numFmtId="44" fontId="3" fillId="0" borderId="0" xfId="0" applyNumberFormat="1" applyFont="1"/>
    <xf numFmtId="0" fontId="3" fillId="0" borderId="7" xfId="0" applyFont="1" applyBorder="1"/>
    <xf numFmtId="164" fontId="2" fillId="0" borderId="7" xfId="1" applyFont="1" applyFill="1" applyBorder="1"/>
    <xf numFmtId="164" fontId="3" fillId="0" borderId="7" xfId="1" applyFont="1" applyFill="1" applyBorder="1" applyProtection="1"/>
    <xf numFmtId="9" fontId="3" fillId="0" borderId="7" xfId="2" applyFont="1" applyBorder="1" applyAlignment="1">
      <alignment horizontal="center" vertical="center"/>
    </xf>
    <xf numFmtId="0" fontId="3" fillId="0" borderId="7" xfId="0" applyFont="1" applyBorder="1" applyAlignment="1">
      <alignment horizontal="center" vertical="center"/>
    </xf>
    <xf numFmtId="171" fontId="3" fillId="0" borderId="7" xfId="0" applyNumberFormat="1" applyFont="1" applyBorder="1" applyAlignment="1">
      <alignment horizontal="center" vertical="center"/>
    </xf>
    <xf numFmtId="0" fontId="3" fillId="0" borderId="7" xfId="0" applyFont="1" applyBorder="1" applyAlignment="1">
      <alignment horizontal="left" vertical="center"/>
    </xf>
    <xf numFmtId="0" fontId="3" fillId="6" borderId="0" xfId="0" applyFont="1" applyFill="1"/>
    <xf numFmtId="164" fontId="2" fillId="0" borderId="0" xfId="1" applyFont="1" applyFill="1" applyBorder="1"/>
    <xf numFmtId="0" fontId="3" fillId="13" borderId="0" xfId="0" applyFont="1" applyFill="1"/>
    <xf numFmtId="0" fontId="3" fillId="0" borderId="25" xfId="0" applyFont="1" applyBorder="1"/>
    <xf numFmtId="171" fontId="2" fillId="0" borderId="7" xfId="0" applyNumberFormat="1" applyFont="1" applyBorder="1" applyAlignment="1">
      <alignment horizontal="center" vertical="center"/>
    </xf>
    <xf numFmtId="0" fontId="3" fillId="0" borderId="7" xfId="0" applyFont="1" applyBorder="1" applyAlignment="1">
      <alignment horizontal="left" vertical="center" wrapText="1"/>
    </xf>
    <xf numFmtId="171" fontId="3" fillId="0" borderId="25" xfId="0" applyNumberFormat="1" applyFont="1" applyBorder="1"/>
    <xf numFmtId="164" fontId="2" fillId="0" borderId="25" xfId="1" applyFont="1" applyFill="1" applyBorder="1"/>
    <xf numFmtId="171" fontId="2" fillId="0" borderId="25" xfId="0" applyNumberFormat="1" applyFont="1" applyBorder="1"/>
    <xf numFmtId="0" fontId="2" fillId="0" borderId="25" xfId="0" applyFont="1" applyBorder="1" applyAlignment="1">
      <alignment horizontal="center" vertical="center"/>
    </xf>
    <xf numFmtId="0" fontId="2" fillId="0" borderId="25" xfId="0" applyFont="1" applyBorder="1" applyAlignment="1">
      <alignment horizontal="left" vertical="center"/>
    </xf>
    <xf numFmtId="0" fontId="3" fillId="0" borderId="25" xfId="0" applyFont="1" applyBorder="1" applyAlignment="1">
      <alignment horizontal="center"/>
    </xf>
    <xf numFmtId="0" fontId="3" fillId="0" borderId="25" xfId="0" applyFont="1" applyBorder="1" applyAlignment="1">
      <alignment horizontal="left"/>
    </xf>
    <xf numFmtId="171" fontId="3" fillId="0" borderId="7" xfId="0" applyNumberFormat="1" applyFont="1" applyBorder="1"/>
    <xf numFmtId="0" fontId="3" fillId="15" borderId="0" xfId="0" applyFont="1" applyFill="1"/>
    <xf numFmtId="0" fontId="2" fillId="0" borderId="9" xfId="0" applyFont="1" applyBorder="1" applyAlignment="1">
      <alignment horizontal="left" vertical="center"/>
    </xf>
    <xf numFmtId="0" fontId="3" fillId="0" borderId="28" xfId="0" applyFont="1" applyBorder="1"/>
    <xf numFmtId="0" fontId="3" fillId="0" borderId="28" xfId="0" applyFont="1" applyBorder="1" applyAlignment="1">
      <alignment horizontal="center"/>
    </xf>
    <xf numFmtId="0" fontId="3" fillId="0" borderId="28" xfId="0" applyFont="1" applyBorder="1" applyAlignment="1">
      <alignment horizontal="left"/>
    </xf>
    <xf numFmtId="0" fontId="3" fillId="0" borderId="138" xfId="0" applyFont="1" applyBorder="1"/>
    <xf numFmtId="0" fontId="3" fillId="0" borderId="30" xfId="0" applyFont="1" applyBorder="1"/>
    <xf numFmtId="0" fontId="3" fillId="0" borderId="137" xfId="0" applyFont="1" applyBorder="1"/>
    <xf numFmtId="0" fontId="3" fillId="0" borderId="177" xfId="0" applyFont="1" applyBorder="1"/>
    <xf numFmtId="0" fontId="3" fillId="0" borderId="168" xfId="0" applyFont="1" applyBorder="1"/>
    <xf numFmtId="0" fontId="3" fillId="0" borderId="30" xfId="0" applyFont="1" applyBorder="1" applyAlignment="1">
      <alignment horizontal="center"/>
    </xf>
    <xf numFmtId="0" fontId="3" fillId="0" borderId="30" xfId="0" applyFont="1" applyBorder="1" applyAlignment="1">
      <alignment horizontal="left"/>
    </xf>
    <xf numFmtId="0" fontId="3" fillId="0" borderId="43" xfId="0" applyFont="1" applyBorder="1"/>
    <xf numFmtId="0" fontId="3" fillId="0" borderId="37" xfId="0" applyFont="1" applyBorder="1"/>
    <xf numFmtId="0" fontId="3" fillId="0" borderId="31" xfId="0" applyFont="1" applyBorder="1"/>
    <xf numFmtId="0" fontId="3" fillId="0" borderId="34" xfId="0" applyFont="1" applyBorder="1"/>
    <xf numFmtId="0" fontId="3" fillId="0" borderId="36" xfId="0" applyFont="1" applyBorder="1"/>
    <xf numFmtId="0" fontId="3" fillId="0" borderId="35" xfId="0" applyFont="1" applyBorder="1"/>
    <xf numFmtId="0" fontId="3" fillId="0" borderId="31" xfId="0" applyFont="1" applyBorder="1" applyAlignment="1">
      <alignment horizontal="center"/>
    </xf>
    <xf numFmtId="0" fontId="3" fillId="0" borderId="31" xfId="0" applyFont="1" applyBorder="1" applyAlignment="1">
      <alignment horizontal="left"/>
    </xf>
    <xf numFmtId="0" fontId="3" fillId="0" borderId="32" xfId="0" applyFont="1" applyBorder="1" applyAlignment="1">
      <alignment horizontal="center" vertical="center"/>
    </xf>
    <xf numFmtId="2" fontId="3" fillId="0" borderId="7" xfId="0" applyNumberFormat="1" applyFont="1" applyBorder="1" applyAlignment="1">
      <alignment horizontal="left" vertical="center"/>
    </xf>
    <xf numFmtId="0" fontId="3" fillId="0" borderId="7" xfId="0" applyFont="1" applyBorder="1" applyAlignment="1">
      <alignment horizontal="left"/>
    </xf>
    <xf numFmtId="0" fontId="3" fillId="0" borderId="7" xfId="0" applyFont="1" applyBorder="1" applyAlignment="1">
      <alignment horizontal="center"/>
    </xf>
    <xf numFmtId="171" fontId="3" fillId="0" borderId="0" xfId="0" applyNumberFormat="1" applyFont="1"/>
    <xf numFmtId="164" fontId="3" fillId="0" borderId="0" xfId="0" applyNumberFormat="1" applyFont="1"/>
    <xf numFmtId="0" fontId="3" fillId="0" borderId="0" xfId="0" applyFont="1" applyAlignment="1">
      <alignment horizontal="center" vertical="center"/>
    </xf>
    <xf numFmtId="0" fontId="3" fillId="0" borderId="0" xfId="0" applyFont="1" applyAlignment="1">
      <alignment horizontal="center" vertical="center" textRotation="90"/>
    </xf>
    <xf numFmtId="0" fontId="2" fillId="0" borderId="0" xfId="0" applyFont="1"/>
    <xf numFmtId="2" fontId="3" fillId="0" borderId="0" xfId="0" applyNumberFormat="1" applyFont="1" applyAlignment="1">
      <alignment horizontal="center" vertical="center"/>
    </xf>
    <xf numFmtId="0" fontId="2" fillId="0" borderId="7" xfId="0" applyFont="1" applyBorder="1"/>
    <xf numFmtId="0" fontId="3" fillId="0" borderId="13" xfId="0" applyFont="1" applyBorder="1"/>
    <xf numFmtId="0" fontId="2" fillId="0" borderId="25" xfId="0" applyFont="1" applyBorder="1"/>
    <xf numFmtId="0" fontId="6" fillId="0" borderId="0" xfId="0" applyFont="1"/>
    <xf numFmtId="164" fontId="6" fillId="0" borderId="0" xfId="0" applyNumberFormat="1" applyFont="1"/>
    <xf numFmtId="0" fontId="4" fillId="0" borderId="0" xfId="0" applyFont="1"/>
    <xf numFmtId="164" fontId="4" fillId="0" borderId="0" xfId="0" applyNumberFormat="1" applyFont="1"/>
    <xf numFmtId="0" fontId="3" fillId="0" borderId="7" xfId="1" applyNumberFormat="1" applyFont="1" applyFill="1" applyBorder="1" applyProtection="1"/>
    <xf numFmtId="164" fontId="3" fillId="0" borderId="25" xfId="0" applyNumberFormat="1" applyFont="1" applyBorder="1"/>
    <xf numFmtId="164" fontId="3" fillId="0" borderId="21" xfId="0" applyNumberFormat="1" applyFont="1" applyBorder="1"/>
    <xf numFmtId="0" fontId="3" fillId="0" borderId="0" xfId="0" applyFont="1" applyAlignment="1">
      <alignment wrapText="1"/>
    </xf>
    <xf numFmtId="0" fontId="18" fillId="11" borderId="13" xfId="0" applyFont="1" applyFill="1" applyBorder="1" applyAlignment="1">
      <alignment horizontal="center" vertical="center" wrapText="1" shrinkToFit="1"/>
    </xf>
    <xf numFmtId="164" fontId="3" fillId="0" borderId="7" xfId="0" applyNumberFormat="1" applyFont="1" applyBorder="1"/>
    <xf numFmtId="0" fontId="4" fillId="14" borderId="7" xfId="0" applyFont="1" applyFill="1" applyBorder="1" applyAlignment="1">
      <alignment horizontal="center" vertical="top"/>
    </xf>
    <xf numFmtId="0" fontId="4" fillId="14" borderId="7" xfId="0" applyFont="1" applyFill="1" applyBorder="1" applyAlignment="1">
      <alignment horizontal="center" vertical="top" wrapText="1"/>
    </xf>
    <xf numFmtId="164" fontId="4" fillId="14" borderId="7" xfId="1" applyFont="1" applyFill="1" applyBorder="1" applyAlignment="1">
      <alignment horizontal="center" vertical="top"/>
    </xf>
    <xf numFmtId="0" fontId="4" fillId="14" borderId="7" xfId="0" applyFont="1" applyFill="1" applyBorder="1" applyAlignment="1">
      <alignment horizontal="center" vertical="top" textRotation="90" wrapText="1"/>
    </xf>
    <xf numFmtId="0" fontId="3" fillId="14" borderId="7" xfId="0" applyFont="1" applyFill="1" applyBorder="1" applyAlignment="1">
      <alignment vertical="top" textRotation="90" wrapText="1"/>
    </xf>
    <xf numFmtId="0" fontId="3" fillId="14" borderId="7" xfId="0" applyFont="1" applyFill="1" applyBorder="1" applyAlignment="1">
      <alignment vertical="top"/>
    </xf>
    <xf numFmtId="0" fontId="4" fillId="14" borderId="0" xfId="0" applyFont="1" applyFill="1"/>
    <xf numFmtId="0" fontId="11" fillId="16" borderId="7" xfId="0" applyFont="1" applyFill="1" applyBorder="1" applyAlignment="1">
      <alignment horizontal="center" vertical="top"/>
    </xf>
    <xf numFmtId="0" fontId="11" fillId="16" borderId="7" xfId="0" applyFont="1" applyFill="1" applyBorder="1" applyAlignment="1">
      <alignment horizontal="center" vertical="top" wrapText="1"/>
    </xf>
    <xf numFmtId="164" fontId="11" fillId="16" borderId="7" xfId="1" applyFont="1" applyFill="1" applyBorder="1" applyAlignment="1">
      <alignment horizontal="center" vertical="top" wrapText="1"/>
    </xf>
    <xf numFmtId="0" fontId="6" fillId="16" borderId="0" xfId="0" applyFont="1" applyFill="1"/>
    <xf numFmtId="0" fontId="3" fillId="17" borderId="7" xfId="0" applyFont="1" applyFill="1" applyBorder="1" applyAlignment="1">
      <alignment horizontal="center" vertical="top"/>
    </xf>
    <xf numFmtId="171" fontId="3" fillId="17" borderId="7" xfId="0" applyNumberFormat="1" applyFont="1" applyFill="1" applyBorder="1" applyAlignment="1">
      <alignment horizontal="center" vertical="top"/>
    </xf>
    <xf numFmtId="0" fontId="3" fillId="17" borderId="7" xfId="0" applyFont="1" applyFill="1" applyBorder="1" applyAlignment="1">
      <alignment vertical="top" textRotation="90" wrapText="1"/>
    </xf>
    <xf numFmtId="0" fontId="3" fillId="17" borderId="0" xfId="0" applyFont="1" applyFill="1"/>
    <xf numFmtId="0" fontId="2" fillId="0" borderId="9" xfId="0" applyFont="1" applyBorder="1" applyAlignment="1">
      <alignment horizontal="center" vertical="center"/>
    </xf>
    <xf numFmtId="0" fontId="3" fillId="0" borderId="22" xfId="0" applyFont="1" applyBorder="1"/>
    <xf numFmtId="171" fontId="2" fillId="0" borderId="9" xfId="0" applyNumberFormat="1" applyFont="1" applyBorder="1"/>
    <xf numFmtId="0" fontId="3" fillId="18" borderId="7" xfId="0" applyFont="1" applyFill="1" applyBorder="1"/>
    <xf numFmtId="0" fontId="4" fillId="18" borderId="7" xfId="0" applyFont="1" applyFill="1" applyBorder="1"/>
    <xf numFmtId="0" fontId="3" fillId="18" borderId="7" xfId="0" applyFont="1" applyFill="1" applyBorder="1" applyAlignment="1">
      <alignment horizontal="center" vertical="center"/>
    </xf>
    <xf numFmtId="9" fontId="3" fillId="18" borderId="7" xfId="2" applyFont="1" applyFill="1" applyBorder="1" applyAlignment="1">
      <alignment horizontal="center" vertical="center"/>
    </xf>
    <xf numFmtId="164" fontId="3" fillId="18" borderId="20" xfId="0" applyNumberFormat="1" applyFont="1" applyFill="1" applyBorder="1"/>
    <xf numFmtId="164" fontId="3" fillId="18" borderId="13" xfId="0" applyNumberFormat="1" applyFont="1" applyFill="1" applyBorder="1"/>
    <xf numFmtId="164" fontId="2" fillId="18" borderId="7" xfId="0" applyNumberFormat="1" applyFont="1" applyFill="1" applyBorder="1"/>
    <xf numFmtId="0" fontId="37" fillId="19" borderId="9" xfId="0" applyFont="1" applyFill="1" applyBorder="1" applyAlignment="1">
      <alignment vertical="center" wrapText="1"/>
    </xf>
    <xf numFmtId="0" fontId="37" fillId="19" borderId="28" xfId="0" applyFont="1" applyFill="1" applyBorder="1" applyAlignment="1">
      <alignment vertical="center" wrapText="1"/>
    </xf>
    <xf numFmtId="0" fontId="37" fillId="19" borderId="22" xfId="0" applyFont="1" applyFill="1" applyBorder="1" applyAlignment="1">
      <alignment vertical="center" wrapText="1"/>
    </xf>
    <xf numFmtId="0" fontId="37" fillId="19" borderId="29" xfId="0" applyFont="1" applyFill="1" applyBorder="1" applyAlignment="1">
      <alignment vertical="center" wrapText="1"/>
    </xf>
    <xf numFmtId="43" fontId="43" fillId="4" borderId="7" xfId="7" applyFont="1" applyFill="1" applyBorder="1" applyProtection="1"/>
    <xf numFmtId="10" fontId="43" fillId="4" borderId="7" xfId="7" applyNumberFormat="1" applyFont="1" applyFill="1" applyBorder="1" applyProtection="1"/>
    <xf numFmtId="0" fontId="2" fillId="18" borderId="7" xfId="0" applyFont="1" applyFill="1" applyBorder="1"/>
    <xf numFmtId="2" fontId="3" fillId="18" borderId="7" xfId="0" applyNumberFormat="1" applyFont="1" applyFill="1" applyBorder="1"/>
    <xf numFmtId="164" fontId="3" fillId="18" borderId="7" xfId="0" applyNumberFormat="1" applyFont="1" applyFill="1" applyBorder="1"/>
    <xf numFmtId="164" fontId="3" fillId="0" borderId="19" xfId="0" applyNumberFormat="1" applyFont="1" applyBorder="1"/>
    <xf numFmtId="0" fontId="46" fillId="0" borderId="0" xfId="0" applyFont="1"/>
    <xf numFmtId="0" fontId="46" fillId="0" borderId="7" xfId="0" applyFont="1" applyBorder="1"/>
    <xf numFmtId="0" fontId="46" fillId="0" borderId="7" xfId="0" applyFont="1" applyBorder="1" applyAlignment="1">
      <alignment horizontal="left"/>
    </xf>
    <xf numFmtId="0" fontId="46" fillId="0" borderId="7" xfId="0" applyFont="1" applyBorder="1" applyAlignment="1">
      <alignment horizontal="center"/>
    </xf>
    <xf numFmtId="0" fontId="46" fillId="0" borderId="7" xfId="0" applyFont="1" applyBorder="1" applyAlignment="1">
      <alignment horizontal="left" vertical="center"/>
    </xf>
    <xf numFmtId="2" fontId="46" fillId="0" borderId="7" xfId="0" applyNumberFormat="1" applyFont="1" applyBorder="1" applyAlignment="1">
      <alignment horizontal="center" vertical="center"/>
    </xf>
    <xf numFmtId="171" fontId="46" fillId="0" borderId="7" xfId="0" applyNumberFormat="1" applyFont="1" applyBorder="1"/>
    <xf numFmtId="164" fontId="46" fillId="0" borderId="7" xfId="1" applyFont="1" applyFill="1" applyBorder="1"/>
    <xf numFmtId="164" fontId="46" fillId="0" borderId="0" xfId="0" applyNumberFormat="1" applyFont="1"/>
    <xf numFmtId="164" fontId="46" fillId="18" borderId="20" xfId="0" applyNumberFormat="1" applyFont="1" applyFill="1" applyBorder="1"/>
    <xf numFmtId="0" fontId="42" fillId="0" borderId="0" xfId="0" applyFont="1"/>
    <xf numFmtId="4" fontId="42" fillId="0" borderId="0" xfId="0" applyNumberFormat="1" applyFont="1"/>
    <xf numFmtId="0" fontId="46" fillId="0" borderId="22" xfId="0" applyFont="1" applyBorder="1"/>
    <xf numFmtId="0" fontId="43" fillId="20" borderId="0" xfId="0" applyFont="1" applyFill="1"/>
    <xf numFmtId="0" fontId="43" fillId="20" borderId="25" xfId="0" applyFont="1" applyFill="1" applyBorder="1" applyAlignment="1">
      <alignment horizontal="left"/>
    </xf>
    <xf numFmtId="0" fontId="37" fillId="20" borderId="25" xfId="0" applyFont="1" applyFill="1" applyBorder="1" applyAlignment="1">
      <alignment horizontal="center"/>
    </xf>
    <xf numFmtId="0" fontId="37" fillId="20" borderId="25" xfId="0" applyFont="1" applyFill="1" applyBorder="1"/>
    <xf numFmtId="0" fontId="43" fillId="20" borderId="25" xfId="0" applyFont="1" applyFill="1" applyBorder="1"/>
    <xf numFmtId="164" fontId="37" fillId="20" borderId="25" xfId="1" applyFont="1" applyFill="1" applyBorder="1"/>
    <xf numFmtId="172" fontId="6" fillId="0" borderId="0" xfId="0" quotePrefix="1" applyNumberFormat="1" applyFont="1" applyAlignment="1">
      <alignment horizontal="left"/>
    </xf>
    <xf numFmtId="171" fontId="6" fillId="0" borderId="43" xfId="0" quotePrefix="1" applyNumberFormat="1" applyFont="1" applyBorder="1" applyAlignment="1">
      <alignment horizontal="right"/>
    </xf>
    <xf numFmtId="172" fontId="6" fillId="18" borderId="0" xfId="0" quotePrefix="1" applyNumberFormat="1" applyFont="1" applyFill="1" applyAlignment="1">
      <alignment horizontal="left"/>
    </xf>
    <xf numFmtId="171" fontId="6" fillId="18" borderId="43" xfId="0" quotePrefix="1" applyNumberFormat="1" applyFont="1" applyFill="1" applyBorder="1" applyAlignment="1">
      <alignment horizontal="right"/>
    </xf>
    <xf numFmtId="0" fontId="5" fillId="0" borderId="0" xfId="0" applyFont="1"/>
    <xf numFmtId="0" fontId="5" fillId="0" borderId="37" xfId="0" applyFont="1" applyBorder="1"/>
    <xf numFmtId="0" fontId="5" fillId="0" borderId="42" xfId="0" applyFont="1" applyBorder="1" applyAlignment="1">
      <alignment vertical="center"/>
    </xf>
    <xf numFmtId="0" fontId="5" fillId="0" borderId="34" xfId="0" applyFont="1" applyBorder="1"/>
    <xf numFmtId="0" fontId="5" fillId="0" borderId="31" xfId="0" applyFont="1" applyBorder="1"/>
    <xf numFmtId="0" fontId="5" fillId="0" borderId="9" xfId="0" applyFont="1" applyBorder="1" applyAlignment="1">
      <alignment horizontal="center"/>
    </xf>
    <xf numFmtId="0" fontId="5" fillId="0" borderId="19" xfId="0" applyFont="1" applyBorder="1"/>
    <xf numFmtId="171" fontId="5" fillId="0" borderId="0" xfId="0" applyNumberFormat="1" applyFont="1"/>
    <xf numFmtId="173" fontId="5" fillId="0" borderId="0" xfId="2" applyNumberFormat="1" applyFont="1"/>
    <xf numFmtId="172" fontId="5" fillId="0" borderId="172" xfId="0" applyNumberFormat="1" applyFont="1" applyBorder="1" applyAlignment="1">
      <alignment horizontal="left"/>
    </xf>
    <xf numFmtId="172" fontId="5" fillId="0" borderId="25" xfId="0" applyNumberFormat="1" applyFont="1" applyBorder="1" applyAlignment="1">
      <alignment horizontal="left"/>
    </xf>
    <xf numFmtId="172" fontId="5" fillId="0" borderId="185" xfId="0" applyNumberFormat="1" applyFont="1" applyBorder="1" applyAlignment="1">
      <alignment horizontal="left"/>
    </xf>
    <xf numFmtId="171" fontId="5" fillId="0" borderId="20" xfId="0" applyNumberFormat="1" applyFont="1" applyBorder="1" applyAlignment="1">
      <alignment horizontal="center" vertical="center"/>
    </xf>
    <xf numFmtId="0" fontId="5" fillId="0" borderId="13" xfId="0" applyFont="1" applyBorder="1" applyAlignment="1">
      <alignment horizontal="center"/>
    </xf>
    <xf numFmtId="172" fontId="5" fillId="0" borderId="23" xfId="0" applyNumberFormat="1" applyFont="1" applyBorder="1" applyAlignment="1">
      <alignment horizontal="center"/>
    </xf>
    <xf numFmtId="172" fontId="5" fillId="0" borderId="20" xfId="0" applyNumberFormat="1" applyFont="1" applyBorder="1" applyAlignment="1">
      <alignment horizontal="center"/>
    </xf>
    <xf numFmtId="4" fontId="5" fillId="0" borderId="21" xfId="0" applyNumberFormat="1" applyFont="1" applyBorder="1" applyAlignment="1">
      <alignment horizontal="center"/>
    </xf>
    <xf numFmtId="172" fontId="5" fillId="0" borderId="35" xfId="0" applyNumberFormat="1" applyFont="1" applyBorder="1" applyAlignment="1">
      <alignment horizontal="center"/>
    </xf>
    <xf numFmtId="172" fontId="5" fillId="0" borderId="31" xfId="0" applyNumberFormat="1" applyFont="1" applyBorder="1"/>
    <xf numFmtId="172" fontId="5" fillId="0" borderId="36" xfId="0" applyNumberFormat="1" applyFont="1" applyBorder="1"/>
    <xf numFmtId="172" fontId="5" fillId="0" borderId="27" xfId="0" applyNumberFormat="1" applyFont="1" applyBorder="1"/>
    <xf numFmtId="172" fontId="5" fillId="0" borderId="0" xfId="0" applyNumberFormat="1" applyFont="1"/>
    <xf numFmtId="4" fontId="5" fillId="0" borderId="43" xfId="0" applyNumberFormat="1" applyFont="1" applyBorder="1"/>
    <xf numFmtId="172" fontId="5" fillId="0" borderId="23" xfId="0" quotePrefix="1" applyNumberFormat="1" applyFont="1" applyBorder="1" applyAlignment="1">
      <alignment horizontal="left"/>
    </xf>
    <xf numFmtId="172" fontId="5" fillId="0" borderId="20" xfId="0" applyNumberFormat="1" applyFont="1" applyBorder="1" applyAlignment="1">
      <alignment horizontal="left"/>
    </xf>
    <xf numFmtId="4" fontId="5" fillId="0" borderId="21" xfId="0" applyNumberFormat="1" applyFont="1" applyBorder="1" applyAlignment="1">
      <alignment horizontal="left"/>
    </xf>
    <xf numFmtId="172" fontId="5" fillId="12" borderId="19" xfId="0" quotePrefix="1" applyNumberFormat="1" applyFont="1" applyFill="1" applyBorder="1" applyAlignment="1">
      <alignment horizontal="left"/>
    </xf>
    <xf numFmtId="172" fontId="5" fillId="18" borderId="20" xfId="0" applyNumberFormat="1" applyFont="1" applyFill="1" applyBorder="1"/>
    <xf numFmtId="172" fontId="5" fillId="18" borderId="0" xfId="0" applyNumberFormat="1" applyFont="1" applyFill="1"/>
    <xf numFmtId="4" fontId="5" fillId="18" borderId="43" xfId="0" applyNumberFormat="1" applyFont="1" applyFill="1" applyBorder="1"/>
    <xf numFmtId="173" fontId="5" fillId="0" borderId="19" xfId="2" quotePrefix="1" applyNumberFormat="1" applyFont="1" applyBorder="1" applyAlignment="1" applyProtection="1">
      <alignment horizontal="center"/>
    </xf>
    <xf numFmtId="172" fontId="6" fillId="0" borderId="20" xfId="0" quotePrefix="1" applyNumberFormat="1" applyFont="1" applyBorder="1"/>
    <xf numFmtId="172" fontId="6" fillId="0" borderId="0" xfId="0" applyNumberFormat="1" applyFont="1" applyAlignment="1">
      <alignment horizontal="right"/>
    </xf>
    <xf numFmtId="0" fontId="5" fillId="18" borderId="20" xfId="0" applyFont="1" applyFill="1" applyBorder="1"/>
    <xf numFmtId="0" fontId="5" fillId="18" borderId="0" xfId="0" applyFont="1" applyFill="1"/>
    <xf numFmtId="171" fontId="5" fillId="18" borderId="43" xfId="0" applyNumberFormat="1" applyFont="1" applyFill="1" applyBorder="1"/>
    <xf numFmtId="0" fontId="5" fillId="0" borderId="20" xfId="0" applyFont="1" applyBorder="1"/>
    <xf numFmtId="171" fontId="5" fillId="0" borderId="43" xfId="0" applyNumberFormat="1" applyFont="1" applyBorder="1"/>
    <xf numFmtId="0" fontId="6" fillId="0" borderId="20" xfId="0" applyFont="1" applyBorder="1" applyAlignment="1">
      <alignment horizontal="center"/>
    </xf>
    <xf numFmtId="171" fontId="6" fillId="0" borderId="43" xfId="0" applyNumberFormat="1" applyFont="1" applyBorder="1"/>
    <xf numFmtId="0" fontId="6" fillId="0" borderId="20" xfId="0" applyFont="1" applyBorder="1" applyAlignment="1">
      <alignment horizontal="right"/>
    </xf>
    <xf numFmtId="174" fontId="5" fillId="0" borderId="20" xfId="0" applyNumberFormat="1" applyFont="1" applyBorder="1" applyAlignment="1">
      <alignment horizontal="right"/>
    </xf>
    <xf numFmtId="3" fontId="5" fillId="0" borderId="21" xfId="0" applyNumberFormat="1" applyFont="1" applyBorder="1"/>
    <xf numFmtId="172" fontId="5" fillId="0" borderId="19" xfId="0" applyNumberFormat="1" applyFont="1" applyBorder="1" applyAlignment="1">
      <alignment horizontal="left"/>
    </xf>
    <xf numFmtId="0" fontId="6" fillId="18" borderId="20" xfId="0" applyFont="1" applyFill="1" applyBorder="1" applyAlignment="1">
      <alignment horizontal="right"/>
    </xf>
    <xf numFmtId="172" fontId="6" fillId="18" borderId="0" xfId="0" applyNumberFormat="1" applyFont="1" applyFill="1" applyAlignment="1">
      <alignment horizontal="right"/>
    </xf>
    <xf numFmtId="171" fontId="6" fillId="18" borderId="43" xfId="0" applyNumberFormat="1" applyFont="1" applyFill="1" applyBorder="1"/>
    <xf numFmtId="172" fontId="5" fillId="0" borderId="19" xfId="0" applyNumberFormat="1" applyFont="1" applyBorder="1"/>
    <xf numFmtId="0" fontId="5" fillId="0" borderId="20" xfId="0" applyFont="1" applyBorder="1" applyAlignment="1">
      <alignment horizontal="center"/>
    </xf>
    <xf numFmtId="4" fontId="5" fillId="0" borderId="0" xfId="0" applyNumberFormat="1" applyFont="1"/>
    <xf numFmtId="171" fontId="6" fillId="0" borderId="43" xfId="0" applyNumberFormat="1" applyFont="1" applyBorder="1" applyAlignment="1">
      <alignment vertical="center"/>
    </xf>
    <xf numFmtId="0" fontId="5" fillId="18" borderId="20" xfId="0" applyFont="1" applyFill="1" applyBorder="1" applyAlignment="1">
      <alignment horizontal="center"/>
    </xf>
    <xf numFmtId="0" fontId="5" fillId="0" borderId="42" xfId="0" applyFont="1" applyBorder="1" applyAlignment="1">
      <alignment horizontal="center"/>
    </xf>
    <xf numFmtId="0" fontId="5" fillId="0" borderId="0" xfId="0" applyFont="1" applyAlignment="1">
      <alignment horizontal="center"/>
    </xf>
    <xf numFmtId="0" fontId="5" fillId="0" borderId="21" xfId="0" applyFont="1" applyBorder="1" applyAlignment="1">
      <alignment horizontal="center"/>
    </xf>
    <xf numFmtId="10" fontId="6" fillId="18" borderId="20" xfId="0" applyNumberFormat="1" applyFont="1" applyFill="1" applyBorder="1" applyAlignment="1">
      <alignment horizontal="right"/>
    </xf>
    <xf numFmtId="0" fontId="6" fillId="0" borderId="42" xfId="0" applyFont="1" applyBorder="1" applyAlignment="1">
      <alignment horizontal="center"/>
    </xf>
    <xf numFmtId="0" fontId="6" fillId="0" borderId="0" xfId="0" applyFont="1" applyAlignment="1">
      <alignment horizontal="center"/>
    </xf>
    <xf numFmtId="0" fontId="6" fillId="0" borderId="21" xfId="0" applyFont="1" applyBorder="1" applyAlignment="1">
      <alignment horizontal="center"/>
    </xf>
    <xf numFmtId="10" fontId="6" fillId="0" borderId="20" xfId="0" applyNumberFormat="1" applyFont="1" applyBorder="1" applyAlignment="1">
      <alignment horizontal="right"/>
    </xf>
    <xf numFmtId="173" fontId="6" fillId="0" borderId="20" xfId="0" applyNumberFormat="1" applyFont="1" applyBorder="1" applyAlignment="1">
      <alignment horizontal="right"/>
    </xf>
    <xf numFmtId="172" fontId="6" fillId="0" borderId="0" xfId="0" applyNumberFormat="1" applyFont="1" applyAlignment="1">
      <alignment horizontal="left"/>
    </xf>
    <xf numFmtId="9" fontId="5" fillId="0" borderId="20" xfId="0" applyNumberFormat="1" applyFont="1" applyBorder="1"/>
    <xf numFmtId="0" fontId="5" fillId="18" borderId="42" xfId="0" applyFont="1" applyFill="1" applyBorder="1"/>
    <xf numFmtId="0" fontId="5" fillId="18" borderId="21" xfId="0" applyFont="1" applyFill="1" applyBorder="1"/>
    <xf numFmtId="172" fontId="5" fillId="0" borderId="19" xfId="0" quotePrefix="1" applyNumberFormat="1" applyFont="1" applyBorder="1" applyAlignment="1">
      <alignment horizontal="left"/>
    </xf>
    <xf numFmtId="172" fontId="6" fillId="0" borderId="20" xfId="0" applyNumberFormat="1" applyFont="1" applyBorder="1" applyAlignment="1">
      <alignment horizontal="right"/>
    </xf>
    <xf numFmtId="172" fontId="5" fillId="0" borderId="181" xfId="0" applyNumberFormat="1" applyFont="1" applyBorder="1" applyAlignment="1">
      <alignment horizontal="center"/>
    </xf>
    <xf numFmtId="174" fontId="5" fillId="0" borderId="167" xfId="0" applyNumberFormat="1" applyFont="1" applyBorder="1" applyAlignment="1">
      <alignment horizontal="right"/>
    </xf>
    <xf numFmtId="3" fontId="5" fillId="0" borderId="177" xfId="0" applyNumberFormat="1" applyFont="1" applyBorder="1"/>
    <xf numFmtId="172" fontId="5" fillId="0" borderId="161" xfId="0" applyNumberFormat="1" applyFont="1" applyBorder="1"/>
    <xf numFmtId="175" fontId="6" fillId="0" borderId="20" xfId="0" applyNumberFormat="1" applyFont="1" applyBorder="1"/>
    <xf numFmtId="176" fontId="6" fillId="0" borderId="0" xfId="0" quotePrefix="1" applyNumberFormat="1" applyFont="1"/>
    <xf numFmtId="171" fontId="6" fillId="0" borderId="43" xfId="0" applyNumberFormat="1" applyFont="1" applyBorder="1" applyAlignment="1">
      <alignment horizontal="right"/>
    </xf>
    <xf numFmtId="172" fontId="5" fillId="0" borderId="42" xfId="0" applyNumberFormat="1" applyFont="1" applyBorder="1"/>
    <xf numFmtId="3" fontId="5" fillId="0" borderId="20" xfId="0" applyNumberFormat="1" applyFont="1" applyBorder="1"/>
    <xf numFmtId="0" fontId="5" fillId="0" borderId="24" xfId="0" applyFont="1" applyBorder="1"/>
    <xf numFmtId="164" fontId="5" fillId="0" borderId="20" xfId="1" applyFont="1" applyBorder="1" applyProtection="1"/>
    <xf numFmtId="173" fontId="5" fillId="0" borderId="19" xfId="2" applyNumberFormat="1" applyFont="1" applyBorder="1" applyAlignment="1" applyProtection="1">
      <alignment horizontal="center"/>
    </xf>
    <xf numFmtId="172" fontId="5" fillId="0" borderId="25" xfId="0" applyNumberFormat="1" applyFont="1" applyBorder="1"/>
    <xf numFmtId="4" fontId="5" fillId="0" borderId="13" xfId="0" applyNumberFormat="1" applyFont="1" applyBorder="1"/>
    <xf numFmtId="172" fontId="5" fillId="0" borderId="5" xfId="0" applyNumberFormat="1" applyFont="1" applyBorder="1" applyAlignment="1">
      <alignment horizontal="left"/>
    </xf>
    <xf numFmtId="172" fontId="5" fillId="0" borderId="6" xfId="0" applyNumberFormat="1" applyFont="1" applyBorder="1" applyAlignment="1">
      <alignment horizontal="left"/>
    </xf>
    <xf numFmtId="172" fontId="5" fillId="0" borderId="13" xfId="0" applyNumberFormat="1" applyFont="1" applyBorder="1" applyAlignment="1">
      <alignment horizontal="left"/>
    </xf>
    <xf numFmtId="172" fontId="5" fillId="0" borderId="25" xfId="0" quotePrefix="1" applyNumberFormat="1" applyFont="1" applyBorder="1" applyAlignment="1">
      <alignment horizontal="left"/>
    </xf>
    <xf numFmtId="1" fontId="5" fillId="0" borderId="185" xfId="0" applyNumberFormat="1" applyFont="1" applyBorder="1" applyAlignment="1">
      <alignment horizontal="left"/>
    </xf>
    <xf numFmtId="172" fontId="5" fillId="0" borderId="21" xfId="0" applyNumberFormat="1" applyFont="1" applyBorder="1"/>
    <xf numFmtId="176" fontId="5" fillId="0" borderId="0" xfId="0" applyNumberFormat="1" applyFont="1"/>
    <xf numFmtId="1" fontId="5" fillId="0" borderId="43" xfId="0" applyNumberFormat="1" applyFont="1" applyBorder="1"/>
    <xf numFmtId="172" fontId="5" fillId="0" borderId="0" xfId="0" applyNumberFormat="1" applyFont="1" applyAlignment="1">
      <alignment horizontal="left"/>
    </xf>
    <xf numFmtId="0" fontId="5" fillId="0" borderId="21" xfId="0" applyFont="1" applyBorder="1"/>
    <xf numFmtId="172" fontId="5" fillId="0" borderId="137" xfId="0" applyNumberFormat="1" applyFont="1" applyBorder="1"/>
    <xf numFmtId="172" fontId="5" fillId="0" borderId="177" xfId="0" applyNumberFormat="1" applyFont="1" applyBorder="1"/>
    <xf numFmtId="172" fontId="5" fillId="0" borderId="30" xfId="0" applyNumberFormat="1" applyFont="1" applyBorder="1"/>
    <xf numFmtId="172" fontId="5" fillId="0" borderId="168" xfId="0" applyNumberFormat="1" applyFont="1" applyBorder="1"/>
    <xf numFmtId="176" fontId="5" fillId="0" borderId="30" xfId="0" applyNumberFormat="1" applyFont="1" applyBorder="1"/>
    <xf numFmtId="1" fontId="5" fillId="0" borderId="138" xfId="0" applyNumberFormat="1" applyFont="1" applyBorder="1"/>
    <xf numFmtId="172" fontId="45" fillId="19" borderId="25" xfId="0" applyNumberFormat="1" applyFont="1" applyFill="1" applyBorder="1"/>
    <xf numFmtId="172" fontId="45" fillId="19" borderId="22" xfId="0" applyNumberFormat="1" applyFont="1" applyFill="1" applyBorder="1"/>
    <xf numFmtId="172" fontId="5" fillId="4" borderId="23" xfId="0" applyNumberFormat="1" applyFont="1" applyFill="1" applyBorder="1" applyAlignment="1">
      <alignment horizontal="center"/>
    </xf>
    <xf numFmtId="174" fontId="5" fillId="4" borderId="20" xfId="0" applyNumberFormat="1" applyFont="1" applyFill="1" applyBorder="1" applyAlignment="1">
      <alignment horizontal="center"/>
    </xf>
    <xf numFmtId="171" fontId="5" fillId="4" borderId="21" xfId="2" applyNumberFormat="1" applyFont="1" applyFill="1" applyBorder="1" applyAlignment="1" applyProtection="1"/>
    <xf numFmtId="171" fontId="5" fillId="4" borderId="21" xfId="1" applyNumberFormat="1" applyFont="1" applyFill="1" applyBorder="1" applyProtection="1"/>
    <xf numFmtId="171" fontId="5" fillId="4" borderId="21" xfId="0" applyNumberFormat="1" applyFont="1" applyFill="1" applyBorder="1"/>
    <xf numFmtId="174" fontId="5" fillId="4" borderId="20" xfId="0" applyNumberFormat="1" applyFont="1" applyFill="1" applyBorder="1" applyAlignment="1">
      <alignment horizontal="right"/>
    </xf>
    <xf numFmtId="3" fontId="5" fillId="4" borderId="21" xfId="0" applyNumberFormat="1" applyFont="1" applyFill="1" applyBorder="1"/>
    <xf numFmtId="171" fontId="5" fillId="4" borderId="43" xfId="0" applyNumberFormat="1" applyFont="1" applyFill="1" applyBorder="1"/>
    <xf numFmtId="171" fontId="39" fillId="4" borderId="43" xfId="0" applyNumberFormat="1" applyFont="1" applyFill="1" applyBorder="1"/>
    <xf numFmtId="173" fontId="5" fillId="0" borderId="20" xfId="0" applyNumberFormat="1" applyFont="1" applyBorder="1"/>
    <xf numFmtId="171" fontId="44" fillId="19" borderId="43" xfId="0" applyNumberFormat="1" applyFont="1" applyFill="1" applyBorder="1" applyAlignment="1">
      <alignment horizontal="right"/>
    </xf>
    <xf numFmtId="175" fontId="44" fillId="19" borderId="20" xfId="0" applyNumberFormat="1" applyFont="1" applyFill="1" applyBorder="1"/>
    <xf numFmtId="172" fontId="44" fillId="19" borderId="0" xfId="0" applyNumberFormat="1" applyFont="1" applyFill="1" applyAlignment="1">
      <alignment horizontal="right"/>
    </xf>
    <xf numFmtId="1" fontId="44" fillId="19" borderId="20" xfId="0" quotePrefix="1" applyNumberFormat="1" applyFont="1" applyFill="1" applyBorder="1" applyAlignment="1">
      <alignment horizontal="left"/>
    </xf>
    <xf numFmtId="171" fontId="44" fillId="19" borderId="43" xfId="0" applyNumberFormat="1" applyFont="1" applyFill="1" applyBorder="1"/>
    <xf numFmtId="0" fontId="5" fillId="0" borderId="37" xfId="0" applyFont="1" applyBorder="1" applyAlignment="1">
      <alignment vertical="center"/>
    </xf>
    <xf numFmtId="43" fontId="10" fillId="0" borderId="0" xfId="3" applyFont="1" applyFill="1" applyBorder="1" applyAlignment="1">
      <alignment vertical="center"/>
    </xf>
    <xf numFmtId="0" fontId="6" fillId="0" borderId="0" xfId="3" applyNumberFormat="1" applyFont="1" applyBorder="1" applyAlignment="1"/>
    <xf numFmtId="43" fontId="48" fillId="0" borderId="0" xfId="3" applyFont="1" applyBorder="1" applyAlignment="1">
      <alignment wrapText="1"/>
    </xf>
    <xf numFmtId="166" fontId="6" fillId="0" borderId="0" xfId="3" applyNumberFormat="1" applyFont="1" applyBorder="1" applyAlignment="1">
      <alignment vertical="center"/>
    </xf>
    <xf numFmtId="166" fontId="6" fillId="0" borderId="0" xfId="3" applyNumberFormat="1" applyFont="1" applyFill="1" applyAlignment="1">
      <alignment vertical="center"/>
    </xf>
    <xf numFmtId="167" fontId="39" fillId="0" borderId="0" xfId="3" applyNumberFormat="1" applyFont="1" applyFill="1" applyAlignment="1">
      <alignment vertical="center"/>
    </xf>
    <xf numFmtId="167" fontId="39" fillId="0" borderId="0" xfId="4" applyNumberFormat="1" applyFont="1" applyFill="1" applyAlignment="1">
      <alignment vertical="center"/>
    </xf>
    <xf numFmtId="43" fontId="6" fillId="0" borderId="0" xfId="4" applyFont="1"/>
    <xf numFmtId="10" fontId="6" fillId="0" borderId="0" xfId="4" applyNumberFormat="1" applyFont="1"/>
    <xf numFmtId="43" fontId="6" fillId="0" borderId="0" xfId="3" applyFont="1"/>
    <xf numFmtId="166" fontId="6" fillId="0" borderId="0" xfId="3" applyNumberFormat="1" applyFont="1" applyAlignment="1">
      <alignment vertical="center"/>
    </xf>
    <xf numFmtId="43" fontId="39" fillId="0" borderId="0" xfId="4" applyFont="1" applyFill="1"/>
    <xf numFmtId="4" fontId="39" fillId="0" borderId="0" xfId="3" applyNumberFormat="1" applyFont="1" applyFill="1" applyAlignment="1">
      <alignment vertical="center"/>
    </xf>
    <xf numFmtId="4" fontId="39" fillId="0" borderId="0" xfId="4" applyNumberFormat="1" applyFont="1" applyFill="1" applyAlignment="1">
      <alignment vertical="center"/>
    </xf>
    <xf numFmtId="43" fontId="10" fillId="5" borderId="0" xfId="3" applyFont="1" applyFill="1" applyBorder="1" applyAlignment="1">
      <alignment vertical="center"/>
    </xf>
    <xf numFmtId="166" fontId="6" fillId="0" borderId="0" xfId="3" applyNumberFormat="1" applyFont="1" applyFill="1" applyAlignment="1"/>
    <xf numFmtId="168" fontId="49" fillId="0" borderId="30" xfId="3" applyNumberFormat="1" applyFont="1" applyFill="1" applyBorder="1" applyAlignment="1">
      <alignment horizontal="center" vertical="center"/>
    </xf>
    <xf numFmtId="43" fontId="6" fillId="0" borderId="0" xfId="3" applyFont="1" applyFill="1"/>
    <xf numFmtId="43" fontId="8" fillId="0" borderId="26" xfId="3" applyFont="1" applyFill="1" applyBorder="1"/>
    <xf numFmtId="43" fontId="6" fillId="0" borderId="26" xfId="3" applyFont="1" applyFill="1" applyBorder="1"/>
    <xf numFmtId="43" fontId="6" fillId="0" borderId="26" xfId="3" applyFont="1" applyBorder="1"/>
    <xf numFmtId="43" fontId="39" fillId="0" borderId="31" xfId="3" applyFont="1" applyFill="1" applyBorder="1"/>
    <xf numFmtId="43" fontId="6" fillId="0" borderId="31" xfId="4" applyFont="1" applyBorder="1" applyAlignment="1">
      <alignment horizontal="center" vertical="center" wrapText="1"/>
    </xf>
    <xf numFmtId="43" fontId="6" fillId="0" borderId="37" xfId="4" applyFont="1" applyBorder="1"/>
    <xf numFmtId="43" fontId="10" fillId="0" borderId="7" xfId="3" applyFont="1" applyFill="1" applyBorder="1"/>
    <xf numFmtId="43" fontId="6" fillId="0" borderId="41" xfId="3" applyFont="1" applyFill="1" applyBorder="1"/>
    <xf numFmtId="43" fontId="39" fillId="0" borderId="8" xfId="3" applyFont="1" applyFill="1" applyBorder="1" applyAlignment="1">
      <alignment horizontal="right"/>
    </xf>
    <xf numFmtId="43" fontId="39" fillId="0" borderId="0" xfId="3" applyFont="1" applyFill="1" applyBorder="1"/>
    <xf numFmtId="43" fontId="6" fillId="0" borderId="0" xfId="4" applyFont="1" applyBorder="1" applyAlignment="1">
      <alignment horizontal="center" vertical="center" wrapText="1"/>
    </xf>
    <xf numFmtId="43" fontId="6" fillId="0" borderId="43" xfId="4" applyFont="1" applyBorder="1"/>
    <xf numFmtId="43" fontId="10" fillId="0" borderId="47" xfId="3" applyFont="1" applyFill="1" applyBorder="1"/>
    <xf numFmtId="43" fontId="6" fillId="0" borderId="47" xfId="3" applyFont="1" applyFill="1" applyBorder="1"/>
    <xf numFmtId="43" fontId="39" fillId="0" borderId="48" xfId="3" applyFont="1" applyFill="1" applyBorder="1" applyAlignment="1">
      <alignment horizontal="right"/>
    </xf>
    <xf numFmtId="43" fontId="6" fillId="0" borderId="49" xfId="3" applyFont="1" applyBorder="1"/>
    <xf numFmtId="43" fontId="6" fillId="0" borderId="50" xfId="4" applyFont="1" applyBorder="1" applyAlignment="1">
      <alignment horizontal="center" vertical="center" wrapText="1"/>
    </xf>
    <xf numFmtId="43" fontId="6" fillId="0" borderId="47" xfId="4" applyFont="1" applyBorder="1" applyAlignment="1">
      <alignment horizontal="center" vertical="center" wrapText="1"/>
    </xf>
    <xf numFmtId="49" fontId="6" fillId="0" borderId="51" xfId="5" applyNumberFormat="1" applyFont="1" applyBorder="1" applyAlignment="1">
      <alignment horizontal="center" vertical="center" wrapText="1"/>
    </xf>
    <xf numFmtId="10" fontId="6" fillId="0" borderId="50" xfId="5" applyNumberFormat="1" applyFont="1" applyBorder="1" applyAlignment="1">
      <alignment horizontal="center" vertical="center" wrapText="1"/>
    </xf>
    <xf numFmtId="43" fontId="8" fillId="0" borderId="52" xfId="4" applyFont="1" applyBorder="1" applyAlignment="1">
      <alignment horizontal="center" vertical="center" wrapText="1"/>
    </xf>
    <xf numFmtId="10" fontId="6" fillId="0" borderId="48" xfId="5" applyNumberFormat="1" applyFont="1" applyBorder="1" applyAlignment="1">
      <alignment horizontal="center" vertical="center" wrapText="1"/>
    </xf>
    <xf numFmtId="43" fontId="6" fillId="0" borderId="51" xfId="5" applyNumberFormat="1" applyFont="1" applyBorder="1" applyAlignment="1">
      <alignment horizontal="center" vertical="center" wrapText="1"/>
    </xf>
    <xf numFmtId="10" fontId="6" fillId="0" borderId="53" xfId="5" applyNumberFormat="1" applyFont="1" applyBorder="1" applyAlignment="1">
      <alignment horizontal="center" vertical="center" wrapText="1"/>
    </xf>
    <xf numFmtId="10" fontId="6" fillId="0" borderId="49" xfId="5" applyNumberFormat="1" applyFont="1" applyBorder="1" applyAlignment="1">
      <alignment horizontal="center" vertical="center" wrapText="1"/>
    </xf>
    <xf numFmtId="10" fontId="6" fillId="0" borderId="54" xfId="5" applyNumberFormat="1" applyFont="1" applyBorder="1" applyAlignment="1">
      <alignment horizontal="center" vertical="center" wrapText="1"/>
    </xf>
    <xf numFmtId="43" fontId="6" fillId="0" borderId="55" xfId="6" applyFont="1" applyBorder="1" applyAlignment="1">
      <alignment horizontal="center" vertical="center" wrapText="1"/>
    </xf>
    <xf numFmtId="43" fontId="6" fillId="0" borderId="55" xfId="4" applyFont="1" applyBorder="1" applyAlignment="1">
      <alignment horizontal="center" vertical="center"/>
    </xf>
    <xf numFmtId="43" fontId="6" fillId="0" borderId="56" xfId="4" applyFont="1" applyBorder="1" applyAlignment="1">
      <alignment horizontal="center" vertical="center" wrapText="1"/>
    </xf>
    <xf numFmtId="43" fontId="6" fillId="0" borderId="57" xfId="4" applyFont="1" applyBorder="1" applyAlignment="1">
      <alignment horizontal="center" vertical="center"/>
    </xf>
    <xf numFmtId="43" fontId="6" fillId="0" borderId="51" xfId="4" applyFont="1" applyBorder="1"/>
    <xf numFmtId="0" fontId="7" fillId="0" borderId="0" xfId="0" applyFont="1"/>
    <xf numFmtId="43" fontId="6" fillId="0" borderId="58" xfId="3" applyFont="1" applyFill="1" applyBorder="1"/>
    <xf numFmtId="43" fontId="6" fillId="0" borderId="59" xfId="3" applyFont="1" applyFill="1" applyBorder="1"/>
    <xf numFmtId="166" fontId="39" fillId="0" borderId="60" xfId="3" applyNumberFormat="1" applyFont="1" applyFill="1" applyBorder="1" applyAlignment="1"/>
    <xf numFmtId="166" fontId="49" fillId="0" borderId="61" xfId="3" applyNumberFormat="1" applyFont="1" applyBorder="1" applyAlignment="1"/>
    <xf numFmtId="166" fontId="39" fillId="0" borderId="0" xfId="3" applyNumberFormat="1" applyFont="1" applyFill="1" applyBorder="1" applyAlignment="1"/>
    <xf numFmtId="166" fontId="39" fillId="7" borderId="62" xfId="4" applyNumberFormat="1" applyFont="1" applyFill="1" applyBorder="1" applyAlignment="1"/>
    <xf numFmtId="43" fontId="6" fillId="0" borderId="58" xfId="4" applyFont="1" applyBorder="1"/>
    <xf numFmtId="10" fontId="6" fillId="0" borderId="77" xfId="4" applyNumberFormat="1" applyFont="1" applyFill="1" applyBorder="1"/>
    <xf numFmtId="10" fontId="6" fillId="7" borderId="64" xfId="4" applyNumberFormat="1" applyFont="1" applyFill="1" applyBorder="1"/>
    <xf numFmtId="43" fontId="6" fillId="0" borderId="65" xfId="4" applyFont="1" applyBorder="1"/>
    <xf numFmtId="43" fontId="6" fillId="0" borderId="66" xfId="4" applyFont="1" applyBorder="1"/>
    <xf numFmtId="10" fontId="6" fillId="0" borderId="60" xfId="4" applyNumberFormat="1" applyFont="1" applyBorder="1" applyAlignment="1">
      <alignment horizontal="center"/>
    </xf>
    <xf numFmtId="43" fontId="6" fillId="0" borderId="67" xfId="4" applyFont="1" applyBorder="1" applyAlignment="1">
      <alignment horizontal="center"/>
    </xf>
    <xf numFmtId="10" fontId="6" fillId="0" borderId="68" xfId="4" applyNumberFormat="1" applyFont="1" applyBorder="1" applyAlignment="1">
      <alignment horizontal="center"/>
    </xf>
    <xf numFmtId="10" fontId="6" fillId="0" borderId="69" xfId="4" applyNumberFormat="1" applyFont="1" applyBorder="1" applyAlignment="1">
      <alignment horizontal="center"/>
    </xf>
    <xf numFmtId="10" fontId="6" fillId="0" borderId="70" xfId="4" applyNumberFormat="1" applyFont="1" applyBorder="1" applyAlignment="1">
      <alignment horizontal="center"/>
    </xf>
    <xf numFmtId="43" fontId="6" fillId="0" borderId="71" xfId="6" applyFont="1" applyBorder="1" applyAlignment="1">
      <alignment horizontal="right"/>
    </xf>
    <xf numFmtId="43" fontId="6" fillId="0" borderId="72" xfId="4" applyFont="1" applyBorder="1"/>
    <xf numFmtId="43" fontId="6" fillId="7" borderId="73" xfId="4" applyFont="1" applyFill="1" applyBorder="1"/>
    <xf numFmtId="43" fontId="6" fillId="7" borderId="74" xfId="4" applyFont="1" applyFill="1" applyBorder="1"/>
    <xf numFmtId="43" fontId="6" fillId="0" borderId="67" xfId="4" applyFont="1" applyBorder="1"/>
    <xf numFmtId="166" fontId="49" fillId="0" borderId="69" xfId="3" applyNumberFormat="1" applyFont="1" applyBorder="1" applyAlignment="1"/>
    <xf numFmtId="166" fontId="39" fillId="7" borderId="75" xfId="4" applyNumberFormat="1" applyFont="1" applyFill="1" applyBorder="1" applyAlignment="1"/>
    <xf numFmtId="43" fontId="6" fillId="0" borderId="76" xfId="4" applyFont="1" applyBorder="1"/>
    <xf numFmtId="43" fontId="6" fillId="0" borderId="79" xfId="4" applyFont="1" applyBorder="1"/>
    <xf numFmtId="43" fontId="6" fillId="0" borderId="80" xfId="4" applyFont="1" applyBorder="1"/>
    <xf numFmtId="10" fontId="6" fillId="0" borderId="81" xfId="4" applyNumberFormat="1" applyFont="1" applyBorder="1" applyAlignment="1">
      <alignment horizontal="center"/>
    </xf>
    <xf numFmtId="43" fontId="6" fillId="0" borderId="82" xfId="4" applyFont="1" applyBorder="1" applyAlignment="1">
      <alignment horizontal="center"/>
    </xf>
    <xf numFmtId="43" fontId="6" fillId="0" borderId="71" xfId="4" applyFont="1" applyBorder="1"/>
    <xf numFmtId="43" fontId="6" fillId="7" borderId="83" xfId="4" applyFont="1" applyFill="1" applyBorder="1"/>
    <xf numFmtId="43" fontId="6" fillId="7" borderId="84" xfId="4" applyFont="1" applyFill="1" applyBorder="1"/>
    <xf numFmtId="43" fontId="6" fillId="0" borderId="82" xfId="4" applyFont="1" applyBorder="1"/>
    <xf numFmtId="0" fontId="8" fillId="0" borderId="0" xfId="0" applyFont="1"/>
    <xf numFmtId="43" fontId="8" fillId="5" borderId="58" xfId="3" applyFont="1" applyFill="1" applyBorder="1"/>
    <xf numFmtId="166" fontId="39" fillId="5" borderId="60" xfId="3" applyNumberFormat="1" applyFont="1" applyFill="1" applyBorder="1" applyAlignment="1"/>
    <xf numFmtId="166" fontId="50" fillId="5" borderId="60" xfId="3" applyNumberFormat="1" applyFont="1" applyFill="1" applyBorder="1" applyAlignment="1"/>
    <xf numFmtId="43" fontId="8" fillId="0" borderId="58" xfId="3" applyFont="1" applyFill="1" applyBorder="1"/>
    <xf numFmtId="166" fontId="39" fillId="7" borderId="60" xfId="3" applyNumberFormat="1" applyFont="1" applyFill="1" applyBorder="1" applyAlignment="1"/>
    <xf numFmtId="10" fontId="6" fillId="7" borderId="78" xfId="4" applyNumberFormat="1" applyFont="1" applyFill="1" applyBorder="1"/>
    <xf numFmtId="166" fontId="39" fillId="7" borderId="87" xfId="4" applyNumberFormat="1" applyFont="1" applyFill="1" applyBorder="1" applyAlignment="1"/>
    <xf numFmtId="43" fontId="6" fillId="0" borderId="88" xfId="4" applyFont="1" applyBorder="1"/>
    <xf numFmtId="10" fontId="6" fillId="0" borderId="89" xfId="4" applyNumberFormat="1" applyFont="1" applyFill="1" applyBorder="1"/>
    <xf numFmtId="10" fontId="6" fillId="7" borderId="90" xfId="4" applyNumberFormat="1" applyFont="1" applyFill="1" applyBorder="1"/>
    <xf numFmtId="43" fontId="6" fillId="0" borderId="91" xfId="4" applyFont="1" applyBorder="1"/>
    <xf numFmtId="43" fontId="6" fillId="0" borderId="92" xfId="4" applyFont="1" applyBorder="1"/>
    <xf numFmtId="10" fontId="6" fillId="0" borderId="93" xfId="4" applyNumberFormat="1" applyFont="1" applyBorder="1" applyAlignment="1">
      <alignment horizontal="center"/>
    </xf>
    <xf numFmtId="43" fontId="6" fillId="0" borderId="94" xfId="4" applyFont="1" applyBorder="1" applyAlignment="1">
      <alignment horizontal="center"/>
    </xf>
    <xf numFmtId="10" fontId="6" fillId="0" borderId="95" xfId="4" applyNumberFormat="1" applyFont="1" applyBorder="1" applyAlignment="1">
      <alignment horizontal="center"/>
    </xf>
    <xf numFmtId="10" fontId="6" fillId="0" borderId="86" xfId="4" applyNumberFormat="1" applyFont="1" applyBorder="1" applyAlignment="1">
      <alignment horizontal="center"/>
    </xf>
    <xf numFmtId="10" fontId="6" fillId="0" borderId="161" xfId="4" applyNumberFormat="1" applyFont="1" applyBorder="1" applyAlignment="1">
      <alignment horizontal="center"/>
    </xf>
    <xf numFmtId="43" fontId="8" fillId="0" borderId="101" xfId="3" applyFont="1" applyFill="1" applyBorder="1"/>
    <xf numFmtId="43" fontId="6" fillId="0" borderId="3" xfId="3" applyFont="1" applyFill="1" applyBorder="1"/>
    <xf numFmtId="43" fontId="39" fillId="0" borderId="102" xfId="3" applyFont="1" applyFill="1" applyBorder="1" applyAlignment="1">
      <alignment horizontal="right"/>
    </xf>
    <xf numFmtId="166" fontId="50" fillId="0" borderId="103" xfId="3" applyNumberFormat="1" applyFont="1" applyFill="1" applyBorder="1" applyAlignment="1"/>
    <xf numFmtId="166" fontId="6" fillId="0" borderId="18" xfId="3" applyNumberFormat="1" applyFont="1" applyBorder="1" applyAlignment="1"/>
    <xf numFmtId="166" fontId="39" fillId="0" borderId="0" xfId="4" applyNumberFormat="1" applyFont="1" applyFill="1" applyBorder="1" applyAlignment="1"/>
    <xf numFmtId="43" fontId="6" fillId="0" borderId="31" xfId="6" applyFont="1" applyBorder="1" applyAlignment="1">
      <alignment horizontal="right"/>
    </xf>
    <xf numFmtId="43" fontId="8" fillId="0" borderId="0" xfId="3" applyFont="1" applyFill="1" applyBorder="1"/>
    <xf numFmtId="43" fontId="6" fillId="0" borderId="0" xfId="3" applyFont="1" applyBorder="1"/>
    <xf numFmtId="43" fontId="39" fillId="0" borderId="0" xfId="3" applyFont="1" applyBorder="1" applyAlignment="1">
      <alignment horizontal="right"/>
    </xf>
    <xf numFmtId="166" fontId="39" fillId="0" borderId="0" xfId="3" applyNumberFormat="1" applyFont="1" applyBorder="1" applyAlignment="1"/>
    <xf numFmtId="166" fontId="6" fillId="0" borderId="0" xfId="3" applyNumberFormat="1" applyFont="1" applyAlignment="1"/>
    <xf numFmtId="0" fontId="51" fillId="0" borderId="0" xfId="5" applyFont="1" applyAlignment="1">
      <alignment horizontal="center"/>
    </xf>
    <xf numFmtId="43" fontId="6" fillId="0" borderId="0" xfId="6" applyFont="1" applyAlignment="1">
      <alignment horizontal="right"/>
    </xf>
    <xf numFmtId="43" fontId="8" fillId="0" borderId="104" xfId="3" applyFont="1" applyFill="1" applyBorder="1"/>
    <xf numFmtId="43" fontId="6" fillId="0" borderId="104" xfId="3" applyFont="1" applyFill="1" applyBorder="1"/>
    <xf numFmtId="43" fontId="6" fillId="0" borderId="105" xfId="3" applyFont="1" applyFill="1" applyBorder="1"/>
    <xf numFmtId="166" fontId="39" fillId="7" borderId="106" xfId="3" applyNumberFormat="1" applyFont="1" applyFill="1" applyBorder="1" applyAlignment="1"/>
    <xf numFmtId="166" fontId="49" fillId="0" borderId="107" xfId="3" applyNumberFormat="1" applyFont="1" applyBorder="1" applyAlignment="1"/>
    <xf numFmtId="166" fontId="39" fillId="7" borderId="108" xfId="4" applyNumberFormat="1" applyFont="1" applyFill="1" applyBorder="1" applyAlignment="1"/>
    <xf numFmtId="43" fontId="6" fillId="0" borderId="104" xfId="4" applyFont="1" applyBorder="1"/>
    <xf numFmtId="10" fontId="6" fillId="0" borderId="109" xfId="4" applyNumberFormat="1" applyFont="1" applyFill="1" applyBorder="1"/>
    <xf numFmtId="10" fontId="6" fillId="7" borderId="110" xfId="4" applyNumberFormat="1" applyFont="1" applyFill="1" applyBorder="1"/>
    <xf numFmtId="43" fontId="6" fillId="0" borderId="111" xfId="4" applyFont="1" applyBorder="1"/>
    <xf numFmtId="43" fontId="6" fillId="0" borderId="112" xfId="4" applyFont="1" applyBorder="1"/>
    <xf numFmtId="10" fontId="6" fillId="0" borderId="106" xfId="4" applyNumberFormat="1" applyFont="1" applyBorder="1" applyAlignment="1">
      <alignment horizontal="center"/>
    </xf>
    <xf numFmtId="43" fontId="6" fillId="0" borderId="113" xfId="4" applyFont="1" applyBorder="1" applyAlignment="1">
      <alignment horizontal="center"/>
    </xf>
    <xf numFmtId="10" fontId="6" fillId="0" borderId="114" xfId="4" applyNumberFormat="1" applyFont="1" applyBorder="1" applyAlignment="1">
      <alignment horizontal="center"/>
    </xf>
    <xf numFmtId="10" fontId="6" fillId="0" borderId="107" xfId="4" applyNumberFormat="1" applyFont="1" applyBorder="1" applyAlignment="1">
      <alignment horizontal="center"/>
    </xf>
    <xf numFmtId="10" fontId="6" fillId="0" borderId="115" xfId="4" applyNumberFormat="1" applyFont="1" applyBorder="1" applyAlignment="1">
      <alignment horizontal="center"/>
    </xf>
    <xf numFmtId="43" fontId="6" fillId="0" borderId="116" xfId="6" applyFont="1" applyBorder="1" applyAlignment="1">
      <alignment horizontal="right"/>
    </xf>
    <xf numFmtId="43" fontId="6" fillId="0" borderId="116" xfId="4" applyFont="1" applyBorder="1"/>
    <xf numFmtId="43" fontId="6" fillId="7" borderId="117" xfId="4" applyFont="1" applyFill="1" applyBorder="1"/>
    <xf numFmtId="43" fontId="6" fillId="7" borderId="118" xfId="4" applyFont="1" applyFill="1" applyBorder="1"/>
    <xf numFmtId="43" fontId="6" fillId="0" borderId="113" xfId="4" applyFont="1" applyBorder="1"/>
    <xf numFmtId="43" fontId="6" fillId="0" borderId="76" xfId="3" applyFont="1" applyFill="1" applyBorder="1"/>
    <xf numFmtId="43" fontId="6" fillId="0" borderId="85" xfId="3" applyFont="1" applyFill="1" applyBorder="1"/>
    <xf numFmtId="166" fontId="39" fillId="0" borderId="81" xfId="3" applyNumberFormat="1" applyFont="1" applyFill="1" applyBorder="1" applyAlignment="1"/>
    <xf numFmtId="166" fontId="39" fillId="7" borderId="81" xfId="3" applyNumberFormat="1" applyFont="1" applyFill="1" applyBorder="1" applyAlignment="1"/>
    <xf numFmtId="43" fontId="6" fillId="0" borderId="85" xfId="4" applyFont="1" applyBorder="1"/>
    <xf numFmtId="10" fontId="6" fillId="0" borderId="82" xfId="4" applyNumberFormat="1" applyFont="1" applyFill="1" applyBorder="1"/>
    <xf numFmtId="43" fontId="8" fillId="0" borderId="76" xfId="3" applyFont="1" applyFill="1" applyBorder="1"/>
    <xf numFmtId="166" fontId="49" fillId="0" borderId="86" xfId="3" applyNumberFormat="1" applyFont="1" applyBorder="1" applyAlignment="1"/>
    <xf numFmtId="43" fontId="6" fillId="0" borderId="119" xfId="4" applyFont="1" applyBorder="1"/>
    <xf numFmtId="10" fontId="6" fillId="0" borderId="94" xfId="4" applyNumberFormat="1" applyFont="1" applyFill="1" applyBorder="1"/>
    <xf numFmtId="10" fontId="6" fillId="0" borderId="96" xfId="4" applyNumberFormat="1" applyFont="1" applyBorder="1" applyAlignment="1">
      <alignment horizontal="center"/>
    </xf>
    <xf numFmtId="43" fontId="6" fillId="0" borderId="97" xfId="6" applyFont="1" applyBorder="1" applyAlignment="1">
      <alignment horizontal="right"/>
    </xf>
    <xf numFmtId="43" fontId="6" fillId="0" borderId="98" xfId="4" applyFont="1" applyBorder="1"/>
    <xf numFmtId="43" fontId="6" fillId="7" borderId="99" xfId="4" applyFont="1" applyFill="1" applyBorder="1"/>
    <xf numFmtId="43" fontId="6" fillId="7" borderId="100" xfId="4" applyFont="1" applyFill="1" applyBorder="1"/>
    <xf numFmtId="43" fontId="6" fillId="0" borderId="94" xfId="4" applyFont="1" applyBorder="1"/>
    <xf numFmtId="166" fontId="39" fillId="0" borderId="103" xfId="3" applyNumberFormat="1" applyFont="1" applyFill="1" applyBorder="1" applyAlignment="1"/>
    <xf numFmtId="4" fontId="6" fillId="0" borderId="31" xfId="4" applyNumberFormat="1" applyFont="1" applyBorder="1" applyAlignment="1">
      <alignment horizontal="right"/>
    </xf>
    <xf numFmtId="43" fontId="6" fillId="0" borderId="0" xfId="3" applyFont="1" applyFill="1" applyBorder="1"/>
    <xf numFmtId="166" fontId="49" fillId="0" borderId="0" xfId="3" applyNumberFormat="1" applyFont="1" applyBorder="1" applyAlignment="1"/>
    <xf numFmtId="43" fontId="6" fillId="0" borderId="0" xfId="4" applyFont="1" applyBorder="1"/>
    <xf numFmtId="10" fontId="6" fillId="0" borderId="0" xfId="4" applyNumberFormat="1" applyFont="1" applyBorder="1"/>
    <xf numFmtId="43" fontId="6" fillId="0" borderId="0" xfId="4" applyFont="1" applyBorder="1" applyAlignment="1">
      <alignment horizontal="center"/>
    </xf>
    <xf numFmtId="10" fontId="6" fillId="0" borderId="0" xfId="4" applyNumberFormat="1" applyFont="1" applyBorder="1" applyAlignment="1">
      <alignment horizontal="center"/>
    </xf>
    <xf numFmtId="4" fontId="6" fillId="0" borderId="0" xfId="4" applyNumberFormat="1" applyFont="1" applyBorder="1" applyAlignment="1">
      <alignment horizontal="right"/>
    </xf>
    <xf numFmtId="43" fontId="8" fillId="0" borderId="120" xfId="3" applyFont="1" applyFill="1" applyBorder="1" applyAlignment="1">
      <alignment vertical="center"/>
    </xf>
    <xf numFmtId="43" fontId="6" fillId="8" borderId="121" xfId="3" applyFont="1" applyFill="1" applyBorder="1" applyAlignment="1">
      <alignment vertical="center"/>
    </xf>
    <xf numFmtId="43" fontId="39" fillId="8" borderId="121" xfId="3" applyFont="1" applyFill="1" applyBorder="1" applyAlignment="1">
      <alignment horizontal="right" vertical="center"/>
    </xf>
    <xf numFmtId="166" fontId="39" fillId="8" borderId="122" xfId="3" applyNumberFormat="1" applyFont="1" applyFill="1" applyBorder="1" applyAlignment="1">
      <alignment vertical="center"/>
    </xf>
    <xf numFmtId="169" fontId="6" fillId="0" borderId="30" xfId="3" applyNumberFormat="1" applyFont="1" applyBorder="1" applyAlignment="1">
      <alignment vertical="center"/>
    </xf>
    <xf numFmtId="43" fontId="51" fillId="0" borderId="0" xfId="3" applyFont="1" applyBorder="1" applyAlignment="1">
      <alignment horizontal="center" vertical="center"/>
    </xf>
    <xf numFmtId="164" fontId="10" fillId="0" borderId="123" xfId="1" applyFont="1" applyFill="1" applyBorder="1" applyAlignment="1">
      <alignment vertical="center"/>
    </xf>
    <xf numFmtId="164" fontId="6" fillId="0" borderId="124" xfId="1" applyFont="1" applyBorder="1" applyAlignment="1">
      <alignment vertical="center"/>
    </xf>
    <xf numFmtId="10" fontId="6" fillId="0" borderId="125" xfId="4" applyNumberFormat="1" applyFont="1" applyBorder="1" applyAlignment="1">
      <alignment vertical="center"/>
    </xf>
    <xf numFmtId="10" fontId="6" fillId="0" borderId="126" xfId="4" applyNumberFormat="1" applyFont="1" applyFill="1" applyBorder="1" applyAlignment="1">
      <alignment vertical="center"/>
    </xf>
    <xf numFmtId="43" fontId="6" fillId="0" borderId="127" xfId="4" applyFont="1" applyBorder="1" applyAlignment="1">
      <alignment vertical="center"/>
    </xf>
    <xf numFmtId="43" fontId="6" fillId="0" borderId="121" xfId="4" applyFont="1" applyBorder="1" applyAlignment="1">
      <alignment vertical="center"/>
    </xf>
    <xf numFmtId="10" fontId="6" fillId="0" borderId="128" xfId="4" applyNumberFormat="1" applyFont="1" applyBorder="1" applyAlignment="1">
      <alignment vertical="center"/>
    </xf>
    <xf numFmtId="43" fontId="6" fillId="0" borderId="129" xfId="4" applyFont="1" applyBorder="1" applyAlignment="1">
      <alignment horizontal="center" vertical="center"/>
    </xf>
    <xf numFmtId="10" fontId="6" fillId="0" borderId="130" xfId="4" applyNumberFormat="1" applyFont="1" applyBorder="1" applyAlignment="1">
      <alignment horizontal="center" vertical="center"/>
    </xf>
    <xf numFmtId="10" fontId="6" fillId="0" borderId="131" xfId="4" applyNumberFormat="1" applyFont="1" applyBorder="1" applyAlignment="1">
      <alignment horizontal="center" vertical="center"/>
    </xf>
    <xf numFmtId="10" fontId="6" fillId="0" borderId="132" xfId="4" applyNumberFormat="1" applyFont="1" applyBorder="1" applyAlignment="1">
      <alignment horizontal="center" vertical="center"/>
    </xf>
    <xf numFmtId="43" fontId="6" fillId="0" borderId="0" xfId="4" applyFont="1" applyAlignment="1">
      <alignment vertical="center"/>
    </xf>
    <xf numFmtId="4" fontId="6" fillId="0" borderId="133" xfId="4" applyNumberFormat="1" applyFont="1" applyBorder="1" applyAlignment="1">
      <alignment horizontal="right" vertical="center"/>
    </xf>
    <xf numFmtId="43" fontId="6" fillId="0" borderId="0" xfId="3" applyFont="1" applyAlignment="1">
      <alignment vertical="center"/>
    </xf>
    <xf numFmtId="166" fontId="6" fillId="0" borderId="0" xfId="3" applyNumberFormat="1" applyFont="1"/>
    <xf numFmtId="166" fontId="39" fillId="0" borderId="0" xfId="3" applyNumberFormat="1" applyFont="1" applyFill="1" applyAlignment="1">
      <alignment horizontal="center" vertical="center"/>
    </xf>
    <xf numFmtId="166" fontId="39" fillId="0" borderId="0" xfId="4" applyNumberFormat="1" applyFont="1" applyFill="1" applyAlignment="1">
      <alignment horizontal="center" vertical="center"/>
    </xf>
    <xf numFmtId="43" fontId="6" fillId="0" borderId="112" xfId="4" applyFont="1" applyBorder="1" applyAlignment="1">
      <alignment horizontal="center"/>
    </xf>
    <xf numFmtId="4" fontId="6" fillId="0" borderId="116" xfId="4" applyNumberFormat="1" applyFont="1" applyBorder="1" applyAlignment="1">
      <alignment horizontal="right"/>
    </xf>
    <xf numFmtId="43" fontId="6" fillId="0" borderId="80" xfId="4" applyFont="1" applyBorder="1" applyAlignment="1">
      <alignment horizontal="center"/>
    </xf>
    <xf numFmtId="4" fontId="6" fillId="0" borderId="71" xfId="4" applyNumberFormat="1" applyFont="1" applyBorder="1" applyAlignment="1">
      <alignment horizontal="right"/>
    </xf>
    <xf numFmtId="43" fontId="6" fillId="5" borderId="58" xfId="3" applyFont="1" applyFill="1" applyBorder="1"/>
    <xf numFmtId="43" fontId="8" fillId="0" borderId="88" xfId="3" applyFont="1" applyFill="1" applyBorder="1"/>
    <xf numFmtId="43" fontId="6" fillId="0" borderId="88" xfId="3" applyFont="1" applyFill="1" applyBorder="1"/>
    <xf numFmtId="43" fontId="6" fillId="0" borderId="119" xfId="3" applyFont="1" applyFill="1" applyBorder="1"/>
    <xf numFmtId="166" fontId="39" fillId="7" borderId="93" xfId="3" applyNumberFormat="1" applyFont="1" applyFill="1" applyBorder="1" applyAlignment="1"/>
    <xf numFmtId="43" fontId="6" fillId="0" borderId="92" xfId="4" applyFont="1" applyBorder="1" applyAlignment="1">
      <alignment horizontal="center"/>
    </xf>
    <xf numFmtId="4" fontId="6" fillId="0" borderId="97" xfId="4" applyNumberFormat="1" applyFont="1" applyBorder="1" applyAlignment="1">
      <alignment horizontal="right"/>
    </xf>
    <xf numFmtId="4" fontId="6" fillId="0" borderId="30" xfId="4" applyNumberFormat="1" applyFont="1" applyBorder="1" applyAlignment="1">
      <alignment horizontal="right"/>
    </xf>
    <xf numFmtId="166" fontId="39" fillId="0" borderId="106" xfId="3" applyNumberFormat="1" applyFont="1" applyFill="1" applyBorder="1" applyAlignment="1"/>
    <xf numFmtId="10" fontId="6" fillId="0" borderId="63" xfId="4" applyNumberFormat="1" applyFont="1" applyFill="1" applyBorder="1"/>
    <xf numFmtId="166" fontId="39" fillId="7" borderId="134" xfId="4" applyNumberFormat="1" applyFont="1" applyFill="1" applyBorder="1" applyAlignment="1"/>
    <xf numFmtId="43" fontId="6" fillId="0" borderId="135" xfId="4" applyFont="1" applyBorder="1"/>
    <xf numFmtId="10" fontId="6" fillId="0" borderId="136" xfId="4" applyNumberFormat="1" applyFont="1" applyFill="1" applyBorder="1"/>
    <xf numFmtId="10" fontId="6" fillId="7" borderId="137" xfId="4" applyNumberFormat="1" applyFont="1" applyFill="1" applyBorder="1"/>
    <xf numFmtId="43" fontId="6" fillId="0" borderId="138" xfId="4" applyFont="1" applyBorder="1" applyAlignment="1">
      <alignment horizontal="center"/>
    </xf>
    <xf numFmtId="4" fontId="6" fillId="0" borderId="98" xfId="4" applyNumberFormat="1" applyFont="1" applyBorder="1" applyAlignment="1">
      <alignment horizontal="right"/>
    </xf>
    <xf numFmtId="43" fontId="6" fillId="9" borderId="121" xfId="3" applyFont="1" applyFill="1" applyBorder="1" applyAlignment="1">
      <alignment vertical="center"/>
    </xf>
    <xf numFmtId="43" fontId="39" fillId="9" borderId="121" xfId="3" applyFont="1" applyFill="1" applyBorder="1" applyAlignment="1">
      <alignment horizontal="right" vertical="center"/>
    </xf>
    <xf numFmtId="166" fontId="39" fillId="9" borderId="122" xfId="3" applyNumberFormat="1" applyFont="1" applyFill="1" applyBorder="1" applyAlignment="1">
      <alignment vertical="center"/>
    </xf>
    <xf numFmtId="169" fontId="6" fillId="0" borderId="0" xfId="3" applyNumberFormat="1" applyFont="1" applyBorder="1" applyAlignment="1">
      <alignment vertical="center"/>
    </xf>
    <xf numFmtId="164" fontId="39" fillId="0" borderId="139" xfId="1" applyFont="1" applyFill="1" applyBorder="1" applyAlignment="1">
      <alignment vertical="center"/>
    </xf>
    <xf numFmtId="164" fontId="6" fillId="0" borderId="140" xfId="1" applyFont="1" applyBorder="1" applyAlignment="1">
      <alignment vertical="center"/>
    </xf>
    <xf numFmtId="10" fontId="6" fillId="0" borderId="141" xfId="4" applyNumberFormat="1" applyFont="1" applyBorder="1" applyAlignment="1">
      <alignment vertical="center"/>
    </xf>
    <xf numFmtId="166" fontId="39" fillId="7" borderId="142" xfId="4" applyNumberFormat="1" applyFont="1" applyFill="1" applyBorder="1" applyAlignment="1"/>
    <xf numFmtId="43" fontId="6" fillId="0" borderId="143" xfId="4" applyFont="1" applyBorder="1"/>
    <xf numFmtId="10" fontId="6" fillId="0" borderId="144" xfId="4" applyNumberFormat="1" applyFont="1" applyFill="1" applyBorder="1"/>
    <xf numFmtId="10" fontId="6" fillId="7" borderId="34" xfId="4" applyNumberFormat="1" applyFont="1" applyFill="1" applyBorder="1"/>
    <xf numFmtId="43" fontId="6" fillId="0" borderId="37" xfId="4" applyFont="1" applyBorder="1" applyAlignment="1">
      <alignment horizontal="center"/>
    </xf>
    <xf numFmtId="43" fontId="52" fillId="0" borderId="58" xfId="3" applyFont="1" applyFill="1" applyBorder="1"/>
    <xf numFmtId="43" fontId="6" fillId="10" borderId="121" xfId="3" applyFont="1" applyFill="1" applyBorder="1" applyAlignment="1">
      <alignment vertical="center"/>
    </xf>
    <xf numFmtId="43" fontId="39" fillId="10" borderId="121" xfId="3" applyFont="1" applyFill="1" applyBorder="1" applyAlignment="1">
      <alignment horizontal="right" vertical="center"/>
    </xf>
    <xf numFmtId="166" fontId="39" fillId="10" borderId="122" xfId="3" applyNumberFormat="1" applyFont="1" applyFill="1" applyBorder="1" applyAlignment="1">
      <alignment vertical="center"/>
    </xf>
    <xf numFmtId="43" fontId="8" fillId="0" borderId="0" xfId="3" applyFont="1" applyFill="1" applyBorder="1" applyAlignment="1">
      <alignment horizontal="right"/>
    </xf>
    <xf numFmtId="43" fontId="52" fillId="0" borderId="0" xfId="3" applyFont="1" applyFill="1" applyBorder="1" applyAlignment="1">
      <alignment horizontal="right"/>
    </xf>
    <xf numFmtId="43" fontId="6" fillId="0" borderId="112" xfId="4" applyFont="1" applyBorder="1" applyAlignment="1">
      <alignment horizontal="center" vertical="center" wrapText="1"/>
    </xf>
    <xf numFmtId="43" fontId="6" fillId="0" borderId="148" xfId="4" applyFont="1" applyBorder="1" applyAlignment="1">
      <alignment horizontal="center" vertical="center" wrapText="1"/>
    </xf>
    <xf numFmtId="43" fontId="8" fillId="0" borderId="150" xfId="3" applyFont="1" applyFill="1" applyBorder="1" applyAlignment="1">
      <alignment vertical="center"/>
    </xf>
    <xf numFmtId="43" fontId="6" fillId="3" borderId="151" xfId="3" applyFont="1" applyFill="1" applyBorder="1" applyAlignment="1">
      <alignment vertical="center"/>
    </xf>
    <xf numFmtId="43" fontId="39" fillId="3" borderId="151" xfId="3" applyFont="1" applyFill="1" applyBorder="1" applyAlignment="1">
      <alignment horizontal="right" vertical="center"/>
    </xf>
    <xf numFmtId="166" fontId="39" fillId="3" borderId="152" xfId="3" applyNumberFormat="1" applyFont="1" applyFill="1" applyBorder="1" applyAlignment="1">
      <alignment vertical="center"/>
    </xf>
    <xf numFmtId="164" fontId="39" fillId="0" borderId="153" xfId="1" applyFont="1" applyFill="1" applyBorder="1" applyAlignment="1">
      <alignment vertical="center"/>
    </xf>
    <xf numFmtId="164" fontId="6" fillId="0" borderId="154" xfId="1" applyFont="1" applyBorder="1" applyAlignment="1">
      <alignment vertical="center"/>
    </xf>
    <xf numFmtId="10" fontId="6" fillId="0" borderId="155" xfId="4" applyNumberFormat="1" applyFont="1" applyBorder="1" applyAlignment="1">
      <alignment vertical="center"/>
    </xf>
    <xf numFmtId="10" fontId="6" fillId="0" borderId="156" xfId="4" applyNumberFormat="1" applyFont="1" applyFill="1" applyBorder="1" applyAlignment="1">
      <alignment vertical="center"/>
    </xf>
    <xf numFmtId="43" fontId="6" fillId="0" borderId="157" xfId="4" applyFont="1" applyBorder="1" applyAlignment="1">
      <alignment vertical="center"/>
    </xf>
    <xf numFmtId="43" fontId="6" fillId="0" borderId="151" xfId="4" applyFont="1" applyBorder="1" applyAlignment="1">
      <alignment vertical="center"/>
    </xf>
    <xf numFmtId="10" fontId="6" fillId="0" borderId="158" xfId="4" applyNumberFormat="1" applyFont="1" applyBorder="1" applyAlignment="1">
      <alignment vertical="center"/>
    </xf>
    <xf numFmtId="43" fontId="6" fillId="0" borderId="159" xfId="4" applyFont="1" applyBorder="1" applyAlignment="1">
      <alignment horizontal="center" vertical="center"/>
    </xf>
    <xf numFmtId="4" fontId="6" fillId="0" borderId="160" xfId="4" applyNumberFormat="1" applyFont="1" applyBorder="1" applyAlignment="1">
      <alignment horizontal="right" vertical="center"/>
    </xf>
    <xf numFmtId="43" fontId="8" fillId="0" borderId="0" xfId="3" applyFont="1" applyFill="1"/>
    <xf numFmtId="43" fontId="39" fillId="0" borderId="0" xfId="3" applyFont="1" applyFill="1"/>
    <xf numFmtId="10" fontId="37" fillId="4" borderId="21" xfId="2" applyNumberFormat="1" applyFont="1" applyFill="1" applyBorder="1" applyAlignment="1" applyProtection="1">
      <alignment horizontal="center"/>
    </xf>
    <xf numFmtId="2" fontId="37" fillId="4" borderId="180" xfId="2" applyNumberFormat="1" applyFont="1" applyFill="1" applyBorder="1" applyAlignment="1" applyProtection="1">
      <alignment horizontal="center"/>
    </xf>
    <xf numFmtId="10" fontId="37" fillId="4" borderId="179" xfId="2" applyNumberFormat="1" applyFont="1" applyFill="1" applyBorder="1" applyAlignment="1" applyProtection="1">
      <alignment horizontal="center"/>
    </xf>
    <xf numFmtId="2" fontId="37" fillId="4" borderId="179" xfId="2" applyNumberFormat="1" applyFont="1" applyFill="1" applyBorder="1" applyAlignment="1" applyProtection="1">
      <alignment horizontal="center"/>
    </xf>
    <xf numFmtId="9" fontId="42" fillId="4" borderId="7" xfId="7" applyNumberFormat="1" applyFont="1" applyFill="1" applyBorder="1" applyAlignment="1" applyProtection="1">
      <alignment horizontal="center"/>
    </xf>
    <xf numFmtId="172" fontId="6" fillId="0" borderId="34" xfId="0" applyNumberFormat="1" applyFont="1" applyBorder="1" applyAlignment="1">
      <alignment horizontal="left"/>
    </xf>
    <xf numFmtId="0" fontId="0" fillId="0" borderId="25" xfId="0" applyBorder="1"/>
    <xf numFmtId="0" fontId="53" fillId="0" borderId="0" xfId="0" applyFont="1" applyAlignment="1">
      <alignment vertical="center"/>
    </xf>
    <xf numFmtId="0" fontId="0" fillId="0" borderId="0" xfId="0" applyAlignment="1">
      <alignment vertical="center"/>
    </xf>
    <xf numFmtId="2" fontId="18" fillId="11" borderId="170" xfId="7" applyNumberFormat="1" applyFont="1" applyFill="1" applyBorder="1" applyAlignment="1">
      <alignment horizontal="right" vertical="center" wrapText="1" shrinkToFit="1"/>
    </xf>
    <xf numFmtId="0" fontId="3" fillId="0" borderId="21" xfId="0" applyFont="1" applyBorder="1"/>
    <xf numFmtId="0" fontId="54" fillId="0" borderId="0" xfId="0" applyFont="1" applyAlignment="1">
      <alignment horizontal="right"/>
    </xf>
    <xf numFmtId="0" fontId="55" fillId="0" borderId="0" xfId="0" applyFont="1"/>
    <xf numFmtId="2" fontId="18" fillId="11" borderId="20" xfId="7" applyNumberFormat="1" applyFont="1" applyFill="1" applyBorder="1" applyAlignment="1">
      <alignment horizontal="right" vertical="center" wrapText="1" shrinkToFit="1"/>
    </xf>
    <xf numFmtId="2" fontId="18" fillId="11" borderId="7" xfId="7" applyNumberFormat="1" applyFont="1" applyFill="1" applyBorder="1" applyAlignment="1">
      <alignment horizontal="center" vertical="center" wrapText="1" shrinkToFit="1"/>
    </xf>
    <xf numFmtId="164" fontId="18" fillId="11" borderId="7" xfId="1" applyFont="1" applyFill="1" applyBorder="1" applyAlignment="1">
      <alignment horizontal="center" vertical="center" wrapText="1" shrinkToFit="1"/>
    </xf>
    <xf numFmtId="0" fontId="14" fillId="0" borderId="5" xfId="0" applyFont="1" applyBorder="1" applyAlignment="1">
      <alignment horizontal="left" vertical="center" wrapText="1"/>
    </xf>
    <xf numFmtId="164" fontId="3" fillId="0" borderId="7" xfId="1" applyFont="1" applyBorder="1"/>
    <xf numFmtId="9" fontId="3" fillId="0" borderId="7" xfId="2" applyFont="1" applyBorder="1"/>
    <xf numFmtId="0" fontId="3" fillId="0" borderId="162" xfId="0" applyFont="1" applyBorder="1"/>
    <xf numFmtId="164" fontId="3" fillId="0" borderId="170" xfId="1" applyFont="1" applyBorder="1"/>
    <xf numFmtId="44" fontId="3" fillId="0" borderId="171" xfId="0" applyNumberFormat="1" applyFont="1" applyBorder="1"/>
    <xf numFmtId="0" fontId="3" fillId="0" borderId="11" xfId="0" applyFont="1" applyBorder="1"/>
    <xf numFmtId="44" fontId="3" fillId="0" borderId="12" xfId="0" applyNumberFormat="1" applyFont="1" applyBorder="1"/>
    <xf numFmtId="0" fontId="4" fillId="0" borderId="11" xfId="0" applyFont="1" applyBorder="1"/>
    <xf numFmtId="2" fontId="3" fillId="0" borderId="11" xfId="0" applyNumberFormat="1" applyFont="1" applyBorder="1"/>
    <xf numFmtId="0" fontId="3" fillId="0" borderId="12" xfId="0" applyFont="1" applyBorder="1"/>
    <xf numFmtId="0" fontId="3" fillId="0" borderId="165" xfId="0" applyFont="1" applyBorder="1"/>
    <xf numFmtId="164" fontId="3" fillId="0" borderId="178" xfId="1" applyFont="1" applyBorder="1"/>
    <xf numFmtId="44" fontId="3" fillId="0" borderId="176" xfId="0" applyNumberFormat="1" applyFont="1" applyBorder="1"/>
    <xf numFmtId="0" fontId="56" fillId="0" borderId="7" xfId="0" applyFont="1" applyBorder="1" applyAlignment="1">
      <alignment vertical="center" wrapText="1"/>
    </xf>
    <xf numFmtId="0" fontId="56" fillId="0" borderId="7" xfId="0" applyFont="1" applyBorder="1" applyAlignment="1">
      <alignment horizontal="center" vertical="center" wrapText="1"/>
    </xf>
    <xf numFmtId="0" fontId="14" fillId="0" borderId="22" xfId="0" applyFont="1" applyBorder="1" applyAlignment="1">
      <alignment vertical="top" wrapText="1"/>
    </xf>
    <xf numFmtId="0" fontId="11" fillId="0" borderId="7" xfId="0" applyFont="1" applyBorder="1" applyAlignment="1">
      <alignment horizontal="left" vertical="top" wrapText="1"/>
    </xf>
    <xf numFmtId="0" fontId="56" fillId="22" borderId="7" xfId="0" applyFont="1" applyFill="1" applyBorder="1" applyAlignment="1">
      <alignment vertical="center" wrapText="1"/>
    </xf>
    <xf numFmtId="0" fontId="4" fillId="22" borderId="12" xfId="0" applyFont="1" applyFill="1" applyBorder="1" applyAlignment="1">
      <alignment horizontal="center"/>
    </xf>
    <xf numFmtId="2" fontId="4" fillId="22" borderId="8" xfId="0" applyNumberFormat="1" applyFont="1" applyFill="1" applyBorder="1" applyAlignment="1">
      <alignment horizontal="center"/>
    </xf>
    <xf numFmtId="0" fontId="56" fillId="22" borderId="7" xfId="0" applyFont="1" applyFill="1" applyBorder="1" applyAlignment="1">
      <alignment horizontal="center" vertical="center" wrapText="1"/>
    </xf>
    <xf numFmtId="164" fontId="4" fillId="22" borderId="7" xfId="1" applyFont="1" applyFill="1" applyBorder="1" applyAlignment="1">
      <alignment horizontal="center"/>
    </xf>
    <xf numFmtId="165" fontId="11" fillId="22" borderId="8" xfId="0" applyNumberFormat="1" applyFont="1" applyFill="1" applyBorder="1" applyAlignment="1">
      <alignment horizontal="center"/>
    </xf>
    <xf numFmtId="165" fontId="11" fillId="22" borderId="7" xfId="0" applyNumberFormat="1" applyFont="1" applyFill="1" applyBorder="1" applyAlignment="1">
      <alignment horizontal="center"/>
    </xf>
    <xf numFmtId="0" fontId="4" fillId="22" borderId="7" xfId="0" applyFont="1" applyFill="1" applyBorder="1" applyAlignment="1">
      <alignment horizontal="center"/>
    </xf>
    <xf numFmtId="164" fontId="4" fillId="22" borderId="8" xfId="1" applyFont="1" applyFill="1" applyBorder="1" applyAlignment="1">
      <alignment horizontal="center"/>
    </xf>
    <xf numFmtId="2" fontId="11" fillId="22" borderId="7" xfId="2" applyNumberFormat="1" applyFont="1" applyFill="1" applyBorder="1" applyAlignment="1">
      <alignment horizontal="center"/>
    </xf>
    <xf numFmtId="165" fontId="12" fillId="22" borderId="7" xfId="2" applyNumberFormat="1" applyFont="1" applyFill="1" applyBorder="1" applyAlignment="1">
      <alignment horizontal="center"/>
    </xf>
    <xf numFmtId="164" fontId="12" fillId="22" borderId="7" xfId="1" applyFont="1" applyFill="1" applyBorder="1" applyAlignment="1">
      <alignment horizontal="center"/>
    </xf>
    <xf numFmtId="164" fontId="11" fillId="22" borderId="7" xfId="1" applyFont="1" applyFill="1" applyBorder="1" applyAlignment="1">
      <alignment horizontal="center"/>
    </xf>
    <xf numFmtId="165" fontId="11" fillId="22" borderId="7" xfId="2" applyNumberFormat="1" applyFont="1" applyFill="1" applyBorder="1" applyAlignment="1">
      <alignment horizontal="center"/>
    </xf>
    <xf numFmtId="165" fontId="2" fillId="22" borderId="7" xfId="2" applyNumberFormat="1" applyFont="1" applyFill="1" applyBorder="1" applyAlignment="1">
      <alignment horizontal="center"/>
    </xf>
    <xf numFmtId="0" fontId="3" fillId="22" borderId="7" xfId="0" applyFont="1" applyFill="1" applyBorder="1" applyAlignment="1">
      <alignment horizontal="center" wrapText="1"/>
    </xf>
    <xf numFmtId="0" fontId="3" fillId="22" borderId="0" xfId="0" applyFont="1" applyFill="1" applyAlignment="1">
      <alignment horizontal="center"/>
    </xf>
    <xf numFmtId="0" fontId="3" fillId="23" borderId="21" xfId="0" applyFont="1" applyFill="1" applyBorder="1"/>
    <xf numFmtId="0" fontId="4" fillId="23" borderId="7" xfId="0" applyFont="1" applyFill="1" applyBorder="1" applyAlignment="1">
      <alignment horizontal="center" vertical="center" wrapText="1"/>
    </xf>
    <xf numFmtId="0" fontId="14" fillId="23" borderId="22" xfId="0" applyFont="1" applyFill="1" applyBorder="1" applyAlignment="1">
      <alignment vertical="top" wrapText="1"/>
    </xf>
    <xf numFmtId="0" fontId="4" fillId="23" borderId="11" xfId="0" applyFont="1" applyFill="1" applyBorder="1" applyAlignment="1">
      <alignment horizontal="center"/>
    </xf>
    <xf numFmtId="0" fontId="4" fillId="23" borderId="7" xfId="0" applyFont="1" applyFill="1" applyBorder="1" applyAlignment="1">
      <alignment horizontal="center"/>
    </xf>
    <xf numFmtId="0" fontId="4" fillId="23" borderId="12" xfId="0" applyFont="1" applyFill="1" applyBorder="1" applyAlignment="1">
      <alignment horizontal="center"/>
    </xf>
    <xf numFmtId="2" fontId="4" fillId="23" borderId="8" xfId="0" applyNumberFormat="1" applyFont="1" applyFill="1" applyBorder="1" applyAlignment="1">
      <alignment horizontal="center"/>
    </xf>
    <xf numFmtId="164" fontId="4" fillId="23" borderId="7" xfId="1" applyFont="1" applyFill="1" applyBorder="1" applyAlignment="1">
      <alignment horizontal="center"/>
    </xf>
    <xf numFmtId="165" fontId="11" fillId="23" borderId="8" xfId="0" applyNumberFormat="1" applyFont="1" applyFill="1" applyBorder="1" applyAlignment="1">
      <alignment horizontal="center"/>
    </xf>
    <xf numFmtId="165" fontId="11" fillId="23" borderId="7" xfId="0" applyNumberFormat="1" applyFont="1" applyFill="1" applyBorder="1" applyAlignment="1">
      <alignment horizontal="center"/>
    </xf>
    <xf numFmtId="164" fontId="4" fillId="23" borderId="8" xfId="1" applyFont="1" applyFill="1" applyBorder="1" applyAlignment="1">
      <alignment horizontal="center"/>
    </xf>
    <xf numFmtId="2" fontId="11" fillId="23" borderId="7" xfId="2" applyNumberFormat="1" applyFont="1" applyFill="1" applyBorder="1" applyAlignment="1">
      <alignment horizontal="center"/>
    </xf>
    <xf numFmtId="165" fontId="12" fillId="23" borderId="7" xfId="2" applyNumberFormat="1" applyFont="1" applyFill="1" applyBorder="1" applyAlignment="1">
      <alignment horizontal="center"/>
    </xf>
    <xf numFmtId="164" fontId="12" fillId="23" borderId="7" xfId="1" applyFont="1" applyFill="1" applyBorder="1" applyAlignment="1">
      <alignment horizontal="center"/>
    </xf>
    <xf numFmtId="164" fontId="11" fillId="23" borderId="7" xfId="1" applyFont="1" applyFill="1" applyBorder="1" applyAlignment="1">
      <alignment horizontal="center"/>
    </xf>
    <xf numFmtId="165" fontId="11" fillId="23" borderId="7" xfId="2" applyNumberFormat="1" applyFont="1" applyFill="1" applyBorder="1" applyAlignment="1">
      <alignment horizontal="center"/>
    </xf>
    <xf numFmtId="165" fontId="2" fillId="23" borderId="7" xfId="2" applyNumberFormat="1" applyFont="1" applyFill="1" applyBorder="1" applyAlignment="1">
      <alignment horizontal="center"/>
    </xf>
    <xf numFmtId="0" fontId="3" fillId="23" borderId="7" xfId="0" applyFont="1" applyFill="1" applyBorder="1" applyAlignment="1">
      <alignment horizontal="center" wrapText="1"/>
    </xf>
    <xf numFmtId="0" fontId="3" fillId="23" borderId="0" xfId="0" applyFont="1" applyFill="1" applyAlignment="1">
      <alignment horizontal="center"/>
    </xf>
    <xf numFmtId="164" fontId="57" fillId="22" borderId="7" xfId="1" applyFont="1" applyFill="1" applyBorder="1" applyAlignment="1">
      <alignment horizontal="center"/>
    </xf>
    <xf numFmtId="164" fontId="11" fillId="0" borderId="7" xfId="1" applyFont="1" applyBorder="1" applyAlignment="1">
      <alignment horizontal="center"/>
    </xf>
    <xf numFmtId="0" fontId="18" fillId="23" borderId="14" xfId="0" applyFont="1" applyFill="1" applyBorder="1" applyAlignment="1">
      <alignment horizontal="center" vertical="center" wrapText="1" shrinkToFit="1"/>
    </xf>
    <xf numFmtId="0" fontId="18" fillId="23" borderId="13" xfId="0" applyFont="1" applyFill="1" applyBorder="1" applyAlignment="1">
      <alignment horizontal="center" vertical="center" wrapText="1" shrinkToFit="1"/>
    </xf>
    <xf numFmtId="49" fontId="18" fillId="23" borderId="13" xfId="0" applyNumberFormat="1" applyFont="1" applyFill="1" applyBorder="1" applyAlignment="1">
      <alignment horizontal="center" vertical="center" wrapText="1" shrinkToFit="1"/>
    </xf>
    <xf numFmtId="2" fontId="18" fillId="23" borderId="7" xfId="7" applyNumberFormat="1" applyFont="1" applyFill="1" applyBorder="1" applyAlignment="1">
      <alignment horizontal="center" vertical="center" wrapText="1" shrinkToFit="1"/>
    </xf>
    <xf numFmtId="164" fontId="18" fillId="23" borderId="7" xfId="1" applyFont="1" applyFill="1" applyBorder="1" applyAlignment="1">
      <alignment horizontal="center" vertical="center" wrapText="1" shrinkToFit="1"/>
    </xf>
    <xf numFmtId="0" fontId="18" fillId="23" borderId="13" xfId="0" applyFont="1" applyFill="1" applyBorder="1" applyAlignment="1">
      <alignment horizontal="center" vertical="top" wrapText="1" shrinkToFit="1"/>
    </xf>
    <xf numFmtId="164" fontId="18" fillId="23" borderId="27" xfId="1" applyFont="1" applyFill="1" applyBorder="1" applyAlignment="1">
      <alignment horizontal="center" vertical="center" wrapText="1" shrinkToFit="1"/>
    </xf>
    <xf numFmtId="2" fontId="18" fillId="11" borderId="9" xfId="7" applyNumberFormat="1" applyFont="1" applyFill="1" applyBorder="1" applyAlignment="1">
      <alignment horizontal="center" vertical="center" wrapText="1" shrinkToFit="1"/>
    </xf>
    <xf numFmtId="164" fontId="18" fillId="11" borderId="20" xfId="1" applyFont="1" applyFill="1" applyBorder="1" applyAlignment="1">
      <alignment horizontal="center" vertical="center" wrapText="1" shrinkToFit="1"/>
    </xf>
    <xf numFmtId="164" fontId="18" fillId="11" borderId="27" xfId="1" applyFont="1" applyFill="1" applyBorder="1" applyAlignment="1">
      <alignment horizontal="center" vertical="center" wrapText="1" shrinkToFit="1"/>
    </xf>
    <xf numFmtId="164" fontId="18" fillId="11" borderId="185" xfId="1" applyFont="1" applyFill="1" applyBorder="1" applyAlignment="1">
      <alignment horizontal="center" vertical="center" wrapText="1" shrinkToFit="1"/>
    </xf>
    <xf numFmtId="164" fontId="18" fillId="11" borderId="189" xfId="1" applyFont="1" applyFill="1" applyBorder="1" applyAlignment="1">
      <alignment horizontal="center" vertical="center" wrapText="1" shrinkToFit="1"/>
    </xf>
    <xf numFmtId="164" fontId="18" fillId="23" borderId="189" xfId="1" applyFont="1" applyFill="1" applyBorder="1" applyAlignment="1">
      <alignment horizontal="center" vertical="center" wrapText="1" shrinkToFit="1"/>
    </xf>
    <xf numFmtId="164" fontId="18" fillId="11" borderId="37" xfId="1" applyFont="1" applyFill="1" applyBorder="1" applyAlignment="1">
      <alignment horizontal="center" vertical="center" wrapText="1" shrinkToFit="1"/>
    </xf>
    <xf numFmtId="0" fontId="0" fillId="23" borderId="25" xfId="0" applyFill="1" applyBorder="1"/>
    <xf numFmtId="0" fontId="3" fillId="8" borderId="21" xfId="0" applyFont="1" applyFill="1" applyBorder="1"/>
    <xf numFmtId="164" fontId="57" fillId="0" borderId="7" xfId="1" applyFont="1" applyFill="1" applyBorder="1" applyAlignment="1">
      <alignment horizontal="center"/>
    </xf>
    <xf numFmtId="0" fontId="58" fillId="0" borderId="0" xfId="0" applyFont="1" applyAlignment="1">
      <alignment vertical="center"/>
    </xf>
    <xf numFmtId="2" fontId="18" fillId="11" borderId="7" xfId="7" applyNumberFormat="1" applyFont="1" applyFill="1" applyBorder="1" applyAlignment="1">
      <alignment horizontal="right" vertical="center" wrapText="1" shrinkToFit="1"/>
    </xf>
    <xf numFmtId="0" fontId="60" fillId="0" borderId="0" xfId="0" applyFont="1"/>
    <xf numFmtId="17" fontId="3" fillId="0" borderId="0" xfId="0" applyNumberFormat="1" applyFont="1"/>
    <xf numFmtId="164" fontId="60" fillId="0" borderId="0" xfId="1" applyFont="1"/>
    <xf numFmtId="0" fontId="60" fillId="21" borderId="0" xfId="0" applyFont="1" applyFill="1"/>
    <xf numFmtId="0" fontId="60" fillId="23" borderId="0" xfId="0" applyFont="1" applyFill="1" applyAlignment="1">
      <alignment wrapText="1"/>
    </xf>
    <xf numFmtId="17" fontId="60" fillId="0" borderId="0" xfId="0" applyNumberFormat="1" applyFont="1"/>
    <xf numFmtId="0" fontId="60" fillId="23" borderId="0" xfId="0" applyFont="1" applyFill="1"/>
    <xf numFmtId="0" fontId="60" fillId="0" borderId="162" xfId="0" applyFont="1" applyBorder="1"/>
    <xf numFmtId="164" fontId="60" fillId="0" borderId="170" xfId="1" applyFont="1" applyBorder="1"/>
    <xf numFmtId="44" fontId="60" fillId="0" borderId="171" xfId="0" applyNumberFormat="1" applyFont="1" applyBorder="1"/>
    <xf numFmtId="44" fontId="60" fillId="0" borderId="0" xfId="0" applyNumberFormat="1" applyFont="1"/>
    <xf numFmtId="0" fontId="60" fillId="0" borderId="11" xfId="0" applyFont="1" applyBorder="1"/>
    <xf numFmtId="164" fontId="60" fillId="0" borderId="7" xfId="1" applyFont="1" applyBorder="1"/>
    <xf numFmtId="44" fontId="60" fillId="0" borderId="12" xfId="0" applyNumberFormat="1" applyFont="1" applyBorder="1"/>
    <xf numFmtId="44" fontId="60" fillId="21" borderId="0" xfId="0" applyNumberFormat="1" applyFont="1" applyFill="1"/>
    <xf numFmtId="44" fontId="60" fillId="23" borderId="0" xfId="0" applyNumberFormat="1" applyFont="1" applyFill="1"/>
    <xf numFmtId="0" fontId="61" fillId="0" borderId="11" xfId="0" applyFont="1" applyBorder="1"/>
    <xf numFmtId="44" fontId="62" fillId="0" borderId="0" xfId="0" applyNumberFormat="1" applyFont="1"/>
    <xf numFmtId="164" fontId="60" fillId="0" borderId="0" xfId="0" applyNumberFormat="1" applyFont="1"/>
    <xf numFmtId="2" fontId="60" fillId="0" borderId="11" xfId="0" applyNumberFormat="1" applyFont="1" applyBorder="1"/>
    <xf numFmtId="9" fontId="60" fillId="0" borderId="7" xfId="2" applyFont="1" applyBorder="1"/>
    <xf numFmtId="0" fontId="60" fillId="0" borderId="12" xfId="0" applyFont="1" applyBorder="1"/>
    <xf numFmtId="0" fontId="60" fillId="0" borderId="165" xfId="0" applyFont="1" applyBorder="1"/>
    <xf numFmtId="164" fontId="60" fillId="0" borderId="178" xfId="1" applyFont="1" applyBorder="1"/>
    <xf numFmtId="44" fontId="60" fillId="0" borderId="176" xfId="0" applyNumberFormat="1" applyFont="1" applyBorder="1"/>
    <xf numFmtId="0" fontId="60" fillId="0" borderId="0" xfId="1" applyNumberFormat="1" applyFont="1"/>
    <xf numFmtId="0" fontId="3" fillId="23" borderId="170" xfId="0" applyFont="1" applyFill="1" applyBorder="1" applyAlignment="1">
      <alignment wrapText="1"/>
    </xf>
    <xf numFmtId="17" fontId="3" fillId="0" borderId="170" xfId="0" applyNumberFormat="1" applyFont="1" applyBorder="1"/>
    <xf numFmtId="17" fontId="3" fillId="0" borderId="171" xfId="0" applyNumberFormat="1" applyFont="1" applyBorder="1"/>
    <xf numFmtId="164" fontId="3" fillId="0" borderId="12" xfId="1" applyFont="1" applyBorder="1"/>
    <xf numFmtId="0" fontId="3" fillId="0" borderId="165" xfId="0" applyFont="1" applyBorder="1" applyAlignment="1">
      <alignment wrapText="1"/>
    </xf>
    <xf numFmtId="17" fontId="3" fillId="0" borderId="178" xfId="0" applyNumberFormat="1" applyFont="1" applyBorder="1"/>
    <xf numFmtId="0" fontId="3" fillId="0" borderId="178" xfId="0" applyFont="1" applyBorder="1"/>
    <xf numFmtId="0" fontId="3" fillId="0" borderId="176" xfId="0" applyFont="1" applyBorder="1"/>
    <xf numFmtId="0" fontId="11" fillId="0" borderId="14" xfId="0" applyFont="1" applyBorder="1" applyAlignment="1">
      <alignment horizontal="center" wrapText="1"/>
    </xf>
    <xf numFmtId="0" fontId="11" fillId="0" borderId="13" xfId="0" applyFont="1" applyBorder="1" applyAlignment="1">
      <alignment horizontal="center"/>
    </xf>
    <xf numFmtId="0" fontId="11" fillId="0" borderId="15" xfId="0" applyFont="1" applyBorder="1" applyAlignment="1">
      <alignment horizontal="center"/>
    </xf>
    <xf numFmtId="2" fontId="11" fillId="0" borderId="16" xfId="0" applyNumberFormat="1" applyFont="1" applyBorder="1" applyAlignment="1">
      <alignment horizontal="center" wrapText="1"/>
    </xf>
    <xf numFmtId="2" fontId="11" fillId="0" borderId="26" xfId="0" applyNumberFormat="1" applyFont="1" applyBorder="1" applyAlignment="1">
      <alignment horizontal="center" wrapText="1"/>
    </xf>
    <xf numFmtId="2" fontId="11" fillId="0" borderId="17" xfId="0" applyNumberFormat="1" applyFont="1" applyBorder="1" applyAlignment="1">
      <alignment horizontal="center"/>
    </xf>
    <xf numFmtId="0" fontId="4" fillId="0" borderId="16" xfId="0" applyFont="1" applyBorder="1" applyAlignment="1">
      <alignment horizontal="center"/>
    </xf>
    <xf numFmtId="0" fontId="4" fillId="0" borderId="26" xfId="0" applyFont="1" applyBorder="1" applyAlignment="1">
      <alignment horizontal="center"/>
    </xf>
    <xf numFmtId="0" fontId="4" fillId="0" borderId="17" xfId="0" applyFont="1" applyBorder="1" applyAlignment="1">
      <alignment horizontal="center"/>
    </xf>
    <xf numFmtId="0" fontId="11" fillId="0" borderId="27" xfId="0" applyFont="1" applyBorder="1" applyAlignment="1">
      <alignment horizontal="center" wrapText="1"/>
    </xf>
    <xf numFmtId="0" fontId="11" fillId="0" borderId="13" xfId="0" applyFont="1" applyBorder="1" applyAlignment="1">
      <alignment horizontal="center" wrapText="1"/>
    </xf>
    <xf numFmtId="10" fontId="11" fillId="0" borderId="28" xfId="0" applyNumberFormat="1" applyFont="1" applyBorder="1" applyAlignment="1">
      <alignment horizontal="center"/>
    </xf>
    <xf numFmtId="10" fontId="11" fillId="0" borderId="29" xfId="0" applyNumberFormat="1" applyFont="1" applyBorder="1" applyAlignment="1">
      <alignment horizontal="center"/>
    </xf>
    <xf numFmtId="10" fontId="11" fillId="0" borderId="19" xfId="0" applyNumberFormat="1" applyFont="1" applyBorder="1" applyAlignment="1">
      <alignment horizontal="center"/>
    </xf>
    <xf numFmtId="10" fontId="11" fillId="0" borderId="21" xfId="0" applyNumberFormat="1" applyFont="1" applyBorder="1" applyAlignment="1">
      <alignment horizontal="center"/>
    </xf>
    <xf numFmtId="10" fontId="11" fillId="0" borderId="5" xfId="0" applyNumberFormat="1" applyFont="1" applyBorder="1" applyAlignment="1">
      <alignment horizontal="center"/>
    </xf>
    <xf numFmtId="10" fontId="11" fillId="0" borderId="6" xfId="0" applyNumberFormat="1" applyFont="1" applyBorder="1" applyAlignment="1">
      <alignment horizontal="center"/>
    </xf>
    <xf numFmtId="10" fontId="11" fillId="0" borderId="22" xfId="0" applyNumberFormat="1" applyFont="1" applyBorder="1" applyAlignment="1">
      <alignment horizontal="center"/>
    </xf>
    <xf numFmtId="10" fontId="11" fillId="0" borderId="0" xfId="0" applyNumberFormat="1" applyFont="1" applyAlignment="1">
      <alignment horizontal="center"/>
    </xf>
    <xf numFmtId="10" fontId="11" fillId="0" borderId="25" xfId="0" applyNumberFormat="1" applyFont="1" applyBorder="1" applyAlignment="1">
      <alignment horizontal="center"/>
    </xf>
    <xf numFmtId="0" fontId="2" fillId="0" borderId="9" xfId="0" applyFont="1" applyBorder="1" applyAlignment="1">
      <alignment horizontal="center" vertical="top"/>
    </xf>
    <xf numFmtId="0" fontId="2" fillId="0" borderId="20" xfId="0" applyFont="1" applyBorder="1" applyAlignment="1">
      <alignment horizontal="center" vertical="top"/>
    </xf>
    <xf numFmtId="0" fontId="2" fillId="0" borderId="13" xfId="0" applyFont="1" applyBorder="1" applyAlignment="1">
      <alignment horizontal="center" vertical="top"/>
    </xf>
    <xf numFmtId="0" fontId="11" fillId="0" borderId="16" xfId="0" applyFont="1" applyBorder="1" applyAlignment="1">
      <alignment horizontal="center" wrapText="1"/>
    </xf>
    <xf numFmtId="0" fontId="11" fillId="0" borderId="26" xfId="0" applyFont="1" applyBorder="1" applyAlignment="1">
      <alignment horizontal="center" wrapText="1"/>
    </xf>
    <xf numFmtId="0" fontId="11" fillId="0" borderId="17" xfId="0" applyFont="1" applyBorder="1" applyAlignment="1">
      <alignment horizontal="center" wrapText="1"/>
    </xf>
    <xf numFmtId="0" fontId="11" fillId="0" borderId="20" xfId="0" applyFont="1" applyBorder="1" applyAlignment="1">
      <alignment horizontal="center" wrapText="1"/>
    </xf>
    <xf numFmtId="0" fontId="2" fillId="0" borderId="27" xfId="0" applyFont="1" applyBorder="1" applyAlignment="1">
      <alignment horizontal="center" wrapText="1"/>
    </xf>
    <xf numFmtId="0" fontId="2" fillId="0" borderId="20" xfId="0" applyFont="1" applyBorder="1" applyAlignment="1">
      <alignment horizontal="center" wrapText="1"/>
    </xf>
    <xf numFmtId="0" fontId="2" fillId="0" borderId="13" xfId="0" applyFont="1" applyBorder="1" applyAlignment="1">
      <alignment horizontal="center" wrapText="1"/>
    </xf>
    <xf numFmtId="0" fontId="22" fillId="0" borderId="0" xfId="0" applyFont="1" applyAlignment="1">
      <alignment horizontal="left" vertical="center" wrapText="1"/>
    </xf>
    <xf numFmtId="0" fontId="22" fillId="0" borderId="0" xfId="0" applyFont="1" applyAlignment="1">
      <alignment vertical="top" wrapText="1"/>
    </xf>
    <xf numFmtId="49" fontId="23" fillId="3" borderId="38" xfId="0" applyNumberFormat="1" applyFont="1" applyFill="1" applyBorder="1" applyAlignment="1">
      <alignment horizontal="center" vertical="center" wrapText="1" shrinkToFit="1"/>
    </xf>
    <xf numFmtId="49" fontId="23" fillId="3" borderId="164" xfId="0" applyNumberFormat="1" applyFont="1" applyFill="1" applyBorder="1" applyAlignment="1">
      <alignment horizontal="center" vertical="center" wrapText="1" shrinkToFit="1"/>
    </xf>
    <xf numFmtId="49" fontId="23" fillId="3" borderId="162" xfId="0" applyNumberFormat="1" applyFont="1" applyFill="1" applyBorder="1" applyAlignment="1">
      <alignment horizontal="center" vertical="center" wrapText="1" shrinkToFit="1"/>
    </xf>
    <xf numFmtId="49" fontId="23" fillId="3" borderId="165" xfId="0" applyNumberFormat="1" applyFont="1" applyFill="1" applyBorder="1" applyAlignment="1">
      <alignment horizontal="center" vertical="center" wrapText="1" shrinkToFit="1"/>
    </xf>
    <xf numFmtId="49" fontId="23" fillId="3" borderId="163" xfId="0" applyNumberFormat="1" applyFont="1" applyFill="1" applyBorder="1" applyAlignment="1">
      <alignment horizontal="center" vertical="center" wrapText="1" shrinkToFit="1"/>
    </xf>
    <xf numFmtId="49" fontId="23" fillId="3" borderId="166" xfId="0" applyNumberFormat="1" applyFont="1" applyFill="1" applyBorder="1" applyAlignment="1">
      <alignment horizontal="center" vertical="center" wrapText="1" shrinkToFit="1"/>
    </xf>
    <xf numFmtId="43" fontId="23" fillId="3" borderId="163" xfId="7" applyFont="1" applyFill="1" applyBorder="1" applyAlignment="1">
      <alignment horizontal="center" vertical="center" wrapText="1" shrinkToFit="1"/>
    </xf>
    <xf numFmtId="43" fontId="23" fillId="3" borderId="190" xfId="7" applyFont="1" applyFill="1" applyBorder="1" applyAlignment="1">
      <alignment horizontal="center" vertical="center" wrapText="1" shrinkToFit="1"/>
    </xf>
    <xf numFmtId="49" fontId="23" fillId="3" borderId="190" xfId="0" applyNumberFormat="1" applyFont="1" applyFill="1" applyBorder="1" applyAlignment="1">
      <alignment horizontal="center" vertical="center" wrapText="1" shrinkToFit="1"/>
    </xf>
    <xf numFmtId="164" fontId="24" fillId="0" borderId="3" xfId="0" applyNumberFormat="1" applyFont="1" applyBorder="1" applyAlignment="1">
      <alignment horizontal="center"/>
    </xf>
    <xf numFmtId="164" fontId="24" fillId="0" borderId="4" xfId="0" applyNumberFormat="1" applyFont="1" applyBorder="1" applyAlignment="1">
      <alignment horizontal="center"/>
    </xf>
    <xf numFmtId="0" fontId="25" fillId="0" borderId="0" xfId="0" applyFont="1" applyAlignment="1">
      <alignment horizontal="center"/>
    </xf>
    <xf numFmtId="0" fontId="26" fillId="0" borderId="0" xfId="0" applyFont="1" applyAlignment="1">
      <alignment horizontal="left" vertical="top" wrapText="1"/>
    </xf>
    <xf numFmtId="0" fontId="35" fillId="0" borderId="0" xfId="0" applyFont="1" applyAlignment="1">
      <alignment horizontal="left" wrapText="1"/>
    </xf>
    <xf numFmtId="0" fontId="36" fillId="0" borderId="0" xfId="0" applyFont="1" applyAlignment="1">
      <alignment horizontal="left" wrapText="1"/>
    </xf>
    <xf numFmtId="0" fontId="26" fillId="0" borderId="0" xfId="0" applyFont="1" applyAlignment="1">
      <alignment horizontal="left" wrapText="1"/>
    </xf>
    <xf numFmtId="0" fontId="27" fillId="0" borderId="41" xfId="0" applyFont="1" applyBorder="1" applyAlignment="1">
      <alignment horizontal="center" wrapText="1"/>
    </xf>
    <xf numFmtId="10" fontId="6" fillId="0" borderId="146" xfId="4" applyNumberFormat="1" applyFont="1" applyBorder="1" applyAlignment="1">
      <alignment horizontal="center" vertical="center" wrapText="1"/>
    </xf>
    <xf numFmtId="10" fontId="6" fillId="0" borderId="149" xfId="5" applyNumberFormat="1" applyFont="1" applyBorder="1" applyAlignment="1">
      <alignment horizontal="center" vertical="center" wrapText="1"/>
    </xf>
    <xf numFmtId="43" fontId="6" fillId="0" borderId="37" xfId="4" applyFont="1" applyBorder="1" applyAlignment="1">
      <alignment horizontal="center" vertical="center" wrapText="1"/>
    </xf>
    <xf numFmtId="43" fontId="6" fillId="0" borderId="43" xfId="5" applyNumberFormat="1" applyFont="1" applyBorder="1" applyAlignment="1">
      <alignment horizontal="center" vertical="center" wrapText="1"/>
    </xf>
    <xf numFmtId="10" fontId="6" fillId="0" borderId="32" xfId="4" applyNumberFormat="1" applyFont="1" applyBorder="1" applyAlignment="1">
      <alignment horizontal="center" vertical="center" wrapText="1"/>
    </xf>
    <xf numFmtId="10" fontId="6" fillId="0" borderId="23" xfId="5" applyNumberFormat="1" applyFont="1" applyBorder="1" applyAlignment="1">
      <alignment horizontal="center" vertical="center" wrapText="1"/>
    </xf>
    <xf numFmtId="10" fontId="6" fillId="0" borderId="27" xfId="4" applyNumberFormat="1" applyFont="1" applyBorder="1" applyAlignment="1">
      <alignment horizontal="center" vertical="center" wrapText="1"/>
    </xf>
    <xf numFmtId="10" fontId="6" fillId="0" borderId="20" xfId="5" applyNumberFormat="1" applyFont="1" applyBorder="1" applyAlignment="1">
      <alignment horizontal="center" vertical="center" wrapText="1"/>
    </xf>
    <xf numFmtId="10" fontId="6" fillId="0" borderId="33" xfId="4" applyNumberFormat="1" applyFont="1" applyBorder="1" applyAlignment="1">
      <alignment horizontal="center" vertical="center" wrapText="1"/>
    </xf>
    <xf numFmtId="10" fontId="6" fillId="0" borderId="24" xfId="5" applyNumberFormat="1" applyFont="1" applyBorder="1" applyAlignment="1">
      <alignment horizontal="center" vertical="center" wrapText="1"/>
    </xf>
    <xf numFmtId="10" fontId="6" fillId="0" borderId="38" xfId="4" applyNumberFormat="1" applyFont="1" applyBorder="1" applyAlignment="1">
      <alignment horizontal="center" vertical="center" wrapText="1"/>
    </xf>
    <xf numFmtId="10" fontId="6" fillId="0" borderId="44" xfId="5" applyNumberFormat="1" applyFont="1" applyBorder="1" applyAlignment="1">
      <alignment horizontal="center" vertical="center" wrapText="1"/>
    </xf>
    <xf numFmtId="43" fontId="6" fillId="0" borderId="38" xfId="4" applyFont="1" applyBorder="1" applyAlignment="1">
      <alignment horizontal="center" vertical="center"/>
    </xf>
    <xf numFmtId="43" fontId="6" fillId="0" borderId="44" xfId="4" applyFont="1" applyBorder="1" applyAlignment="1">
      <alignment horizontal="center" vertical="center"/>
    </xf>
    <xf numFmtId="43" fontId="6" fillId="0" borderId="39" xfId="4" applyFont="1" applyBorder="1" applyAlignment="1">
      <alignment horizontal="center" vertical="center" wrapText="1"/>
    </xf>
    <xf numFmtId="43" fontId="6" fillId="0" borderId="45" xfId="4" applyFont="1" applyBorder="1" applyAlignment="1">
      <alignment horizontal="center" vertical="center" wrapText="1"/>
    </xf>
    <xf numFmtId="43" fontId="6" fillId="0" borderId="40" xfId="4" applyFont="1" applyBorder="1" applyAlignment="1">
      <alignment horizontal="center" vertical="center"/>
    </xf>
    <xf numFmtId="43" fontId="6" fillId="0" borderId="46" xfId="4" applyFont="1" applyBorder="1" applyAlignment="1">
      <alignment horizontal="center" vertical="center"/>
    </xf>
    <xf numFmtId="43" fontId="39" fillId="0" borderId="38" xfId="3" applyFont="1" applyBorder="1" applyAlignment="1">
      <alignment horizontal="center" vertical="center"/>
    </xf>
    <xf numFmtId="43" fontId="39" fillId="0" borderId="44" xfId="3" applyFont="1" applyBorder="1" applyAlignment="1">
      <alignment horizontal="center" vertical="center"/>
    </xf>
    <xf numFmtId="43" fontId="6" fillId="0" borderId="32" xfId="4" applyFont="1" applyBorder="1" applyAlignment="1">
      <alignment horizontal="center" vertical="center" wrapText="1"/>
    </xf>
    <xf numFmtId="43" fontId="6" fillId="0" borderId="23" xfId="4" applyFont="1" applyBorder="1" applyAlignment="1">
      <alignment horizontal="center" vertical="center" wrapText="1"/>
    </xf>
    <xf numFmtId="43" fontId="6" fillId="0" borderId="27" xfId="4" applyFont="1" applyBorder="1" applyAlignment="1">
      <alignment horizontal="center" vertical="center" wrapText="1"/>
    </xf>
    <xf numFmtId="43" fontId="6" fillId="0" borderId="20" xfId="4" applyFont="1" applyBorder="1" applyAlignment="1">
      <alignment horizontal="center" vertical="center" wrapText="1"/>
    </xf>
    <xf numFmtId="10" fontId="6" fillId="0" borderId="34" xfId="4" applyNumberFormat="1" applyFont="1" applyBorder="1" applyAlignment="1">
      <alignment horizontal="center" vertical="center" wrapText="1"/>
    </xf>
    <xf numFmtId="10" fontId="6" fillId="0" borderId="42" xfId="5" applyNumberFormat="1" applyFont="1" applyBorder="1" applyAlignment="1">
      <alignment horizontal="center" vertical="center" wrapText="1"/>
    </xf>
    <xf numFmtId="43" fontId="6" fillId="0" borderId="145" xfId="4" applyFont="1" applyBorder="1" applyAlignment="1">
      <alignment horizontal="center" vertical="center" wrapText="1"/>
    </xf>
    <xf numFmtId="43" fontId="6" fillId="0" borderId="147" xfId="4" applyFont="1" applyBorder="1" applyAlignment="1">
      <alignment horizontal="center" vertical="center" wrapText="1"/>
    </xf>
    <xf numFmtId="10" fontId="6" fillId="0" borderId="36" xfId="4" applyNumberFormat="1" applyFont="1" applyBorder="1" applyAlignment="1">
      <alignment horizontal="center" vertical="center" wrapText="1"/>
    </xf>
    <xf numFmtId="10" fontId="6" fillId="0" borderId="21" xfId="5" applyNumberFormat="1" applyFont="1" applyBorder="1" applyAlignment="1">
      <alignment horizontal="center" vertical="center" wrapText="1"/>
    </xf>
    <xf numFmtId="49" fontId="6" fillId="0" borderId="33" xfId="4" applyNumberFormat="1" applyFont="1" applyBorder="1" applyAlignment="1">
      <alignment horizontal="center" vertical="center" wrapText="1"/>
    </xf>
    <xf numFmtId="49" fontId="6" fillId="0" borderId="24" xfId="5" applyNumberFormat="1" applyFont="1" applyBorder="1" applyAlignment="1">
      <alignment horizontal="center" vertical="center" wrapText="1"/>
    </xf>
    <xf numFmtId="43" fontId="8" fillId="0" borderId="35" xfId="4" applyFont="1" applyBorder="1" applyAlignment="1">
      <alignment horizontal="center" vertical="center" wrapText="1"/>
    </xf>
    <xf numFmtId="43" fontId="8" fillId="0" borderId="19" xfId="4" applyFont="1" applyBorder="1" applyAlignment="1">
      <alignment horizontal="center" vertical="center" wrapText="1"/>
    </xf>
    <xf numFmtId="164" fontId="3" fillId="0" borderId="5" xfId="0" applyNumberFormat="1" applyFont="1" applyBorder="1" applyAlignment="1">
      <alignment horizontal="center"/>
    </xf>
    <xf numFmtId="164" fontId="3" fillId="0" borderId="25" xfId="0" applyNumberFormat="1" applyFont="1" applyBorder="1" applyAlignment="1">
      <alignment horizontal="center"/>
    </xf>
    <xf numFmtId="164" fontId="3" fillId="0" borderId="6" xfId="0" applyNumberFormat="1" applyFont="1" applyBorder="1" applyAlignment="1">
      <alignment horizontal="center"/>
    </xf>
    <xf numFmtId="0" fontId="47" fillId="17" borderId="10" xfId="0" applyFont="1" applyFill="1" applyBorder="1" applyAlignment="1">
      <alignment horizontal="center" vertical="center"/>
    </xf>
    <xf numFmtId="0" fontId="47" fillId="17" borderId="41" xfId="0" applyFont="1" applyFill="1" applyBorder="1" applyAlignment="1">
      <alignment horizontal="center" vertical="center"/>
    </xf>
    <xf numFmtId="0" fontId="47" fillId="17" borderId="8" xfId="0" applyFont="1" applyFill="1" applyBorder="1" applyAlignment="1">
      <alignment horizontal="center" vertical="center"/>
    </xf>
    <xf numFmtId="0" fontId="11" fillId="16" borderId="7" xfId="0" applyFont="1" applyFill="1" applyBorder="1" applyAlignment="1">
      <alignment horizontal="center" vertical="top"/>
    </xf>
    <xf numFmtId="0" fontId="4" fillId="14" borderId="7" xfId="0" applyFont="1" applyFill="1" applyBorder="1" applyAlignment="1">
      <alignment horizontal="center" vertical="top"/>
    </xf>
    <xf numFmtId="0" fontId="3" fillId="17" borderId="10" xfId="0" applyFont="1" applyFill="1" applyBorder="1" applyAlignment="1">
      <alignment horizontal="center" vertical="top"/>
    </xf>
    <xf numFmtId="0" fontId="3" fillId="17" borderId="41" xfId="0" applyFont="1" applyFill="1" applyBorder="1" applyAlignment="1">
      <alignment horizontal="center" vertical="top"/>
    </xf>
    <xf numFmtId="0" fontId="3" fillId="17" borderId="8" xfId="0" applyFont="1" applyFill="1" applyBorder="1" applyAlignment="1">
      <alignment horizontal="center" vertical="top"/>
    </xf>
    <xf numFmtId="164" fontId="6" fillId="0" borderId="19" xfId="0" applyNumberFormat="1" applyFont="1" applyBorder="1" applyAlignment="1">
      <alignment horizontal="center"/>
    </xf>
    <xf numFmtId="164" fontId="6" fillId="0" borderId="0" xfId="0" applyNumberFormat="1" applyFont="1" applyAlignment="1">
      <alignment horizontal="center"/>
    </xf>
    <xf numFmtId="164" fontId="6" fillId="0" borderId="21" xfId="0" applyNumberFormat="1" applyFont="1" applyBorder="1" applyAlignment="1">
      <alignment horizontal="center"/>
    </xf>
    <xf numFmtId="0" fontId="3" fillId="0" borderId="42" xfId="0" applyFont="1" applyBorder="1" applyAlignment="1">
      <alignment horizontal="center"/>
    </xf>
    <xf numFmtId="0" fontId="3" fillId="0" borderId="0" xfId="0" applyFont="1" applyAlignment="1">
      <alignment horizontal="center"/>
    </xf>
    <xf numFmtId="0" fontId="3" fillId="0" borderId="182" xfId="0" applyFont="1" applyBorder="1" applyAlignment="1">
      <alignment horizontal="center" vertical="center"/>
    </xf>
    <xf numFmtId="0" fontId="3" fillId="0" borderId="181" xfId="0" applyFont="1" applyBorder="1" applyAlignment="1">
      <alignment horizontal="center" vertical="center"/>
    </xf>
    <xf numFmtId="49" fontId="2" fillId="0" borderId="10" xfId="0" applyNumberFormat="1" applyFont="1" applyBorder="1" applyAlignment="1">
      <alignment horizontal="center" vertical="center"/>
    </xf>
    <xf numFmtId="0" fontId="2" fillId="0" borderId="8" xfId="0" applyFont="1" applyBorder="1" applyAlignment="1">
      <alignment horizontal="center" vertical="center"/>
    </xf>
    <xf numFmtId="0" fontId="2" fillId="0" borderId="10" xfId="0" applyFont="1" applyBorder="1" applyAlignment="1">
      <alignment horizontal="center" vertical="center"/>
    </xf>
    <xf numFmtId="0" fontId="2" fillId="0" borderId="41" xfId="0" applyFont="1" applyBorder="1" applyAlignment="1">
      <alignment horizontal="center" vertical="center"/>
    </xf>
    <xf numFmtId="0" fontId="41" fillId="0" borderId="184" xfId="0" applyFont="1" applyBorder="1" applyAlignment="1">
      <alignment horizontal="center" vertical="center" wrapText="1"/>
    </xf>
    <xf numFmtId="0" fontId="41" fillId="0" borderId="161" xfId="0" applyFont="1" applyBorder="1" applyAlignment="1">
      <alignment horizontal="center" vertical="center" wrapText="1"/>
    </xf>
    <xf numFmtId="172" fontId="45" fillId="19" borderId="10" xfId="0" applyNumberFormat="1" applyFont="1" applyFill="1" applyBorder="1" applyAlignment="1">
      <alignment horizontal="center" vertical="center"/>
    </xf>
    <xf numFmtId="172" fontId="45" fillId="19" borderId="41" xfId="0" applyNumberFormat="1" applyFont="1" applyFill="1" applyBorder="1" applyAlignment="1">
      <alignment horizontal="center" vertical="center"/>
    </xf>
    <xf numFmtId="172" fontId="45" fillId="19" borderId="8" xfId="0" applyNumberFormat="1" applyFont="1" applyFill="1" applyBorder="1" applyAlignment="1">
      <alignment horizontal="center" vertical="center"/>
    </xf>
    <xf numFmtId="0" fontId="5" fillId="21" borderId="183" xfId="0" applyFont="1" applyFill="1" applyBorder="1" applyAlignment="1">
      <alignment horizontal="center" vertical="center"/>
    </xf>
    <xf numFmtId="0" fontId="5" fillId="21" borderId="22" xfId="0" applyFont="1" applyFill="1" applyBorder="1" applyAlignment="1">
      <alignment horizontal="center" vertical="center"/>
    </xf>
    <xf numFmtId="0" fontId="5" fillId="21" borderId="188" xfId="0" applyFont="1" applyFill="1" applyBorder="1" applyAlignment="1">
      <alignment horizontal="center" vertical="center"/>
    </xf>
    <xf numFmtId="0" fontId="5" fillId="21" borderId="42" xfId="0" applyFont="1" applyFill="1" applyBorder="1" applyAlignment="1">
      <alignment horizontal="center" vertical="center"/>
    </xf>
    <xf numFmtId="0" fontId="5" fillId="21" borderId="0" xfId="0" applyFont="1" applyFill="1" applyAlignment="1">
      <alignment horizontal="center" vertical="center"/>
    </xf>
    <xf numFmtId="0" fontId="5" fillId="21" borderId="43" xfId="0" applyFont="1" applyFill="1" applyBorder="1" applyAlignment="1">
      <alignment horizontal="center" vertical="center"/>
    </xf>
    <xf numFmtId="0" fontId="5" fillId="21" borderId="137" xfId="0" applyFont="1" applyFill="1" applyBorder="1" applyAlignment="1">
      <alignment horizontal="center" vertical="center"/>
    </xf>
    <xf numFmtId="0" fontId="5" fillId="21" borderId="30" xfId="0" applyFont="1" applyFill="1" applyBorder="1" applyAlignment="1">
      <alignment horizontal="center" vertical="center"/>
    </xf>
    <xf numFmtId="0" fontId="5" fillId="21" borderId="138" xfId="0" applyFont="1" applyFill="1" applyBorder="1" applyAlignment="1">
      <alignment horizontal="center" vertical="center"/>
    </xf>
    <xf numFmtId="172" fontId="5" fillId="21" borderId="183" xfId="0" applyNumberFormat="1" applyFont="1" applyFill="1" applyBorder="1" applyAlignment="1">
      <alignment horizontal="center" vertical="center"/>
    </xf>
    <xf numFmtId="172" fontId="5" fillId="21" borderId="22" xfId="0" applyNumberFormat="1" applyFont="1" applyFill="1" applyBorder="1" applyAlignment="1">
      <alignment horizontal="center" vertical="center"/>
    </xf>
    <xf numFmtId="172" fontId="5" fillId="21" borderId="188" xfId="0" applyNumberFormat="1" applyFont="1" applyFill="1" applyBorder="1" applyAlignment="1">
      <alignment horizontal="center" vertical="center"/>
    </xf>
    <xf numFmtId="172" fontId="5" fillId="21" borderId="42" xfId="0" applyNumberFormat="1" applyFont="1" applyFill="1" applyBorder="1" applyAlignment="1">
      <alignment horizontal="center" vertical="center"/>
    </xf>
    <xf numFmtId="172" fontId="5" fillId="21" borderId="0" xfId="0" applyNumberFormat="1" applyFont="1" applyFill="1" applyAlignment="1">
      <alignment horizontal="center" vertical="center"/>
    </xf>
    <xf numFmtId="172" fontId="5" fillId="21" borderId="43" xfId="0" applyNumberFormat="1" applyFont="1" applyFill="1" applyBorder="1" applyAlignment="1">
      <alignment horizontal="center" vertical="center"/>
    </xf>
    <xf numFmtId="172" fontId="5" fillId="21" borderId="137" xfId="0" applyNumberFormat="1" applyFont="1" applyFill="1" applyBorder="1" applyAlignment="1">
      <alignment horizontal="center" vertical="center"/>
    </xf>
    <xf numFmtId="172" fontId="5" fillId="21" borderId="30" xfId="0" applyNumberFormat="1" applyFont="1" applyFill="1" applyBorder="1" applyAlignment="1">
      <alignment horizontal="center" vertical="center"/>
    </xf>
    <xf numFmtId="172" fontId="5" fillId="21" borderId="138" xfId="0" applyNumberFormat="1" applyFont="1" applyFill="1" applyBorder="1" applyAlignment="1">
      <alignment horizontal="center" vertical="center"/>
    </xf>
    <xf numFmtId="0" fontId="5" fillId="0" borderId="16" xfId="0" applyFont="1" applyBorder="1" applyAlignment="1">
      <alignment horizontal="center" vertical="center"/>
    </xf>
    <xf numFmtId="0" fontId="5" fillId="0" borderId="17" xfId="0" applyFont="1" applyBorder="1" applyAlignment="1">
      <alignment horizontal="center" vertical="center"/>
    </xf>
    <xf numFmtId="0" fontId="5" fillId="0" borderId="35" xfId="0" applyFont="1" applyBorder="1" applyAlignment="1">
      <alignment horizontal="center" vertical="center" wrapText="1"/>
    </xf>
    <xf numFmtId="0" fontId="5" fillId="0" borderId="31" xfId="0" applyFont="1" applyBorder="1" applyAlignment="1">
      <alignment horizontal="center" vertical="center"/>
    </xf>
    <xf numFmtId="0" fontId="5" fillId="0" borderId="36" xfId="0" applyFont="1" applyBorder="1" applyAlignment="1">
      <alignment horizontal="center" vertical="center"/>
    </xf>
    <xf numFmtId="0" fontId="5" fillId="0" borderId="19" xfId="0" applyFont="1" applyBorder="1" applyAlignment="1">
      <alignment horizontal="center" vertical="center"/>
    </xf>
    <xf numFmtId="0" fontId="5" fillId="0" borderId="0" xfId="0" applyFont="1" applyAlignment="1">
      <alignment horizontal="center" vertical="center"/>
    </xf>
    <xf numFmtId="0" fontId="5" fillId="0" borderId="21" xfId="0" applyFont="1" applyBorder="1" applyAlignment="1">
      <alignment horizontal="center" vertical="center"/>
    </xf>
    <xf numFmtId="0" fontId="5" fillId="0" borderId="168" xfId="0" applyFont="1" applyBorder="1" applyAlignment="1">
      <alignment horizontal="center" vertical="center"/>
    </xf>
    <xf numFmtId="0" fontId="5" fillId="0" borderId="30" xfId="0" applyFont="1" applyBorder="1" applyAlignment="1">
      <alignment horizontal="center" vertical="center"/>
    </xf>
    <xf numFmtId="0" fontId="5" fillId="0" borderId="177" xfId="0" applyFont="1" applyBorder="1" applyAlignment="1">
      <alignment horizontal="center" vertical="center"/>
    </xf>
    <xf numFmtId="0" fontId="41" fillId="0" borderId="32" xfId="0" applyFont="1" applyBorder="1" applyAlignment="1">
      <alignment horizontal="center" vertical="center" textRotation="90"/>
    </xf>
    <xf numFmtId="0" fontId="41" fillId="0" borderId="23" xfId="0" applyFont="1" applyBorder="1" applyAlignment="1">
      <alignment horizontal="center" vertical="center" textRotation="90"/>
    </xf>
    <xf numFmtId="0" fontId="41" fillId="0" borderId="181" xfId="0" applyFont="1" applyBorder="1" applyAlignment="1">
      <alignment horizontal="center" vertical="center" textRotation="90"/>
    </xf>
    <xf numFmtId="172" fontId="5" fillId="0" borderId="42" xfId="0" applyNumberFormat="1" applyFont="1" applyBorder="1" applyAlignment="1">
      <alignment horizontal="center"/>
    </xf>
    <xf numFmtId="172" fontId="5" fillId="0" borderId="21" xfId="0" applyNumberFormat="1" applyFont="1" applyBorder="1" applyAlignment="1">
      <alignment horizontal="center"/>
    </xf>
    <xf numFmtId="172" fontId="45" fillId="4" borderId="7" xfId="0" applyNumberFormat="1" applyFont="1" applyFill="1" applyBorder="1" applyAlignment="1">
      <alignment horizontal="center"/>
    </xf>
    <xf numFmtId="172" fontId="44" fillId="4" borderId="7" xfId="0" applyNumberFormat="1" applyFont="1" applyFill="1" applyBorder="1" applyAlignment="1">
      <alignment horizontal="center"/>
    </xf>
    <xf numFmtId="0" fontId="41" fillId="0" borderId="28" xfId="0" applyFont="1" applyBorder="1" applyAlignment="1">
      <alignment horizontal="center" vertical="center"/>
    </xf>
    <xf numFmtId="0" fontId="41" fillId="0" borderId="29" xfId="0" applyFont="1" applyBorder="1" applyAlignment="1">
      <alignment horizontal="center" vertical="center"/>
    </xf>
    <xf numFmtId="0" fontId="41" fillId="0" borderId="168" xfId="0" applyFont="1" applyBorder="1" applyAlignment="1">
      <alignment horizontal="center" vertical="center"/>
    </xf>
    <xf numFmtId="0" fontId="41" fillId="0" borderId="177" xfId="0" applyFont="1" applyBorder="1" applyAlignment="1">
      <alignment horizontal="center" vertical="center"/>
    </xf>
    <xf numFmtId="49" fontId="41" fillId="0" borderId="28" xfId="0" applyNumberFormat="1" applyFont="1" applyBorder="1" applyAlignment="1">
      <alignment horizontal="center" vertical="center" wrapText="1"/>
    </xf>
    <xf numFmtId="49" fontId="41" fillId="0" borderId="29" xfId="0" applyNumberFormat="1" applyFont="1" applyBorder="1" applyAlignment="1">
      <alignment horizontal="center" vertical="center" wrapText="1"/>
    </xf>
    <xf numFmtId="49" fontId="41" fillId="0" borderId="168" xfId="0" applyNumberFormat="1" applyFont="1" applyBorder="1" applyAlignment="1">
      <alignment horizontal="center" vertical="center" wrapText="1"/>
    </xf>
    <xf numFmtId="49" fontId="41" fillId="0" borderId="177" xfId="0" applyNumberFormat="1" applyFont="1" applyBorder="1" applyAlignment="1">
      <alignment horizontal="center" vertical="center" wrapText="1"/>
    </xf>
    <xf numFmtId="175" fontId="44" fillId="19" borderId="42" xfId="0" quotePrefix="1" applyNumberFormat="1" applyFont="1" applyFill="1" applyBorder="1" applyAlignment="1">
      <alignment horizontal="left"/>
    </xf>
    <xf numFmtId="175" fontId="44" fillId="19" borderId="0" xfId="0" quotePrefix="1" applyNumberFormat="1" applyFont="1" applyFill="1" applyAlignment="1">
      <alignment horizontal="left"/>
    </xf>
    <xf numFmtId="175" fontId="44" fillId="19" borderId="21" xfId="0" quotePrefix="1" applyNumberFormat="1" applyFont="1" applyFill="1" applyBorder="1" applyAlignment="1">
      <alignment horizontal="left"/>
    </xf>
    <xf numFmtId="0" fontId="5" fillId="0" borderId="42" xfId="0" applyFont="1" applyBorder="1" applyAlignment="1">
      <alignment horizontal="center"/>
    </xf>
    <xf numFmtId="0" fontId="5" fillId="0" borderId="0" xfId="0" applyFont="1" applyAlignment="1">
      <alignment horizontal="center"/>
    </xf>
    <xf numFmtId="0" fontId="5" fillId="0" borderId="21" xfId="0" applyFont="1" applyBorder="1" applyAlignment="1">
      <alignment horizontal="center"/>
    </xf>
    <xf numFmtId="172" fontId="44" fillId="19" borderId="42" xfId="0" applyNumberFormat="1" applyFont="1" applyFill="1" applyBorder="1" applyAlignment="1">
      <alignment horizontal="left"/>
    </xf>
    <xf numFmtId="0" fontId="44" fillId="19" borderId="0" xfId="0" applyFont="1" applyFill="1" applyAlignment="1">
      <alignment horizontal="left"/>
    </xf>
    <xf numFmtId="0" fontId="44" fillId="19" borderId="21" xfId="0" applyFont="1" applyFill="1" applyBorder="1" applyAlignment="1">
      <alignment horizontal="left"/>
    </xf>
    <xf numFmtId="175" fontId="6" fillId="0" borderId="42" xfId="0" quotePrefix="1" applyNumberFormat="1" applyFont="1" applyBorder="1" applyAlignment="1">
      <alignment horizontal="center"/>
    </xf>
    <xf numFmtId="175" fontId="6" fillId="0" borderId="0" xfId="0" quotePrefix="1" applyNumberFormat="1" applyFont="1" applyAlignment="1">
      <alignment horizontal="center"/>
    </xf>
    <xf numFmtId="175" fontId="6" fillId="0" borderId="21" xfId="0" quotePrefix="1" applyNumberFormat="1" applyFont="1" applyBorder="1" applyAlignment="1">
      <alignment horizontal="center"/>
    </xf>
    <xf numFmtId="172" fontId="5" fillId="0" borderId="186" xfId="0" applyNumberFormat="1" applyFont="1" applyBorder="1" applyAlignment="1">
      <alignment horizontal="center"/>
    </xf>
    <xf numFmtId="172" fontId="5" fillId="0" borderId="8" xfId="0" applyNumberFormat="1" applyFont="1" applyBorder="1" applyAlignment="1">
      <alignment horizontal="center"/>
    </xf>
    <xf numFmtId="172" fontId="5" fillId="0" borderId="10" xfId="0" applyNumberFormat="1" applyFont="1" applyBorder="1" applyAlignment="1">
      <alignment horizontal="center" wrapText="1"/>
    </xf>
    <xf numFmtId="172" fontId="5" fillId="0" borderId="187" xfId="0" applyNumberFormat="1" applyFont="1" applyBorder="1" applyAlignment="1">
      <alignment horizontal="center"/>
    </xf>
    <xf numFmtId="0" fontId="5" fillId="0" borderId="186" xfId="0" applyFont="1" applyBorder="1" applyAlignment="1">
      <alignment horizontal="center"/>
    </xf>
    <xf numFmtId="0" fontId="5" fillId="0" borderId="41" xfId="0" applyFont="1" applyBorder="1" applyAlignment="1">
      <alignment horizontal="center"/>
    </xf>
    <xf numFmtId="0" fontId="5" fillId="0" borderId="8" xfId="0" applyFont="1" applyBorder="1" applyAlignment="1">
      <alignment horizontal="center"/>
    </xf>
    <xf numFmtId="176" fontId="5" fillId="0" borderId="10" xfId="0" applyNumberFormat="1" applyFont="1" applyBorder="1" applyAlignment="1">
      <alignment horizontal="center"/>
    </xf>
    <xf numFmtId="176" fontId="5" fillId="0" borderId="41" xfId="0" applyNumberFormat="1" applyFont="1" applyBorder="1" applyAlignment="1">
      <alignment horizontal="center"/>
    </xf>
    <xf numFmtId="176" fontId="5" fillId="0" borderId="187" xfId="0" applyNumberFormat="1" applyFont="1" applyBorder="1" applyAlignment="1">
      <alignment horizontal="center"/>
    </xf>
    <xf numFmtId="15" fontId="5" fillId="0" borderId="42" xfId="0" applyNumberFormat="1" applyFont="1" applyBorder="1" applyAlignment="1">
      <alignment horizontal="center" vertical="center"/>
    </xf>
    <xf numFmtId="15" fontId="5" fillId="0" borderId="21" xfId="0" applyNumberFormat="1" applyFont="1" applyBorder="1" applyAlignment="1">
      <alignment horizontal="center" vertical="center"/>
    </xf>
    <xf numFmtId="172" fontId="5" fillId="0" borderId="19" xfId="0" applyNumberFormat="1" applyFont="1" applyBorder="1" applyAlignment="1">
      <alignment horizontal="center"/>
    </xf>
    <xf numFmtId="172" fontId="5" fillId="0" borderId="43" xfId="0" applyNumberFormat="1" applyFont="1" applyBorder="1" applyAlignment="1">
      <alignment horizontal="center"/>
    </xf>
    <xf numFmtId="0" fontId="6" fillId="18" borderId="42" xfId="0" applyFont="1" applyFill="1" applyBorder="1" applyAlignment="1">
      <alignment horizontal="center"/>
    </xf>
    <xf numFmtId="0" fontId="6" fillId="18" borderId="0" xfId="0" applyFont="1" applyFill="1" applyAlignment="1">
      <alignment horizontal="center"/>
    </xf>
    <xf numFmtId="0" fontId="6" fillId="18" borderId="21" xfId="0" applyFont="1" applyFill="1" applyBorder="1" applyAlignment="1">
      <alignment horizontal="center"/>
    </xf>
    <xf numFmtId="0" fontId="6" fillId="0" borderId="42" xfId="0" applyFont="1" applyBorder="1" applyAlignment="1">
      <alignment horizontal="center"/>
    </xf>
    <xf numFmtId="0" fontId="6" fillId="0" borderId="0" xfId="0" applyFont="1" applyAlignment="1">
      <alignment horizontal="center"/>
    </xf>
    <xf numFmtId="0" fontId="6" fillId="0" borderId="21" xfId="0" applyFont="1" applyBorder="1" applyAlignment="1">
      <alignment horizontal="center"/>
    </xf>
    <xf numFmtId="0" fontId="5" fillId="18" borderId="42" xfId="0" applyFont="1" applyFill="1" applyBorder="1" applyAlignment="1">
      <alignment horizontal="left"/>
    </xf>
    <xf numFmtId="0" fontId="5" fillId="18" borderId="0" xfId="0" applyFont="1" applyFill="1" applyAlignment="1">
      <alignment horizontal="left"/>
    </xf>
    <xf numFmtId="0" fontId="5" fillId="18" borderId="21" xfId="0" applyFont="1" applyFill="1" applyBorder="1" applyAlignment="1">
      <alignment horizontal="left"/>
    </xf>
    <xf numFmtId="0" fontId="5" fillId="18" borderId="42" xfId="0" applyFont="1" applyFill="1" applyBorder="1" applyAlignment="1">
      <alignment horizontal="center"/>
    </xf>
    <xf numFmtId="0" fontId="5" fillId="18" borderId="0" xfId="0" applyFont="1" applyFill="1" applyAlignment="1">
      <alignment horizontal="center"/>
    </xf>
    <xf numFmtId="0" fontId="5" fillId="18" borderId="21" xfId="0" applyFont="1" applyFill="1" applyBorder="1" applyAlignment="1">
      <alignment horizontal="center"/>
    </xf>
    <xf numFmtId="0" fontId="5" fillId="0" borderId="42" xfId="0" applyFont="1" applyBorder="1" applyAlignment="1">
      <alignment horizontal="left"/>
    </xf>
    <xf numFmtId="0" fontId="5" fillId="0" borderId="0" xfId="0" applyFont="1" applyAlignment="1">
      <alignment horizontal="left"/>
    </xf>
    <xf numFmtId="0" fontId="5" fillId="0" borderId="21" xfId="0" applyFont="1" applyBorder="1" applyAlignment="1">
      <alignment horizontal="left"/>
    </xf>
    <xf numFmtId="0" fontId="41" fillId="0" borderId="42" xfId="0" applyFont="1" applyBorder="1" applyAlignment="1">
      <alignment horizontal="center"/>
    </xf>
    <xf numFmtId="0" fontId="41" fillId="0" borderId="0" xfId="0" applyFont="1" applyAlignment="1">
      <alignment horizontal="center"/>
    </xf>
    <xf numFmtId="0" fontId="41" fillId="0" borderId="21" xfId="0" applyFont="1" applyBorder="1" applyAlignment="1">
      <alignment horizontal="center"/>
    </xf>
    <xf numFmtId="172" fontId="45" fillId="4" borderId="7" xfId="0" applyNumberFormat="1" applyFont="1" applyFill="1" applyBorder="1" applyAlignment="1">
      <alignment horizontal="center" vertical="center"/>
    </xf>
    <xf numFmtId="171" fontId="5" fillId="0" borderId="28" xfId="0" applyNumberFormat="1" applyFont="1" applyBorder="1" applyAlignment="1">
      <alignment horizontal="center"/>
    </xf>
    <xf numFmtId="171" fontId="5" fillId="0" borderId="29" xfId="0" applyNumberFormat="1" applyFont="1" applyBorder="1" applyAlignment="1">
      <alignment horizontal="center"/>
    </xf>
    <xf numFmtId="171" fontId="5" fillId="0" borderId="19" xfId="0" applyNumberFormat="1" applyFont="1" applyBorder="1" applyAlignment="1">
      <alignment horizontal="center"/>
    </xf>
    <xf numFmtId="171" fontId="5" fillId="0" borderId="5" xfId="0" applyNumberFormat="1" applyFont="1" applyBorder="1" applyAlignment="1">
      <alignment horizontal="center"/>
    </xf>
    <xf numFmtId="0" fontId="5" fillId="0" borderId="6" xfId="0" applyFont="1" applyBorder="1" applyAlignment="1">
      <alignment horizontal="center"/>
    </xf>
    <xf numFmtId="172" fontId="45" fillId="4" borderId="7" xfId="0" applyNumberFormat="1" applyFont="1" applyFill="1" applyBorder="1" applyAlignment="1">
      <alignment horizontal="center" vertical="center" wrapText="1"/>
    </xf>
    <xf numFmtId="172" fontId="5" fillId="18" borderId="42" xfId="0" applyNumberFormat="1" applyFont="1" applyFill="1" applyBorder="1" applyAlignment="1">
      <alignment horizontal="left"/>
    </xf>
    <xf numFmtId="172" fontId="5" fillId="18" borderId="0" xfId="0" applyNumberFormat="1" applyFont="1" applyFill="1" applyAlignment="1">
      <alignment horizontal="left"/>
    </xf>
    <xf numFmtId="172" fontId="5" fillId="18" borderId="21" xfId="0" applyNumberFormat="1" applyFont="1" applyFill="1" applyBorder="1" applyAlignment="1">
      <alignment horizontal="left"/>
    </xf>
    <xf numFmtId="172" fontId="6" fillId="0" borderId="42" xfId="0" quotePrefix="1" applyNumberFormat="1" applyFont="1" applyBorder="1" applyAlignment="1">
      <alignment horizontal="center"/>
    </xf>
    <xf numFmtId="172" fontId="6" fillId="0" borderId="0" xfId="0" quotePrefix="1" applyNumberFormat="1" applyFont="1" applyAlignment="1">
      <alignment horizontal="center"/>
    </xf>
    <xf numFmtId="172" fontId="6" fillId="0" borderId="21" xfId="0" quotePrefix="1" applyNumberFormat="1" applyFont="1" applyBorder="1" applyAlignment="1">
      <alignment horizontal="center"/>
    </xf>
  </cellXfs>
  <cellStyles count="8">
    <cellStyle name="Comma" xfId="7" builtinId="3"/>
    <cellStyle name="Currency" xfId="1" builtinId="4"/>
    <cellStyle name="Migliaia 2" xfId="6" xr:uid="{8C68E82F-39EE-4AFC-A467-E95C0AF3D014}"/>
    <cellStyle name="Migliaia 5" xfId="3" xr:uid="{CBB80325-E79F-4C81-BFB1-8B027C2725A1}"/>
    <cellStyle name="Migliaia 5 3" xfId="4" xr:uid="{4EE475D8-9BA0-4400-910B-D15AC4AE94BC}"/>
    <cellStyle name="Normal" xfId="0" builtinId="0"/>
    <cellStyle name="Normale 3 2" xfId="5" xr:uid="{CF1EF9DB-1ED6-470A-87EA-561E1FCE6735}"/>
    <cellStyle name="Percent" xfId="2" builtinId="5"/>
  </cellStyles>
  <dxfs count="19">
    <dxf>
      <fill>
        <patternFill>
          <bgColor indexed="10"/>
        </patternFill>
      </fill>
    </dxf>
    <dxf>
      <font>
        <condense val="0"/>
        <extend val="0"/>
        <color auto="1"/>
      </font>
      <fill>
        <patternFill>
          <bgColor indexed="11"/>
        </patternFill>
      </fill>
    </dxf>
    <dxf>
      <fill>
        <patternFill>
          <bgColor indexed="10"/>
        </patternFill>
      </fill>
    </dxf>
    <dxf>
      <font>
        <condense val="0"/>
        <extend val="0"/>
        <color auto="1"/>
      </font>
      <fill>
        <patternFill>
          <bgColor indexed="11"/>
        </patternFill>
      </fill>
    </dxf>
    <dxf>
      <fill>
        <patternFill>
          <bgColor indexed="10"/>
        </patternFill>
      </fill>
    </dxf>
    <dxf>
      <font>
        <condense val="0"/>
        <extend val="0"/>
        <color auto="1"/>
      </font>
      <fill>
        <patternFill>
          <bgColor indexed="11"/>
        </patternFill>
      </fill>
    </dxf>
    <dxf>
      <fill>
        <patternFill>
          <bgColor indexed="10"/>
        </patternFill>
      </fill>
    </dxf>
    <dxf>
      <font>
        <condense val="0"/>
        <extend val="0"/>
        <color auto="1"/>
      </font>
      <fill>
        <patternFill>
          <bgColor indexed="11"/>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43"/>
        </patternFill>
      </fill>
    </dxf>
    <dxf>
      <fill>
        <patternFill>
          <bgColor rgb="FFFFFF00"/>
        </patternFill>
      </fill>
    </dxf>
    <dxf>
      <fill>
        <patternFill>
          <bgColor rgb="FFFFFF00"/>
        </patternFill>
      </fill>
    </dxf>
    <dxf>
      <fill>
        <patternFill>
          <bgColor rgb="FFFFFF00"/>
        </patternFill>
      </fill>
    </dxf>
  </dxfs>
  <tableStyles count="0" defaultTableStyle="TableStyleMedium2" defaultPivotStyle="PivotStyleLight16"/>
  <colors>
    <mruColors>
      <color rgb="FF80FF2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4.xml"/><Relationship Id="rId18" Type="http://schemas.openxmlformats.org/officeDocument/2006/relationships/externalLink" Target="externalLinks/externalLink9.xml"/><Relationship Id="rId26" Type="http://schemas.openxmlformats.org/officeDocument/2006/relationships/externalLink" Target="externalLinks/externalLink17.xml"/><Relationship Id="rId39" Type="http://schemas.openxmlformats.org/officeDocument/2006/relationships/externalLink" Target="externalLinks/externalLink30.xml"/><Relationship Id="rId21" Type="http://schemas.openxmlformats.org/officeDocument/2006/relationships/externalLink" Target="externalLinks/externalLink12.xml"/><Relationship Id="rId34" Type="http://schemas.openxmlformats.org/officeDocument/2006/relationships/externalLink" Target="externalLinks/externalLink25.xml"/><Relationship Id="rId42" Type="http://schemas.openxmlformats.org/officeDocument/2006/relationships/externalLink" Target="externalLinks/externalLink33.xml"/><Relationship Id="rId47" Type="http://schemas.openxmlformats.org/officeDocument/2006/relationships/theme" Target="theme/theme1.xml"/><Relationship Id="rId50" Type="http://schemas.microsoft.com/office/2017/10/relationships/person" Target="persons/perso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externalLink" Target="externalLinks/externalLink7.xml"/><Relationship Id="rId29" Type="http://schemas.openxmlformats.org/officeDocument/2006/relationships/externalLink" Target="externalLinks/externalLink20.xml"/><Relationship Id="rId11" Type="http://schemas.openxmlformats.org/officeDocument/2006/relationships/externalLink" Target="externalLinks/externalLink2.xml"/><Relationship Id="rId24" Type="http://schemas.openxmlformats.org/officeDocument/2006/relationships/externalLink" Target="externalLinks/externalLink15.xml"/><Relationship Id="rId32" Type="http://schemas.openxmlformats.org/officeDocument/2006/relationships/externalLink" Target="externalLinks/externalLink23.xml"/><Relationship Id="rId37" Type="http://schemas.openxmlformats.org/officeDocument/2006/relationships/externalLink" Target="externalLinks/externalLink28.xml"/><Relationship Id="rId40" Type="http://schemas.openxmlformats.org/officeDocument/2006/relationships/externalLink" Target="externalLinks/externalLink31.xml"/><Relationship Id="rId45" Type="http://schemas.openxmlformats.org/officeDocument/2006/relationships/externalLink" Target="externalLinks/externalLink36.xml"/><Relationship Id="rId5" Type="http://schemas.openxmlformats.org/officeDocument/2006/relationships/worksheet" Target="worksheets/sheet5.xml"/><Relationship Id="rId15" Type="http://schemas.openxmlformats.org/officeDocument/2006/relationships/externalLink" Target="externalLinks/externalLink6.xml"/><Relationship Id="rId23" Type="http://schemas.openxmlformats.org/officeDocument/2006/relationships/externalLink" Target="externalLinks/externalLink14.xml"/><Relationship Id="rId28" Type="http://schemas.openxmlformats.org/officeDocument/2006/relationships/externalLink" Target="externalLinks/externalLink19.xml"/><Relationship Id="rId36" Type="http://schemas.openxmlformats.org/officeDocument/2006/relationships/externalLink" Target="externalLinks/externalLink27.xml"/><Relationship Id="rId49" Type="http://schemas.openxmlformats.org/officeDocument/2006/relationships/sharedStrings" Target="sharedStrings.xml"/><Relationship Id="rId10" Type="http://schemas.openxmlformats.org/officeDocument/2006/relationships/externalLink" Target="externalLinks/externalLink1.xml"/><Relationship Id="rId19" Type="http://schemas.openxmlformats.org/officeDocument/2006/relationships/externalLink" Target="externalLinks/externalLink10.xml"/><Relationship Id="rId31" Type="http://schemas.openxmlformats.org/officeDocument/2006/relationships/externalLink" Target="externalLinks/externalLink22.xml"/><Relationship Id="rId44" Type="http://schemas.openxmlformats.org/officeDocument/2006/relationships/externalLink" Target="externalLinks/externalLink3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5.xml"/><Relationship Id="rId22" Type="http://schemas.openxmlformats.org/officeDocument/2006/relationships/externalLink" Target="externalLinks/externalLink13.xml"/><Relationship Id="rId27" Type="http://schemas.openxmlformats.org/officeDocument/2006/relationships/externalLink" Target="externalLinks/externalLink18.xml"/><Relationship Id="rId30" Type="http://schemas.openxmlformats.org/officeDocument/2006/relationships/externalLink" Target="externalLinks/externalLink21.xml"/><Relationship Id="rId35" Type="http://schemas.openxmlformats.org/officeDocument/2006/relationships/externalLink" Target="externalLinks/externalLink26.xml"/><Relationship Id="rId43" Type="http://schemas.openxmlformats.org/officeDocument/2006/relationships/externalLink" Target="externalLinks/externalLink34.xml"/><Relationship Id="rId48" Type="http://schemas.openxmlformats.org/officeDocument/2006/relationships/styles" Target="styles.xml"/><Relationship Id="rId8" Type="http://schemas.openxmlformats.org/officeDocument/2006/relationships/worksheet" Target="worksheets/sheet8.xml"/><Relationship Id="rId51"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externalLink" Target="externalLinks/externalLink3.xml"/><Relationship Id="rId17" Type="http://schemas.openxmlformats.org/officeDocument/2006/relationships/externalLink" Target="externalLinks/externalLink8.xml"/><Relationship Id="rId25" Type="http://schemas.openxmlformats.org/officeDocument/2006/relationships/externalLink" Target="externalLinks/externalLink16.xml"/><Relationship Id="rId33" Type="http://schemas.openxmlformats.org/officeDocument/2006/relationships/externalLink" Target="externalLinks/externalLink24.xml"/><Relationship Id="rId38" Type="http://schemas.openxmlformats.org/officeDocument/2006/relationships/externalLink" Target="externalLinks/externalLink29.xml"/><Relationship Id="rId46" Type="http://schemas.openxmlformats.org/officeDocument/2006/relationships/externalLink" Target="externalLinks/externalLink37.xml"/><Relationship Id="rId20" Type="http://schemas.openxmlformats.org/officeDocument/2006/relationships/externalLink" Target="externalLinks/externalLink11.xml"/><Relationship Id="rId41" Type="http://schemas.openxmlformats.org/officeDocument/2006/relationships/externalLink" Target="externalLinks/externalLink32.xml"/><Relationship Id="rId1" Type="http://schemas.openxmlformats.org/officeDocument/2006/relationships/worksheet" Target="worksheets/sheet1.xml"/><Relationship Id="rId6" Type="http://schemas.openxmlformats.org/officeDocument/2006/relationships/worksheet" Target="worksheets/sheet6.xml"/></Relationships>
</file>

<file path=xl/drawings/drawing1.xml><?xml version="1.0" encoding="utf-8"?>
<xdr:wsDr xmlns:xdr="http://schemas.openxmlformats.org/drawingml/2006/spreadsheetDrawing" xmlns:a="http://schemas.openxmlformats.org/drawingml/2006/main">
  <xdr:twoCellAnchor>
    <xdr:from>
      <xdr:col>0</xdr:col>
      <xdr:colOff>38100</xdr:colOff>
      <xdr:row>18</xdr:row>
      <xdr:rowOff>38101</xdr:rowOff>
    </xdr:from>
    <xdr:to>
      <xdr:col>4</xdr:col>
      <xdr:colOff>1028700</xdr:colOff>
      <xdr:row>18</xdr:row>
      <xdr:rowOff>542925</xdr:rowOff>
    </xdr:to>
    <xdr:sp macro="" textlink="">
      <xdr:nvSpPr>
        <xdr:cNvPr id="7" name="CasellaDiTesto 6">
          <a:extLst>
            <a:ext uri="{FF2B5EF4-FFF2-40B4-BE49-F238E27FC236}">
              <a16:creationId xmlns:a16="http://schemas.microsoft.com/office/drawing/2014/main" id="{8B185C4D-A194-46C1-8DF2-D22530B9C1C9}"/>
            </a:ext>
          </a:extLst>
        </xdr:cNvPr>
        <xdr:cNvSpPr txBox="1"/>
      </xdr:nvSpPr>
      <xdr:spPr>
        <a:xfrm>
          <a:off x="38100" y="8248651"/>
          <a:ext cx="2019300" cy="50482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it-IT" sz="900">
              <a:latin typeface="Times New Roman" panose="02020603050405020304" pitchFamily="18" charset="0"/>
              <a:cs typeface="Times New Roman" panose="02020603050405020304" pitchFamily="18" charset="0"/>
            </a:rPr>
            <a:t>Responsabile del preventivo</a:t>
          </a:r>
        </a:p>
        <a:p>
          <a:r>
            <a:rPr lang="it-IT" sz="900">
              <a:latin typeface="Times New Roman" panose="02020603050405020304" pitchFamily="18" charset="0"/>
              <a:cs typeface="Times New Roman" panose="02020603050405020304" pitchFamily="18" charset="0"/>
            </a:rPr>
            <a:t>Cosimo</a:t>
          </a:r>
          <a:r>
            <a:rPr lang="it-IT" sz="900" baseline="0">
              <a:latin typeface="Times New Roman" panose="02020603050405020304" pitchFamily="18" charset="0"/>
              <a:cs typeface="Times New Roman" panose="02020603050405020304" pitchFamily="18" charset="0"/>
            </a:rPr>
            <a:t> Pignatellicell. 338-1179299</a:t>
          </a:r>
        </a:p>
        <a:p>
          <a:r>
            <a:rPr lang="it-IT" sz="900" baseline="0">
              <a:latin typeface="Times New Roman" panose="02020603050405020304" pitchFamily="18" charset="0"/>
              <a:cs typeface="Times New Roman" panose="02020603050405020304" pitchFamily="18" charset="0"/>
            </a:rPr>
            <a:t>mail: pignatelli@suburbansrl.com</a:t>
          </a:r>
        </a:p>
        <a:p>
          <a:endParaRPr lang="it-IT" sz="1100"/>
        </a:p>
      </xdr:txBody>
    </xdr:sp>
    <xdr:clientData/>
  </xdr:twoCellAnchor>
  <xdr:twoCellAnchor>
    <xdr:from>
      <xdr:col>5</xdr:col>
      <xdr:colOff>714374</xdr:colOff>
      <xdr:row>18</xdr:row>
      <xdr:rowOff>38100</xdr:rowOff>
    </xdr:from>
    <xdr:to>
      <xdr:col>6</xdr:col>
      <xdr:colOff>314324</xdr:colOff>
      <xdr:row>18</xdr:row>
      <xdr:rowOff>542925</xdr:rowOff>
    </xdr:to>
    <xdr:sp macro="" textlink="">
      <xdr:nvSpPr>
        <xdr:cNvPr id="8" name="CasellaDiTesto 7">
          <a:extLst>
            <a:ext uri="{FF2B5EF4-FFF2-40B4-BE49-F238E27FC236}">
              <a16:creationId xmlns:a16="http://schemas.microsoft.com/office/drawing/2014/main" id="{642160A6-525E-4690-96F0-0CCD056DD3A4}"/>
            </a:ext>
          </a:extLst>
        </xdr:cNvPr>
        <xdr:cNvSpPr txBox="1"/>
      </xdr:nvSpPr>
      <xdr:spPr>
        <a:xfrm>
          <a:off x="4190999" y="8248650"/>
          <a:ext cx="314325" cy="5048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it-IT" sz="900">
              <a:latin typeface="Times New Roman" panose="02020603050405020304" pitchFamily="18" charset="0"/>
              <a:cs typeface="Times New Roman" panose="02020603050405020304" pitchFamily="18" charset="0"/>
            </a:rPr>
            <a:t>Responsabile Commerciale</a:t>
          </a:r>
        </a:p>
        <a:p>
          <a:r>
            <a:rPr lang="it-IT" sz="900">
              <a:latin typeface="Times New Roman" panose="02020603050405020304" pitchFamily="18" charset="0"/>
              <a:cs typeface="Times New Roman" panose="02020603050405020304" pitchFamily="18" charset="0"/>
            </a:rPr>
            <a:t>Ing.</a:t>
          </a:r>
          <a:r>
            <a:rPr lang="it-IT" sz="900" baseline="0">
              <a:latin typeface="Times New Roman" panose="02020603050405020304" pitchFamily="18" charset="0"/>
              <a:cs typeface="Times New Roman" panose="02020603050405020304" pitchFamily="18" charset="0"/>
            </a:rPr>
            <a:t> Alberto Moia cell. 389-8756867</a:t>
          </a:r>
        </a:p>
        <a:p>
          <a:r>
            <a:rPr lang="it-IT" sz="900" baseline="0">
              <a:latin typeface="Times New Roman" panose="02020603050405020304" pitchFamily="18" charset="0"/>
              <a:cs typeface="Times New Roman" panose="02020603050405020304" pitchFamily="18" charset="0"/>
            </a:rPr>
            <a:t>mail: moia@tecnomontservice.com</a:t>
          </a:r>
        </a:p>
        <a:p>
          <a:endParaRPr lang="it-IT" sz="1100"/>
        </a:p>
      </xdr:txBody>
    </xdr:sp>
    <xdr:clientData/>
  </xdr:twoCellAnchor>
  <xdr:twoCellAnchor>
    <xdr:from>
      <xdr:col>4</xdr:col>
      <xdr:colOff>990601</xdr:colOff>
      <xdr:row>18</xdr:row>
      <xdr:rowOff>38100</xdr:rowOff>
    </xdr:from>
    <xdr:to>
      <xdr:col>4</xdr:col>
      <xdr:colOff>2807805</xdr:colOff>
      <xdr:row>18</xdr:row>
      <xdr:rowOff>542925</xdr:rowOff>
    </xdr:to>
    <xdr:sp macro="" textlink="">
      <xdr:nvSpPr>
        <xdr:cNvPr id="9" name="CasellaDiTesto 8">
          <a:extLst>
            <a:ext uri="{FF2B5EF4-FFF2-40B4-BE49-F238E27FC236}">
              <a16:creationId xmlns:a16="http://schemas.microsoft.com/office/drawing/2014/main" id="{407318CF-AFE1-40CE-8A61-C3C43CE8C4FF}"/>
            </a:ext>
          </a:extLst>
        </xdr:cNvPr>
        <xdr:cNvSpPr txBox="1"/>
      </xdr:nvSpPr>
      <xdr:spPr>
        <a:xfrm>
          <a:off x="2373797" y="4825448"/>
          <a:ext cx="1817204" cy="5048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it-IT" sz="900">
              <a:latin typeface="Times New Roman" panose="02020603050405020304" pitchFamily="18" charset="0"/>
              <a:cs typeface="Times New Roman" panose="02020603050405020304" pitchFamily="18" charset="0"/>
            </a:rPr>
            <a:t>Responsabile Commerciale</a:t>
          </a:r>
        </a:p>
        <a:p>
          <a:r>
            <a:rPr lang="it-IT" sz="900">
              <a:latin typeface="Times New Roman" panose="02020603050405020304" pitchFamily="18" charset="0"/>
              <a:cs typeface="Times New Roman" panose="02020603050405020304" pitchFamily="18" charset="0"/>
            </a:rPr>
            <a:t>Cosimo Pignatelli 338-1179299</a:t>
          </a:r>
          <a:endParaRPr lang="it-IT" sz="900" baseline="0">
            <a:latin typeface="Times New Roman" panose="02020603050405020304" pitchFamily="18" charset="0"/>
            <a:cs typeface="Times New Roman" panose="02020603050405020304" pitchFamily="18" charset="0"/>
          </a:endParaRPr>
        </a:p>
        <a:p>
          <a:r>
            <a:rPr lang="it-IT" sz="900" baseline="0">
              <a:latin typeface="Times New Roman" panose="02020603050405020304" pitchFamily="18" charset="0"/>
              <a:cs typeface="Times New Roman" panose="02020603050405020304" pitchFamily="18" charset="0"/>
            </a:rPr>
            <a:t>mail: </a:t>
          </a:r>
          <a:r>
            <a:rPr kumimoji="0" lang="it-IT" sz="900" b="0" i="0" u="none" strike="noStrike" kern="0" cap="none" spc="0" normalizeH="0" baseline="0" noProof="0">
              <a:ln>
                <a:noFill/>
              </a:ln>
              <a:solidFill>
                <a:prstClr val="black"/>
              </a:solidFill>
              <a:effectLst/>
              <a:uLnTx/>
              <a:uFillTx/>
              <a:latin typeface="Times New Roman" panose="02020603050405020304" pitchFamily="18" charset="0"/>
              <a:ea typeface="+mn-ea"/>
              <a:cs typeface="Times New Roman" panose="02020603050405020304" pitchFamily="18" charset="0"/>
            </a:rPr>
            <a:t>pignatelli@suburbansrl.com</a:t>
          </a:r>
          <a:endParaRPr lang="it-IT" sz="1100"/>
        </a:p>
      </xdr:txBody>
    </xdr:sp>
    <xdr:clientData/>
  </xdr:twoCellAnchor>
  <xdr:twoCellAnchor>
    <xdr:from>
      <xdr:col>4</xdr:col>
      <xdr:colOff>2819401</xdr:colOff>
      <xdr:row>18</xdr:row>
      <xdr:rowOff>38100</xdr:rowOff>
    </xdr:from>
    <xdr:to>
      <xdr:col>8</xdr:col>
      <xdr:colOff>647700</xdr:colOff>
      <xdr:row>18</xdr:row>
      <xdr:rowOff>542925</xdr:rowOff>
    </xdr:to>
    <xdr:sp macro="" textlink="">
      <xdr:nvSpPr>
        <xdr:cNvPr id="10" name="CasellaDiTesto 9">
          <a:extLst>
            <a:ext uri="{FF2B5EF4-FFF2-40B4-BE49-F238E27FC236}">
              <a16:creationId xmlns:a16="http://schemas.microsoft.com/office/drawing/2014/main" id="{B885853C-12F6-4740-958F-2066A4860057}"/>
            </a:ext>
          </a:extLst>
        </xdr:cNvPr>
        <xdr:cNvSpPr txBox="1"/>
      </xdr:nvSpPr>
      <xdr:spPr>
        <a:xfrm>
          <a:off x="3848101" y="8248650"/>
          <a:ext cx="2200274" cy="5048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it-IT"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ommesse\Vpnroma\00213%20Piaggio\Bozze\Lisa\Officina%2010\PIAGGIO.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BCUBEDATI\dati\Dati\nas%202\Comm.113%20-%20AFM%20GARE\LIDL%20PIZZIGHETTONE\STUDIO%20ECONOMICO\CEO%20Locale%20pane.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Users\leoncini\Desktop\cartella%20scambio\01%20-%20format%20in%20uso\20211025%20-%20Analisi%20Preventivo%20TMService%20+%20BUDGET%20-%20Firma%20Marta.xlsx"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FILE%20DATI%20BASE2%20-%2020111110%20-%20Copia.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SV03\Dati\Archivio\Commesse\2004\0424\PROGETTO%20CONSEGNA%20DEL%2004-08-04\ELETTRICO\CAPITOLATI\0424_2EP%20morgantini.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immobiliarepercassi-my.sharepoint.com/OFFERTE%20IN%20CORSO/GARE%20LAVORI%20PRIVATI%202017/CDP%20Bergamo%20Lotto%202/Studio%20di%20gara/Copia%20di%20LISTONE%20CA%20118%20X%20ING.%20FABIANI.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adc-server\COMMESSE\11-069-B%20SAIPEM%20-%20LABORATORIO%20ENI%20VAL%20D'AGRI\08%20-%20ELETTRICO\COMPUTI%20METRICI\COMPUTO%20METRICO%20ESTIMATIVO\REV01\Bill%20of%20QUANTITIES\20110316_Bozza_BOQ%20su%20struttura%20Saipem.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Commesse\vpnroma\05215%20PAM_CASSINO\Q\Q005A-00%20MPO%20-%20Cementi%20armati\Q005A-03%20CM%20-%20Computo%20metrico%20Cementi%20armati.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Srv01\dati\Documents%20and%20Settings\io\Desktop\0253_2EP.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Sbs\preventivi\PREVENTIVI\J%20&amp;%20A\via%20dell'annunciata%20Studio%20avvocati\WorkShop\FINCON\6qRoll\PPR\ukr_new.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Luca\c\WINDOWS\Desktop\comp_veneg.xls"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RIF"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T:\gare\2009\09-28%20Polaris_Crema\Offerta%20presentata_integrazione%2015.01.09\Crema_offerta_budget_rev2_15.01.10_valido.xl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QE_PRE_01_04_2011_IKEA%20ROMA%20PESCACCIO%20agg_03.xls"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CME_civili.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https://immobiliarepercassi-my.sharepoint.com/Tecnico/APPALTI/Milano_Via%20Cantu_Hines_01_18/Computi%2016.01.2018/Civili,%20Facciate,%20Ascensori/Computo%20metrico%20(opere%20civili,%20facciate,%20ascensori,%20assistenze).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https://immobiliarepercassi-my.sharepoint.com/Tecnico/APPALTI/Milano_Via%20Cantu_Hines_01_18/100%20Documenti/180108%20GC%20allegati%20lettera%20invito/2.%20Documenti%20di%20Offerta/PNGI%2022%20Computo%20metrico%20gara%20d'appalto%20GC.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SRV-STORAGE\tecnici\DAVID\_PREVENTIVI%202019\19_100%20NO%20-%20GHEMME%20-%20LORO%20PIANA\_FORNITORI\IT18137-AIT-3A-GEN-GEN-Q-002-00%20MPO.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Thebig\c\Documenti\computo_sesti.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Milani\dati\Documents%20and%20Settings\Andrea_2\Impostazioni%20locali\Temp\prova2.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Sbs\Preventivi\TEMP\Baseline%20Phase%201%20Install%20Costs.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Ntserver\pr.as\A\209_GdF-Pratica%20di%20Mare\Consegna_13.11.2000\Documenti\IR04.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Srv03\Dati$\Preventivi\PREVENTIVI%202009\BUILDING%20SPA-CAPANNONI%20PIACENZA\09-547.2%20BUILDING%20STIMA%20CAPANNONI%20MONTICELLI%20PC.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T:\Tecnici\PREVENTIVI%20ACQUISITI\C10-07%20Via%20Oldofredi%207-Milano\015-Budget\Via%20Oldofredi_budget%20IN%20USO%20.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Sbs\Preventivi\PROVVISORI\COEMI%20ESSELUNGA%20SETTIMO\Aggiornamento%2012.03.04\integrazione.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F:\Documents%20and%20Settings\Roberto\Impostazioni%20locali\Temporary%20Internet%20Files\Content.IE5\8H2N4PIB\Tortona%203%20III-06.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Sbs\Preventivi\TEMP\CONKZ.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Sbs\Preventivi\TEMP\CitiBank%20Risto%20000608.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Server\07-08%20forum%20palermo\Documents%20and%20Settings\st7\Documenti\Lavoro\CDS\007-08%20Palermo\007-08%20Offerta%20CDS\007-08%20Palermo%20RDO%20Riccardi\007-08%20Palermo-VISER\007-08%20Offerta%20Viser%20shopfronts%20R03"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H:\Documenti\981235%20consegna%20del%2008-01-01\81235DQ01%20A.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serv1\ComMaster\Preventivi\1119%20HUMANITAS\BUNKER%20ROZZANO\Offerta%20REV.00\Budget%20REV.00%20ROZZANO%20strutturale.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SV01\Dati\Preventivi\PROVVISORI\VARIE\STAFFAGGI%20SISMICI\15-221%20ESSELUNGA%20SASSUOLO%20(MO).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A:\lavori\computi\ferrari\meccanica\meccanica.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C:\Users\giuliano.busetti\Desktop\15-00139_1_CDZ.xlsx"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Luca\c\salva\AUTORIMESSALainate\ELETTRICI%20DEF\COMPUTO\200092EP.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Luca\c\WINDOWS\Desktop\comp%20venegono.xls" TargetMode="External"/></Relationships>
</file>

<file path=xl/externalLinks/_rels/externalLink37.xml.rels><?xml version="1.0" encoding="UTF-8" standalone="yes"?>
<Relationships xmlns="http://schemas.openxmlformats.org/package/2006/relationships"><Relationship Id="rId2" Type="http://schemas.openxmlformats.org/officeDocument/2006/relationships/externalLinkPath" Target="https://latuafinestra-my.sharepoint.com/personal/pignatelli_mrpignatelli_com/Documents/SUBURBAN%20SRL%20UNIPERSONALE/2_COMMERCIALE/2_1_PREVENTIVI/VASTINT/TORINO/P1002_25_CON/PREVENTIVO/ANALISI%20E%20PREVENTIVO/ANACO_P1002_25_CON_REV01_EIALLUMINIO.xlsx" TargetMode="External"/><Relationship Id="rId1" Type="http://schemas.microsoft.com/office/2019/04/relationships/externalLinkLongPath" Target="ANACO_P1002_25_CON_REV01_EIALLUMINIO.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144A-02 (F)"/>
      <sheetName val="Q144A-02 (E)"/>
      <sheetName val="Q144A-02 (D)"/>
      <sheetName val="Q144A-02 (C)"/>
      <sheetName val="Q144A-02 (B)"/>
      <sheetName val="Q144A-02 (A)"/>
      <sheetName val="Q144A-02"/>
      <sheetName val="Q144A_02"/>
      <sheetName val="Q144A-02_(F)"/>
      <sheetName val="Q144A-02_(E)"/>
      <sheetName val="Q144A-02_(D)"/>
      <sheetName val="Q144A-02_(C)"/>
      <sheetName val="Q144A-02_(B)"/>
      <sheetName val="Q144A-02_(A)"/>
      <sheetName val="Costi singoli"/>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iassunto"/>
      <sheetName val="EDILE"/>
      <sheetName val="IMPIANTI"/>
      <sheetName val="ANALISI PREZZI"/>
    </sheetNames>
    <sheetDataSet>
      <sheetData sheetId="0"/>
      <sheetData sheetId="1" refreshError="1"/>
      <sheetData sheetId="2" refreshError="1"/>
      <sheetData sheetId="3"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merica ST"/>
      <sheetName val="America Apribili"/>
      <sheetName val="AmericaVetri"/>
      <sheetName val="RIASSUNTO"/>
      <sheetName val="Analisi costi"/>
      <sheetName val="ITEM"/>
      <sheetName val="Budget"/>
      <sheetName val="OFFERTA"/>
      <sheetName val="Computo splittato"/>
      <sheetName val="Facciate"/>
      <sheetName val="Serramenti All"/>
      <sheetName val="Serramenti Acc"/>
      <sheetName val="Windows wall"/>
      <sheetName val="Cassonetti-avvolgibili"/>
      <sheetName val="Rivestimenti"/>
      <sheetName val="Parapetti"/>
      <sheetName val="Porte Interne"/>
      <sheetName val="Pareti"/>
      <sheetName val="Serrande"/>
      <sheetName val="Lamiere"/>
      <sheetName val="carpenterie"/>
      <sheetName val="Costi singoli"/>
      <sheetName val="Mezzi d'opera"/>
      <sheetName val="UNITARI"/>
      <sheetName val="Vetrari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P"/>
      <sheetName val="GENERALITA"/>
      <sheetName val="RIEPILOGO_OLD"/>
      <sheetName val="RIEPILOGO_OLD2"/>
      <sheetName val="RIEPILOGO"/>
      <sheetName val="CMA-ANALITICO"/>
      <sheetName val="GRUPPI"/>
      <sheetName val="Suddivisioni per IKEA"/>
      <sheetName val="MAPPALI"/>
      <sheetName val="CME-ABBREVIATO_APP.01"/>
      <sheetName val="EPU_APP.01"/>
      <sheetName val="RIEPILOGO_APP.01"/>
      <sheetName val="FILE DATI"/>
      <sheetName val="FILE DATI (2)"/>
      <sheetName val="RIEPILOGO BGA"/>
      <sheetName val="Suddivisioni_per_IKEA"/>
      <sheetName val="CME-ABBREVIATO_APP_01"/>
      <sheetName val="EPU_APP_01"/>
      <sheetName val="RIEPILOGO_APP_01"/>
      <sheetName val="FILE_DATI"/>
      <sheetName val="FILE_DATI_(2)"/>
      <sheetName val="RIEPILOGO_BGA"/>
    </sheetNames>
    <sheetDataSet>
      <sheetData sheetId="0" refreshError="1"/>
      <sheetData sheetId="1" refreshError="1"/>
      <sheetData sheetId="2" refreshError="1"/>
      <sheetData sheetId="3" refreshError="1"/>
      <sheetData sheetId="4" refreshError="1"/>
      <sheetData sheetId="5" refreshError="1"/>
      <sheetData sheetId="6"/>
      <sheetData sheetId="7"/>
      <sheetData sheetId="8"/>
      <sheetData sheetId="9" refreshError="1"/>
      <sheetData sheetId="10" refreshError="1"/>
      <sheetData sheetId="11"/>
      <sheetData sheetId="12"/>
      <sheetData sheetId="13" refreshError="1"/>
      <sheetData sheetId="14" refreshError="1"/>
      <sheetData sheetId="15"/>
      <sheetData sheetId="16"/>
      <sheetData sheetId="17"/>
      <sheetData sheetId="18"/>
      <sheetData sheetId="19"/>
      <sheetData sheetId="20"/>
      <sheetData sheetId="2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stribuzione"/>
      <sheetName val="tv"/>
      <sheetName val="mediatensione"/>
      <sheetName val="interruttori"/>
      <sheetName val="terra"/>
      <sheetName val="Cap.1.01.1"/>
      <sheetName val="Cap.1.01.2"/>
      <sheetName val="Cap.1.01.3"/>
      <sheetName val="Cap.1.02.1"/>
      <sheetName val="Cap.1.02.2"/>
      <sheetName val="Cap.1.02.3"/>
      <sheetName val="Cap.1.02.4"/>
      <sheetName val="Cap.1.02.5"/>
      <sheetName val="Cap.1.03"/>
      <sheetName val="Cap.1.04"/>
      <sheetName val="Cap.1.05.1"/>
      <sheetName val="Cap.1.05.2"/>
      <sheetName val="Cap.1.05.3"/>
      <sheetName val="Cap.1.06.1"/>
      <sheetName val="Cap.1.07.1"/>
      <sheetName val="Cap.1.07.2"/>
      <sheetName val="Cap.1.07.3"/>
      <sheetName val="Cap.1.07.4"/>
      <sheetName val="Cap.1.08.1"/>
      <sheetName val="Cap.1.08.2"/>
      <sheetName val="Cap.1.08.3"/>
      <sheetName val="Cap.1.08.4"/>
      <sheetName val="Cap.1.08.5"/>
      <sheetName val="Cap.1.09.1"/>
      <sheetName val="Cap.1.09.2"/>
      <sheetName val="Cap.1.09.3"/>
      <sheetName val="Cap.1.10.1"/>
      <sheetName val="Cap.1.10.2"/>
      <sheetName val="Cap.1.10.3"/>
      <sheetName val="Cap.1.10.4"/>
      <sheetName val="Cap.1.11.1"/>
      <sheetName val="Cap.1.11.2"/>
      <sheetName val="Cap.1.11.3"/>
      <sheetName val="Cap.1.11.4"/>
      <sheetName val="Cap.1.12.1"/>
      <sheetName val="Cap.1.12.2"/>
      <sheetName val="Cap.1.12.3"/>
      <sheetName val="Cap.1.13.1"/>
      <sheetName val="Cap.1.13.2"/>
      <sheetName val="Cap.1.13.3"/>
      <sheetName val="Cap.1.13.4"/>
      <sheetName val="Cap.1.14.1"/>
      <sheetName val="Cap.1.14.2"/>
      <sheetName val="Cap.1.14.3"/>
      <sheetName val="Cap.1.14.4"/>
      <sheetName val="Cap.1.14.5"/>
      <sheetName val="Cap.1.15.1"/>
      <sheetName val="Cap.1.15.2"/>
      <sheetName val="Cap.1.16.1"/>
      <sheetName val="Cap.1.16.2"/>
      <sheetName val="Cap.1.17.1"/>
      <sheetName val="Cap.1.17.2"/>
      <sheetName val="Cap.1.17.3"/>
      <sheetName val="Cap.1.17.4"/>
      <sheetName val="Cap.1.18.1"/>
      <sheetName val="Cap.1.19"/>
      <sheetName val="Cap. 2.01"/>
      <sheetName val="Cap. 2.02"/>
      <sheetName val="Cap. 2.03"/>
      <sheetName val="Cap. 2.04"/>
      <sheetName val="Cap. 2.05"/>
      <sheetName val="Cap.2.06"/>
      <sheetName val="Cap2.07"/>
      <sheetName val="Cap2.08"/>
      <sheetName val="Cap. 3"/>
      <sheetName val="Cap. 4"/>
      <sheetName val="Cap. riepilogo"/>
      <sheetName val="Cap_1_01_1"/>
      <sheetName val="Cap_1_01_2"/>
      <sheetName val="Cap_1_01_3"/>
      <sheetName val="Cap_1_02_1"/>
      <sheetName val="Cap_1_02_2"/>
      <sheetName val="Cap_1_02_3"/>
      <sheetName val="Cap_1_02_4"/>
      <sheetName val="Cap_1_02_5"/>
      <sheetName val="Cap_1_03"/>
      <sheetName val="Cap_1_04"/>
      <sheetName val="Cap_1_05_1"/>
      <sheetName val="Cap_1_05_2"/>
      <sheetName val="Cap_1_05_3"/>
      <sheetName val="Cap_1_06_1"/>
      <sheetName val="Cap_1_07_1"/>
      <sheetName val="Cap_1_07_2"/>
      <sheetName val="Cap_1_07_3"/>
      <sheetName val="Cap_1_07_4"/>
      <sheetName val="Cap_1_08_1"/>
      <sheetName val="Cap_1_08_2"/>
      <sheetName val="Cap_1_08_3"/>
      <sheetName val="Cap_1_08_4"/>
      <sheetName val="Cap_1_08_5"/>
      <sheetName val="Cap_1_09_1"/>
      <sheetName val="Cap_1_09_2"/>
      <sheetName val="Cap_1_09_3"/>
      <sheetName val="Cap_1_10_1"/>
      <sheetName val="Cap_1_10_2"/>
      <sheetName val="Cap_1_10_3"/>
      <sheetName val="Cap_1_10_4"/>
      <sheetName val="Cap_1_11_1"/>
      <sheetName val="Cap_1_11_2"/>
      <sheetName val="Cap_1_11_3"/>
      <sheetName val="Cap_1_11_4"/>
      <sheetName val="Cap_1_12_1"/>
      <sheetName val="Cap_1_12_2"/>
      <sheetName val="Cap_1_12_3"/>
      <sheetName val="Cap_1_13_1"/>
      <sheetName val="Cap_1_13_2"/>
      <sheetName val="Cap_1_13_3"/>
      <sheetName val="Cap_1_13_4"/>
      <sheetName val="Cap_1_14_1"/>
      <sheetName val="Cap_1_14_2"/>
      <sheetName val="Cap_1_14_3"/>
      <sheetName val="Cap_1_14_4"/>
      <sheetName val="Cap_1_14_5"/>
      <sheetName val="Cap_1_15_1"/>
      <sheetName val="Cap_1_15_2"/>
      <sheetName val="Cap_1_16_1"/>
      <sheetName val="Cap_1_16_2"/>
      <sheetName val="Cap_1_17_1"/>
      <sheetName val="Cap_1_17_2"/>
      <sheetName val="Cap_1_17_3"/>
      <sheetName val="Cap_1_17_4"/>
      <sheetName val="Cap_1_18_1"/>
      <sheetName val="Cap_1_19"/>
      <sheetName val="Cap__2_01"/>
      <sheetName val="Cap__2_02"/>
      <sheetName val="Cap__2_03"/>
      <sheetName val="Cap__2_04"/>
      <sheetName val="Cap__2_05"/>
      <sheetName val="Cap_2_06"/>
      <sheetName val="Cap2_07"/>
      <sheetName val="Cap2_08"/>
      <sheetName val="Cap__3"/>
      <sheetName val="Cap__4"/>
      <sheetName val="Cap__riepilogo"/>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refreshError="1"/>
      <sheetData sheetId="54" refreshError="1"/>
      <sheetData sheetId="55"/>
      <sheetData sheetId="56"/>
      <sheetData sheetId="57"/>
      <sheetData sheetId="58"/>
      <sheetData sheetId="59" refreshError="1"/>
      <sheetData sheetId="60" refreshError="1"/>
      <sheetData sheetId="61"/>
      <sheetData sheetId="62"/>
      <sheetData sheetId="63"/>
      <sheetData sheetId="64"/>
      <sheetData sheetId="65"/>
      <sheetData sheetId="66"/>
      <sheetData sheetId="67"/>
      <sheetData sheetId="68" refreshError="1"/>
      <sheetData sheetId="69"/>
      <sheetData sheetId="70" refreshError="1"/>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glio2"/>
      <sheetName val="BILANCIO TERRE"/>
      <sheetName val="PROSPETTO"/>
      <sheetName val="lista di categoria"/>
      <sheetName val="LISTONE"/>
      <sheetName val="ELENCO PREZZI"/>
      <sheetName val="LAVORAZIONI"/>
      <sheetName val="INDIRETTI"/>
      <sheetName val="ASSICURAZIONI"/>
      <sheetName val="Foglio3"/>
      <sheetName val="Foglio1"/>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ick list"/>
      <sheetName val="62.A_EF"/>
      <sheetName val="QTS"/>
      <sheetName val="SIOC"/>
      <sheetName val="INDICE-SIOC"/>
      <sheetName val="Acc.A Furniture"/>
      <sheetName val="Analisi"/>
      <sheetName val="TEMP"/>
      <sheetName val="Pick_li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pertina"/>
      <sheetName val="COMPUTO fondazioni"/>
      <sheetName val="COMPUTO pilastri"/>
      <sheetName val="RIASSUNTO fondazioni"/>
      <sheetName val="RIASSUNTO pilastri"/>
      <sheetName val="Dati"/>
      <sheetName val="COMPUTO_fondazioni"/>
      <sheetName val="COMPUTO_pilastri"/>
      <sheetName val="RIASSUNTO_fondazioni"/>
      <sheetName val="RIASSUNTO_pilastri"/>
    </sheetNames>
    <sheetDataSet>
      <sheetData sheetId="0" refreshError="1"/>
      <sheetData sheetId="1"/>
      <sheetData sheetId="2" refreshError="1"/>
      <sheetData sheetId="3" refreshError="1"/>
      <sheetData sheetId="4" refreshError="1"/>
      <sheetData sheetId="5" refreshError="1"/>
      <sheetData sheetId="6"/>
      <sheetData sheetId="7"/>
      <sheetData sheetId="8"/>
      <sheetData sheetId="9"/>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stribuzione"/>
      <sheetName val="tv"/>
      <sheetName val="mediatensione"/>
      <sheetName val="interruttori"/>
      <sheetName val="terra"/>
      <sheetName val="Cap.1.01.1"/>
      <sheetName val="Cap.1.01.2"/>
      <sheetName val="Cap.1.01.3"/>
      <sheetName val="Cap.1.02.1"/>
      <sheetName val="Cap.1.02.2"/>
      <sheetName val="Cap.1.02.3"/>
      <sheetName val="Cap.1.02.4"/>
      <sheetName val="Cap.1.02.5"/>
      <sheetName val="Cap.1.03"/>
      <sheetName val="Cap.1.04"/>
      <sheetName val="Cap.1.05.1"/>
      <sheetName val="Cap.1.05.2"/>
      <sheetName val="Cap.1.06.1"/>
      <sheetName val="Cap.1.06.2"/>
      <sheetName val="Cap.1.07.1"/>
      <sheetName val="Cap.1.07.2"/>
      <sheetName val="Cap.1.07.3"/>
      <sheetName val="Cap.1.07.4"/>
      <sheetName val="Cap.1.08.1"/>
      <sheetName val="Cap.1.08.2"/>
      <sheetName val="Cap.1.08.3"/>
      <sheetName val="Cap.1.08.4"/>
      <sheetName val="Cap.1.08.5"/>
      <sheetName val="Cap.1.08.6"/>
      <sheetName val="Cap.1.09.1"/>
      <sheetName val="Cap.1.09.2"/>
      <sheetName val="Cap.1.09.3"/>
      <sheetName val="Cap.1.09.4"/>
      <sheetName val="Cap.1.10.1"/>
      <sheetName val="Cap.1.10.2"/>
      <sheetName val="Cap.1.10.3"/>
      <sheetName val="Cap.1.10.4"/>
      <sheetName val="Cap.1.11.1"/>
      <sheetName val="Cap.1.11.2"/>
      <sheetName val="Cap.1.11.3"/>
      <sheetName val="Cap.1.11.4"/>
      <sheetName val="Cap.1.12.1"/>
      <sheetName val="Cap.1.12.2"/>
      <sheetName val="Cap.1.12.3"/>
      <sheetName val="Cap.1.12.4"/>
      <sheetName val="Cap.1.13.1"/>
      <sheetName val="Cap.1.13.2"/>
      <sheetName val="Cap.1.13.3"/>
      <sheetName val="Cap.1.13.4"/>
      <sheetName val="Cap.1.14.1"/>
      <sheetName val="Cap.1.14.2"/>
      <sheetName val="Cap.1.14.3 "/>
      <sheetName val="Cap.1.14.4"/>
      <sheetName val="Cap.1.15.1 "/>
      <sheetName val="Cap.1.15.2 "/>
      <sheetName val="Cap.1.15.3"/>
      <sheetName val="Cap.1.15.4"/>
      <sheetName val="Cap.1.16.1"/>
      <sheetName val="Cap.1.16.2"/>
      <sheetName val="Cap.1.16.3"/>
      <sheetName val="Cap.1.16.4"/>
      <sheetName val="Cap.1.16.5"/>
      <sheetName val="Cap.1.17.1"/>
      <sheetName val="Cap.1.17.2"/>
      <sheetName val="Cap.1.18.1"/>
      <sheetName val="Cap.1.18.2"/>
      <sheetName val="Cap.1.18.3"/>
      <sheetName val="Cap.1.18.4"/>
      <sheetName val="Cap. 2.01"/>
      <sheetName val="Cap. 2.02"/>
      <sheetName val="Cap. 2.03"/>
      <sheetName val="Cap. 2.04"/>
      <sheetName val="Cap. 2.05"/>
      <sheetName val="Cap.2.06"/>
      <sheetName val="Cap2.07"/>
      <sheetName val="Cap.3.1"/>
      <sheetName val="Cap.3.2"/>
      <sheetName val="Cap.3.3"/>
      <sheetName val="Cap.3.4 "/>
      <sheetName val="Cap.3.5"/>
      <sheetName val="Cap.3.6"/>
      <sheetName val="Cap.3.7.1"/>
      <sheetName val="Cap.3.7.2"/>
      <sheetName val="Cap.3.7.3"/>
      <sheetName val="Cap.3.7.4"/>
      <sheetName val="Cap.3.8.1"/>
      <sheetName val="Cap.3.8.2"/>
      <sheetName val="Cap.3.8.3"/>
      <sheetName val="Cap.3.9.1"/>
      <sheetName val="Cap.3.9.2"/>
      <sheetName val="Cap.3.10"/>
      <sheetName val="Cap.3.11.1"/>
      <sheetName val="Cap.3.11.2"/>
      <sheetName val="Cap.3.11.3"/>
      <sheetName val="Cap.3.12"/>
      <sheetName val="Cap.3.13"/>
      <sheetName val="Cap.4.01"/>
      <sheetName val="Cap.4.02"/>
      <sheetName val="Cap.4.03"/>
      <sheetName val="Cap.4.04"/>
      <sheetName val="Cap.5.01"/>
      <sheetName val="Cap.5.02 "/>
      <sheetName val="Cap.5.03"/>
      <sheetName val="Cap.5.04  "/>
      <sheetName val="Cap.6.01 "/>
      <sheetName val="Cap.6.02 "/>
      <sheetName val="Cap.6.03 "/>
      <sheetName val="Cap.6.04"/>
      <sheetName val="Cap.7.01"/>
      <sheetName val="Cap.7.02 "/>
      <sheetName val="Cap.7.03"/>
      <sheetName val="Cap.7.04"/>
      <sheetName val="Cap.8.01"/>
      <sheetName val="Cap.8.02 "/>
      <sheetName val="Cap.8.03 "/>
      <sheetName val="Cap.8.04 "/>
      <sheetName val="Cap.9.01 "/>
      <sheetName val="Cap.9.02 "/>
      <sheetName val="Cap.9.03 "/>
      <sheetName val="Cap.9.04"/>
      <sheetName val="Cap. riepilogo"/>
      <sheetName val="COMPUTO fondazioni"/>
      <sheetName val="Cap_1_01_1"/>
      <sheetName val="Cap_1_01_2"/>
      <sheetName val="Cap_1_01_3"/>
      <sheetName val="Cap_1_02_1"/>
      <sheetName val="Cap_1_02_2"/>
      <sheetName val="Cap_1_02_3"/>
      <sheetName val="Cap_1_02_4"/>
      <sheetName val="Cap_1_02_5"/>
      <sheetName val="Cap_1_03"/>
      <sheetName val="Cap_1_04"/>
      <sheetName val="Cap_1_05_1"/>
      <sheetName val="Cap_1_05_2"/>
      <sheetName val="Cap_1_06_1"/>
      <sheetName val="Cap_1_06_2"/>
      <sheetName val="Cap_1_07_1"/>
      <sheetName val="Cap_1_07_2"/>
      <sheetName val="Cap_1_07_3"/>
      <sheetName val="Cap_1_07_4"/>
      <sheetName val="Cap_1_08_1"/>
      <sheetName val="Cap_1_08_2"/>
      <sheetName val="Cap_1_08_3"/>
      <sheetName val="Cap_1_08_4"/>
      <sheetName val="Cap_1_08_5"/>
      <sheetName val="Cap_1_08_6"/>
      <sheetName val="Cap_1_09_1"/>
      <sheetName val="Cap_1_09_2"/>
      <sheetName val="Cap_1_09_3"/>
      <sheetName val="Cap_1_09_4"/>
      <sheetName val="Cap_1_10_1"/>
      <sheetName val="Cap_1_10_2"/>
      <sheetName val="Cap_1_10_3"/>
      <sheetName val="Cap_1_10_4"/>
      <sheetName val="Cap_1_11_1"/>
      <sheetName val="Cap_1_11_2"/>
      <sheetName val="Cap_1_11_3"/>
      <sheetName val="Cap_1_11_4"/>
      <sheetName val="Cap_1_12_1"/>
      <sheetName val="Cap_1_12_2"/>
      <sheetName val="Cap_1_12_3"/>
      <sheetName val="Cap_1_12_4"/>
      <sheetName val="Cap_1_13_1"/>
      <sheetName val="Cap_1_13_2"/>
      <sheetName val="Cap_1_13_3"/>
      <sheetName val="Cap_1_13_4"/>
      <sheetName val="Cap_1_14_1"/>
      <sheetName val="Cap_1_14_2"/>
      <sheetName val="Cap_1_14_3_"/>
      <sheetName val="Cap_1_14_4"/>
      <sheetName val="Cap_1_15_1_"/>
      <sheetName val="Cap_1_15_2_"/>
      <sheetName val="Cap_1_15_3"/>
      <sheetName val="Cap_1_15_4"/>
      <sheetName val="Cap_1_16_1"/>
      <sheetName val="Cap_1_16_2"/>
      <sheetName val="Cap_1_16_3"/>
      <sheetName val="Cap_1_16_4"/>
      <sheetName val="Cap_1_16_5"/>
      <sheetName val="Cap_1_17_1"/>
      <sheetName val="Cap_1_17_2"/>
      <sheetName val="Cap_1_18_1"/>
      <sheetName val="Cap_1_18_2"/>
      <sheetName val="Cap_1_18_3"/>
      <sheetName val="Cap_1_18_4"/>
      <sheetName val="Cap__2_01"/>
      <sheetName val="Cap__2_02"/>
      <sheetName val="Cap__2_03"/>
      <sheetName val="Cap__2_04"/>
      <sheetName val="Cap__2_05"/>
      <sheetName val="Cap_2_06"/>
      <sheetName val="Cap2_07"/>
      <sheetName val="Cap_3_1"/>
      <sheetName val="Cap_3_2"/>
      <sheetName val="Cap_3_3"/>
      <sheetName val="Cap_3_4_"/>
      <sheetName val="Cap_3_5"/>
      <sheetName val="Cap_3_6"/>
      <sheetName val="Cap_3_7_1"/>
      <sheetName val="Cap_3_7_2"/>
      <sheetName val="Cap_3_7_3"/>
      <sheetName val="Cap_3_7_4"/>
      <sheetName val="Cap_3_8_1"/>
      <sheetName val="Cap_3_8_2"/>
      <sheetName val="Cap_3_8_3"/>
      <sheetName val="Cap_3_9_1"/>
      <sheetName val="Cap_3_9_2"/>
      <sheetName val="Cap_3_10"/>
      <sheetName val="Cap_3_11_1"/>
      <sheetName val="Cap_3_11_2"/>
      <sheetName val="Cap_3_11_3"/>
      <sheetName val="Cap_3_12"/>
      <sheetName val="Cap_3_13"/>
      <sheetName val="Cap_4_01"/>
      <sheetName val="Cap_4_02"/>
      <sheetName val="Cap_4_03"/>
      <sheetName val="Cap_4_04"/>
      <sheetName val="Cap_5_01"/>
      <sheetName val="Cap_5_02_"/>
      <sheetName val="Cap_5_03"/>
      <sheetName val="Cap_5_04__"/>
      <sheetName val="Cap_6_01_"/>
      <sheetName val="Cap_6_02_"/>
      <sheetName val="Cap_6_03_"/>
      <sheetName val="Cap_6_04"/>
      <sheetName val="Cap_7_01"/>
      <sheetName val="Cap_7_02_"/>
      <sheetName val="Cap_7_03"/>
      <sheetName val="Cap_7_04"/>
      <sheetName val="Cap_8_01"/>
      <sheetName val="Cap_8_02_"/>
      <sheetName val="Cap_8_03_"/>
      <sheetName val="Cap_8_04_"/>
      <sheetName val="Cap_9_01_"/>
      <sheetName val="Cap_9_02_"/>
      <sheetName val="Cap_9_03_"/>
      <sheetName val="Cap_9_04"/>
      <sheetName val="Cap__riepilogo"/>
      <sheetName val="COMPUTO_fondazioni"/>
      <sheetName val="Cap_1_01_11"/>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refreshError="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pr-6qr"/>
      <sheetName val="PPR FC"/>
      <sheetName val="mpr_6qr"/>
      <sheetName val="PPR_FC"/>
    </sheetNames>
    <sheetDataSet>
      <sheetData sheetId="0" refreshError="1"/>
      <sheetData sheetId="1"/>
      <sheetData sheetId="2"/>
      <sheetData sheetId="3"/>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stribuzione"/>
      <sheetName val="tv"/>
      <sheetName val="mediatensione"/>
      <sheetName val="interruttori"/>
      <sheetName val="terra"/>
      <sheetName val="CAP.1"/>
      <sheetName val="Cap. 1.1.1.2"/>
      <sheetName val="Cap. 1.1.1.3"/>
      <sheetName val="Cap. 1.1.1.4"/>
      <sheetName val="Cap. 1.1.1.5"/>
      <sheetName val="Cap. 1.1.1.6"/>
      <sheetName val="Cap. 1.1.1.7"/>
      <sheetName val="Cap. 1.1.2"/>
      <sheetName val="Cap. 1.1.3"/>
      <sheetName val="Cap. 1.1.4.1"/>
      <sheetName val="Cap. 1.1.4.2"/>
      <sheetName val="Cap. 1.1.5.1"/>
      <sheetName val="Cap. 1.1.5.2"/>
      <sheetName val="Cap. 1.1.6.1"/>
      <sheetName val="Cap. 1.1.6.2"/>
      <sheetName val="Cap. 1.1.6.3"/>
      <sheetName val="Cap. 1.1.6.4"/>
      <sheetName val="Cap. 1.1.6.5"/>
      <sheetName val="Cap. 1.2.1"/>
      <sheetName val="Cap. 1.2.2.1"/>
      <sheetName val="Cap. 1.2.2.2"/>
      <sheetName val="Cap. 1.2.2.3"/>
      <sheetName val="Cap. 1.2.2.4"/>
      <sheetName val="Cap. 1.2.3"/>
      <sheetName val="Cap. 1.2.4"/>
      <sheetName val="Cap. 1.2.5.1"/>
      <sheetName val="Cap. 1.2.5.2"/>
      <sheetName val="Cap. 1.2.5.3"/>
      <sheetName val="Cap. 1.3.1"/>
      <sheetName val="Cap. 1.3.2"/>
      <sheetName val="Cap. 1.4.1"/>
      <sheetName val="Cap. 1.4.2"/>
      <sheetName val="Cap. 1.4.3"/>
      <sheetName val="Cap. 1.4.4"/>
      <sheetName val="Cap. 1.4.5"/>
      <sheetName val="Cap. 1.5.1"/>
      <sheetName val="Cap.1.5.2"/>
      <sheetName val="Cap. 1.5.3"/>
      <sheetName val="Cap.1.5.4"/>
      <sheetName val="Cap. 1.5.5"/>
      <sheetName val="Cap. 1.6.1"/>
      <sheetName val="Cap. 1.6.2"/>
      <sheetName val="Cap. 1.6.3"/>
      <sheetName val="Cap. 1.6.4"/>
      <sheetName val="Cap. 1.6.5"/>
      <sheetName val="Cap. 1.6.6"/>
      <sheetName val="Cap. 1.7.1"/>
      <sheetName val="Cap. 1.7.2"/>
      <sheetName val="Cap. 1.7.3"/>
      <sheetName val="Cap. 1.7.4"/>
      <sheetName val="Cap. 1.7.5"/>
      <sheetName val="Cap. 1.8.1"/>
      <sheetName val="Cap. 1.8.2"/>
      <sheetName val="Cap. 1.9.1"/>
      <sheetName val="Cap. 1.9.2"/>
      <sheetName val="Cap. 1.9.3"/>
      <sheetName val="Cap. 1.9.4"/>
      <sheetName val="Cap. 1.10"/>
      <sheetName val="Cap. 2.1"/>
      <sheetName val="Cap. 2.2"/>
      <sheetName val="Cap. 2.3"/>
      <sheetName val="Cap. 2.4"/>
      <sheetName val="Cap. 2.5"/>
      <sheetName val="Cap. 2.6"/>
      <sheetName val="Cap. 3.1.1.0"/>
      <sheetName val="Cap. 3.1.1.1"/>
      <sheetName val="Cap. 3.1.1.2"/>
      <sheetName val="Cap. 3.1.1.3"/>
      <sheetName val="Cap. 3.1.1.4"/>
      <sheetName val="Cap. 3.1.1.5"/>
      <sheetName val="Cap. 3.1.1.6"/>
      <sheetName val="Cap. 3.1.2"/>
      <sheetName val="Cap. 3.1.3"/>
      <sheetName val="Cap. 3.1.4.1"/>
      <sheetName val="Cap. 3.1.4.2"/>
      <sheetName val="Cap. 3.1.5.1"/>
      <sheetName val="Cap. 3.1.5.2"/>
      <sheetName val="Cap. 3.1.6.1"/>
      <sheetName val="Cap. 3.1.6.2"/>
      <sheetName val="Cap.3.1.6.3"/>
      <sheetName val="Cap. 3.1.6.4"/>
      <sheetName val="Cap. 3.1.6.5"/>
      <sheetName val="Cap. 3.2.1"/>
      <sheetName val="Cap. 3.2.2"/>
      <sheetName val="Cap. 3.2.3"/>
      <sheetName val="Cap. 3.2.4"/>
      <sheetName val="Cap. 3.3.1"/>
      <sheetName val="Cap. 3.3.2"/>
      <sheetName val="Cap. 3.4.1"/>
      <sheetName val="Cap. 3.4.2"/>
      <sheetName val="Cap. 3.5.1"/>
      <sheetName val="Cap. 3.5.2"/>
      <sheetName val="Cap. 3.5.3"/>
      <sheetName val="Cap. 3.5.4"/>
      <sheetName val="Cap. 3.6.1"/>
      <sheetName val="Cap. 3.6.2"/>
      <sheetName val="Cap. 3.6.3"/>
      <sheetName val="Cap. 3.6.4"/>
      <sheetName val="Cap. 3.7.1"/>
      <sheetName val="Cap. 3.7.2"/>
      <sheetName val="Cap. 3.7.4"/>
      <sheetName val="Cap. 3.8.1"/>
      <sheetName val="Cap. 3.8.2"/>
      <sheetName val="Cap. 3.8.3"/>
      <sheetName val="Cap. 3.8.4"/>
      <sheetName val="Cap. 3.9"/>
      <sheetName val="Cap. 4"/>
      <sheetName val="CAP_1"/>
      <sheetName val="Cap__1_1_1_2"/>
      <sheetName val="Cap__1_1_1_3"/>
      <sheetName val="Cap__1_1_1_4"/>
      <sheetName val="Cap__1_1_1_5"/>
      <sheetName val="Cap__1_1_1_6"/>
      <sheetName val="Cap__1_1_1_7"/>
      <sheetName val="Cap__1_1_2"/>
      <sheetName val="Cap__1_1_3"/>
      <sheetName val="Cap__1_1_4_1"/>
      <sheetName val="Cap__1_1_4_2"/>
      <sheetName val="Cap__1_1_5_1"/>
      <sheetName val="Cap__1_1_5_2"/>
      <sheetName val="Cap__1_1_6_1"/>
      <sheetName val="Cap__1_1_6_2"/>
      <sheetName val="Cap__1_1_6_3"/>
      <sheetName val="Cap__1_1_6_4"/>
      <sheetName val="Cap__1_1_6_5"/>
      <sheetName val="Cap__1_2_1"/>
      <sheetName val="Cap__1_2_2_1"/>
      <sheetName val="Cap__1_2_2_2"/>
      <sheetName val="Cap__1_2_2_3"/>
      <sheetName val="Cap__1_2_2_4"/>
      <sheetName val="Cap__1_2_3"/>
      <sheetName val="Cap__1_2_4"/>
      <sheetName val="Cap__1_2_5_1"/>
      <sheetName val="Cap__1_2_5_2"/>
      <sheetName val="Cap__1_2_5_3"/>
      <sheetName val="Cap__1_3_1"/>
      <sheetName val="Cap__1_3_2"/>
      <sheetName val="Cap__1_4_1"/>
      <sheetName val="Cap__1_4_2"/>
      <sheetName val="Cap__1_4_3"/>
      <sheetName val="Cap__1_4_4"/>
      <sheetName val="Cap__1_4_5"/>
      <sheetName val="Cap__1_5_1"/>
      <sheetName val="Cap_1_5_2"/>
      <sheetName val="Cap__1_5_3"/>
      <sheetName val="Cap_1_5_4"/>
      <sheetName val="Cap__1_5_5"/>
      <sheetName val="Cap__1_6_1"/>
      <sheetName val="Cap__1_6_2"/>
      <sheetName val="Cap__1_6_3"/>
      <sheetName val="Cap__1_6_4"/>
      <sheetName val="Cap__1_6_5"/>
      <sheetName val="Cap__1_6_6"/>
      <sheetName val="Cap__1_7_1"/>
      <sheetName val="Cap__1_7_2"/>
      <sheetName val="Cap__1_7_3"/>
      <sheetName val="Cap__1_7_4"/>
      <sheetName val="Cap__1_7_5"/>
      <sheetName val="Cap__1_8_1"/>
      <sheetName val="Cap__1_8_2"/>
      <sheetName val="Cap__1_9_1"/>
      <sheetName val="Cap__1_9_2"/>
      <sheetName val="Cap__1_9_3"/>
      <sheetName val="Cap__1_9_4"/>
      <sheetName val="Cap__1_10"/>
      <sheetName val="Cap__2_1"/>
      <sheetName val="Cap__2_2"/>
      <sheetName val="Cap__2_3"/>
      <sheetName val="Cap__2_4"/>
      <sheetName val="Cap__2_5"/>
      <sheetName val="Cap__2_6"/>
      <sheetName val="Cap__3_1_1_0"/>
      <sheetName val="Cap__3_1_1_1"/>
      <sheetName val="Cap__3_1_1_2"/>
      <sheetName val="Cap__3_1_1_3"/>
      <sheetName val="Cap__3_1_1_4"/>
      <sheetName val="Cap__3_1_1_5"/>
      <sheetName val="Cap__3_1_1_6"/>
      <sheetName val="Cap__3_1_2"/>
      <sheetName val="Cap__3_1_3"/>
      <sheetName val="Cap__3_1_4_1"/>
      <sheetName val="Cap__3_1_4_2"/>
      <sheetName val="Cap__3_1_5_1"/>
      <sheetName val="Cap__3_1_5_2"/>
      <sheetName val="Cap__3_1_6_1"/>
      <sheetName val="Cap__3_1_6_2"/>
      <sheetName val="Cap_3_1_6_3"/>
      <sheetName val="Cap__3_1_6_4"/>
      <sheetName val="Cap__3_1_6_5"/>
      <sheetName val="Cap__3_2_1"/>
      <sheetName val="Cap__3_2_2"/>
      <sheetName val="Cap__3_2_3"/>
      <sheetName val="Cap__3_2_4"/>
      <sheetName val="Cap__3_3_1"/>
      <sheetName val="Cap__3_3_2"/>
      <sheetName val="Cap__3_4_1"/>
      <sheetName val="Cap__3_4_2"/>
      <sheetName val="Cap__3_5_1"/>
      <sheetName val="Cap__3_5_2"/>
      <sheetName val="Cap__3_5_3"/>
      <sheetName val="Cap__3_5_4"/>
      <sheetName val="Cap__3_6_1"/>
      <sheetName val="Cap__3_6_2"/>
      <sheetName val="Cap__3_6_3"/>
      <sheetName val="Cap__3_6_4"/>
      <sheetName val="Cap__3_7_1"/>
      <sheetName val="Cap__3_7_2"/>
      <sheetName val="Cap__3_7_4"/>
      <sheetName val="Cap__3_8_1"/>
      <sheetName val="Cap__3_8_2"/>
      <sheetName val="Cap__3_8_3"/>
      <sheetName val="Cap__3_8_4"/>
      <sheetName val="Cap__3_9"/>
      <sheetName val="Cap__4"/>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IF"/>
      <sheetName val="_RIF"/>
    </sheetNames>
    <sheetDataSet>
      <sheetData sheetId="0" refreshError="1"/>
      <sheetData sheetId="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ME"/>
      <sheetName val="Eventi di fatturazione Excel"/>
      <sheetName val="Eventi di fatturazione pivot"/>
      <sheetName val="PLO - Pivot"/>
      <sheetName val="PLO - Excel"/>
      <sheetName val="preventivo-budget"/>
      <sheetName val="fornitori scelti"/>
      <sheetName val="fornitori da scegliere"/>
      <sheetName val="CdC x sel. breve"/>
      <sheetName val="Eventi di fatturazione"/>
      <sheetName val="cme prova"/>
      <sheetName val="Eventi_di_fatturazione_Excel"/>
      <sheetName val="Eventi_di_fatturazione_pivot"/>
      <sheetName val="PLO_-_Pivot"/>
      <sheetName val="PLO_-_Excel"/>
      <sheetName val="fornitori_scelti"/>
      <sheetName val="fornitori_da_scegliere"/>
      <sheetName val="CdC_x_sel__breve"/>
      <sheetName val="Eventi_di_fatturazione"/>
      <sheetName val="cme_prova"/>
      <sheetName val="WBS"/>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sheetData sheetId="12"/>
      <sheetData sheetId="13"/>
      <sheetData sheetId="14"/>
      <sheetData sheetId="15"/>
      <sheetData sheetId="16"/>
      <sheetData sheetId="17"/>
      <sheetData sheetId="18"/>
      <sheetData sheetId="19"/>
      <sheetData sheetId="2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IEPILOGO "/>
      <sheetName val="STIMA"/>
      <sheetName val="CENTRI DI COSTO"/>
      <sheetName val="RIEPILOGO BGA"/>
      <sheetName val="ANALISI OPERE STRUTTURALI"/>
      <sheetName val="ANALISI OPERE DI FINITURA"/>
      <sheetName val="ELENCO PREZZI"/>
      <sheetName val="PIVOT"/>
      <sheetName val="CMA P-2"/>
      <sheetName val="CMA P-1"/>
      <sheetName val="CMA PT"/>
      <sheetName val="CMA P1"/>
      <sheetName val="CMA P2"/>
      <sheetName val="COPERTURA"/>
      <sheetName val="VARIE"/>
      <sheetName val="FACCIATE"/>
      <sheetName val="EPU"/>
      <sheetName val="RIEPILOGO_"/>
      <sheetName val="CENTRI_DI_COSTO"/>
      <sheetName val="RIEPILOGO_BGA"/>
      <sheetName val="ANALISI_OPERE_STRUTTURALI"/>
      <sheetName val="ANALISI_OPERE_DI_FINITURA"/>
      <sheetName val="ELENCO_PREZZI"/>
      <sheetName val="CMA_P-2"/>
      <sheetName val="CMA_P-1"/>
      <sheetName val="CMA_PT"/>
      <sheetName val="CMA_P1"/>
      <sheetName val="CMA_P2"/>
      <sheetName val="file dati"/>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sheetData sheetId="19"/>
      <sheetData sheetId="20"/>
      <sheetData sheetId="21"/>
      <sheetData sheetId="22"/>
      <sheetData sheetId="23"/>
      <sheetData sheetId="24"/>
      <sheetData sheetId="25"/>
      <sheetData sheetId="26"/>
      <sheetData sheetId="27"/>
      <sheetData sheetId="28"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ME aggiornato"/>
      <sheetName val="COST GROUPS"/>
      <sheetName val="CME_aggiornato"/>
      <sheetName val="COST_GROUPS"/>
      <sheetName val="file dati"/>
    </sheetNames>
    <sheetDataSet>
      <sheetData sheetId="0" refreshError="1"/>
      <sheetData sheetId="1" refreshError="1"/>
      <sheetData sheetId="2"/>
      <sheetData sheetId="3"/>
      <sheetData sheetId="4"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E DI COMPILAZIONE"/>
      <sheetName val="Riepilogo"/>
      <sheetName val="LCF"/>
      <sheetName val="WBS"/>
      <sheetName val="CM"/>
      <sheetName val="Opere Opzionali"/>
      <sheetName val="Opere Opzionali - Serramenti"/>
      <sheetName val="Opere aggiuntive"/>
      <sheetName val="Proposte tecniche migliorative"/>
    </sheetNames>
    <sheetDataSet>
      <sheetData sheetId="0"/>
      <sheetData sheetId="1"/>
      <sheetData sheetId="2"/>
      <sheetData sheetId="3"/>
      <sheetData sheetId="4"/>
      <sheetData sheetId="5"/>
      <sheetData sheetId="6"/>
      <sheetData sheetId="7"/>
      <sheetData sheetId="8"/>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STRUZIONI"/>
      <sheetName val="SCHEDA OFFERTA"/>
      <sheetName val="ABC_STRU-CIV-FAC"/>
      <sheetName val="CM"/>
      <sheetName val="D_ASC"/>
      <sheetName val="E_ELE"/>
      <sheetName val="F_MECC"/>
      <sheetName val="G_LAND"/>
      <sheetName val="H_OPERE AGGIUNTIVE"/>
      <sheetName val="I_ASSISTENZE MURARIE"/>
      <sheetName val="L_23ESIMO PIANO"/>
      <sheetName val="R_VARIANTI"/>
      <sheetName val="riassunto"/>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FO"/>
      <sheetName val="Riepilogo Generale"/>
      <sheetName val="EPU-X OFFERENTE DA COMPILARE"/>
      <sheetName val="MPO"/>
      <sheetName val="0100_opere civili"/>
      <sheetName val="0210_opere str prefabbricate"/>
      <sheetName val="0220_opere str gettate in opera"/>
      <sheetName val="1100_facciate"/>
      <sheetName val="1800_impianti di traslazione"/>
      <sheetName val="2100_esterni"/>
      <sheetName val="3100_costi generali"/>
      <sheetName val="epu-descrizione estesa"/>
    </sheetNames>
    <sheetDataSet>
      <sheetData sheetId="0" refreshError="1"/>
      <sheetData sheetId="1" refreshError="1"/>
      <sheetData sheetId="2"/>
      <sheetData sheetId="3" refreshError="1"/>
      <sheetData sheetId="4"/>
      <sheetData sheetId="5"/>
      <sheetData sheetId="6"/>
      <sheetData sheetId="7"/>
      <sheetData sheetId="8"/>
      <sheetData sheetId="9"/>
      <sheetData sheetId="10"/>
      <sheetData sheetId="11"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puto_sesti"/>
      <sheetName val="#RIF"/>
      <sheetName val="_RIF"/>
      <sheetName val="COMPUTO fondazioni"/>
      <sheetName val="distribuzione"/>
      <sheetName val="COMPUTO_fondazioni"/>
    </sheetNames>
    <sheetDataSet>
      <sheetData sheetId="0" refreshError="1"/>
      <sheetData sheetId="1" refreshError="1"/>
      <sheetData sheetId="2"/>
      <sheetData sheetId="3" refreshError="1"/>
      <sheetData sheetId="4" refreshError="1"/>
      <sheetData sheetId="5"/>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lenco"/>
      <sheetName val="Separazione"/>
      <sheetName val="Riepilogo"/>
      <sheetName val="Foglio2"/>
      <sheetName val="q144a-02"/>
      <sheetName val="q144a_02"/>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plift Factor Table"/>
      <sheetName val="mpr-6qr"/>
      <sheetName val="Uplift_Factor_Table"/>
    </sheetNames>
    <sheetDataSet>
      <sheetData sheetId="0" refreshError="1"/>
      <sheetData sheetId="1" refreshError="1"/>
      <sheetData sheetId="2"/>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ando"/>
      <sheetName val="Alloggi"/>
      <sheetName val="Hangar"/>
      <sheetName val="Piazz Rull"/>
      <sheetName val="Parcheggio"/>
      <sheetName val="Centrali"/>
      <sheetName val="Nuovi PR"/>
      <sheetName val="Foglio3"/>
      <sheetName val="Canali"/>
      <sheetName val="Analisi NP1"/>
      <sheetName val="#RIF"/>
      <sheetName val="Piazz_Rull"/>
      <sheetName val="Piazz_Rull1"/>
      <sheetName val="Nuovi_PR"/>
      <sheetName val="Analisi_NP1"/>
    </sheetNames>
    <sheetDataSet>
      <sheetData sheetId="0"/>
      <sheetData sheetId="1" refreshError="1"/>
      <sheetData sheetId="2" refreshError="1"/>
      <sheetData sheetId="3" refreshError="1"/>
      <sheetData sheetId="4" refreshError="1"/>
      <sheetData sheetId="5"/>
      <sheetData sheetId="6" refreshError="1"/>
      <sheetData sheetId="7"/>
      <sheetData sheetId="8" refreshError="1"/>
      <sheetData sheetId="9" refreshError="1"/>
      <sheetData sheetId="10" refreshError="1"/>
      <sheetData sheetId="11" refreshError="1"/>
      <sheetData sheetId="12"/>
      <sheetData sheetId="13"/>
      <sheetData sheetId="1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EVENTIVO"/>
      <sheetName val="2°pag."/>
      <sheetName val="COSTI DIRETTI 150lux"/>
      <sheetName val="COSTI DIRETTI (2) 100 lux"/>
      <sheetName val="Total (2)"/>
      <sheetName val="Total (3)"/>
      <sheetName val="Total"/>
      <sheetName val="Elec B8"/>
      <sheetName val="Bureaux"/>
      <sheetName val="TD"/>
      <sheetName val="Cable"/>
      <sheetName val="modifica quadri"/>
      <sheetName val="emergenza"/>
      <sheetName val="scariche at"/>
      <sheetName val="metri quadri"/>
      <sheetName val="Poste Transfo"/>
      <sheetName val="Salle charge"/>
      <sheetName val="distribuzione"/>
      <sheetName val="CM"/>
      <sheetName val="2°pag_"/>
      <sheetName val="COSTI_DIRETTI_150lux"/>
      <sheetName val="COSTI_DIRETTI_(2)_100_lux"/>
      <sheetName val="Total_(2)"/>
      <sheetName val="Total_(3)"/>
      <sheetName val="Elec_B8"/>
      <sheetName val="modifica_quadri"/>
      <sheetName val="scariche_at"/>
      <sheetName val="metri_quadri"/>
      <sheetName val="Poste_Transfo"/>
      <sheetName val="Salle_charge"/>
    </sheetNames>
    <sheetDataSet>
      <sheetData sheetId="0" refreshError="1"/>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eventivo-budget"/>
      <sheetName val="fornitori scelti"/>
      <sheetName val="fornitori da scegliere"/>
      <sheetName val="tempi e fornitori"/>
      <sheetName val="WBS"/>
      <sheetName val="Budget &quot;0&quot;"/>
      <sheetName val="Confronto Budget"/>
    </sheetNames>
    <sheetDataSet>
      <sheetData sheetId="0"/>
      <sheetData sheetId="1"/>
      <sheetData sheetId="2"/>
      <sheetData sheetId="3"/>
      <sheetData sheetId="4"/>
      <sheetData sheetId="5"/>
      <sheetData sheetId="6"/>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stribuzione"/>
      <sheetName val="tv"/>
      <sheetName val="mediatensione"/>
      <sheetName val="interruttori"/>
      <sheetName val="terra"/>
      <sheetName val="Cap.1.19.1"/>
      <sheetName val="Cap.1.19.2"/>
      <sheetName val="Cap.1.20.1"/>
      <sheetName val="Cap.1.20.2"/>
      <sheetName val="Cap.1.20.3"/>
      <sheetName val="Cap.1.20.4"/>
      <sheetName val="Cap.1.21.1"/>
      <sheetName val="Cap.1.21.2"/>
      <sheetName val="Cap.1.21.3"/>
      <sheetName val="Cap.1.22.1"/>
      <sheetName val="Cap.1.22.2"/>
      <sheetName val="Cap.1.23"/>
      <sheetName val="Cap.1.24.1"/>
      <sheetName val="Cap.1.24.2"/>
      <sheetName val="Cap.1.24.3"/>
      <sheetName val="Cap.1.25"/>
      <sheetName val="Cap.4.01 "/>
      <sheetName val="Cap.4.02 "/>
      <sheetName val="Cap.4.03 "/>
      <sheetName val="Cap.4.04"/>
      <sheetName val="Cap. riepilogo"/>
      <sheetName val="Cap_ riepilogo"/>
      <sheetName val="#RIF"/>
      <sheetName val="Cap_1_19_1"/>
      <sheetName val="Cap_1_19_2"/>
      <sheetName val="Cap_1_20_1"/>
      <sheetName val="Cap_1_20_2"/>
      <sheetName val="Cap_1_20_3"/>
      <sheetName val="Cap_1_20_4"/>
      <sheetName val="Cap_1_21_1"/>
      <sheetName val="Cap_1_21_2"/>
      <sheetName val="Cap_1_21_3"/>
      <sheetName val="Cap_1_22_1"/>
      <sheetName val="Cap_1_22_2"/>
      <sheetName val="Cap_1_23"/>
      <sheetName val="Cap_1_24_1"/>
      <sheetName val="Cap_1_24_2"/>
      <sheetName val="Cap_1_24_3"/>
      <sheetName val="Cap_1_25"/>
      <sheetName val="Cap_4_01_"/>
      <sheetName val="Cap_4_02_"/>
      <sheetName val="Cap_4_03_"/>
      <sheetName val="Cap_4_04"/>
      <sheetName val="Cap__riepilogo"/>
      <sheetName val="Cap__riepilogo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iepilogo"/>
    </sheetNames>
    <sheetDataSet>
      <sheetData sheetId="0"/>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gram 93 Data"/>
      <sheetName val="#RIF"/>
      <sheetName val="Program_93_Data"/>
      <sheetName val="file dati"/>
      <sheetName val="distribuzione"/>
      <sheetName val="interruttori"/>
      <sheetName val="tv"/>
      <sheetName val="terra"/>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usiness Plan Summary"/>
      <sheetName val="Business Plan Detail"/>
      <sheetName val="#RIF"/>
      <sheetName val="Elenco"/>
      <sheetName val="Business_Plan_Summary"/>
      <sheetName val="Business_Plan_Detail"/>
    </sheetNames>
    <sheetDataSet>
      <sheetData sheetId="0" refreshError="1"/>
      <sheetData sheetId="1"/>
      <sheetData sheetId="2" refreshError="1"/>
      <sheetData sheetId="3" refreshError="1"/>
      <sheetData sheetId="4"/>
      <sheetData sheetId="5"/>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puto"/>
      <sheetName val="Parametri"/>
    </sheetNames>
    <sheetDataSet>
      <sheetData sheetId="0" refreshError="1"/>
      <sheetData sheetId="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iassunto_prezzi"/>
      <sheetName val="Fire"/>
      <sheetName val="EVAC"/>
      <sheetName val="CO-EXP"/>
      <sheetName val="TVCC"/>
      <sheetName val=" Antintrusione"/>
      <sheetName val="Accessi"/>
      <sheetName val="Presenze"/>
      <sheetName val="Autorimessa"/>
      <sheetName val="Fughe acqua"/>
      <sheetName val="Elettrici"/>
      <sheetName val="BMS"/>
      <sheetName val="Introduzione"/>
      <sheetName val="Uplift Factor Table"/>
      <sheetName val="_Antintrusione"/>
      <sheetName val="Fughe_acqua"/>
      <sheetName val="Uplift_Factor_Tabl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sheetData sheetId="15"/>
      <sheetData sheetId="16"/>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rutturali A pali"/>
      <sheetName val="dettaglio A"/>
      <sheetName val="MICROPALI"/>
      <sheetName val="strutturali B bunker"/>
      <sheetName val="dettaglio B "/>
      <sheetName val=" ferro B"/>
      <sheetName val="CLS"/>
      <sheetName val="ferro-rete"/>
      <sheetName val="analisi"/>
      <sheetName val="strutturali C avancorpo"/>
      <sheetName val="dettaglio C"/>
      <sheetName val="solaio lastral"/>
      <sheetName val="analisi varie "/>
      <sheetName val="strutturali D edificio centrale"/>
      <sheetName val="dettaglio D"/>
      <sheetName val=" ferro D"/>
      <sheetName val="strutturali E volumi tecnici"/>
      <sheetName val="dettaglio E"/>
      <sheetName val=" ferro E"/>
      <sheetName val="CARPENTERIA"/>
      <sheetName val="strutturali F scala metallica"/>
      <sheetName val="dettaglio F"/>
      <sheetName val="RIEPILOGO"/>
      <sheetName val="RIEPILOGO TOT"/>
      <sheetName val="elenco prezzi"/>
      <sheetName val="AIUTO"/>
      <sheetName val="PULSANTI"/>
      <sheetName val="DATI GENERALI"/>
      <sheetName val="COMPUTO INTERNO"/>
      <sheetName val="COMPUTO"/>
      <sheetName val="PREPARA UNITARI"/>
      <sheetName val="MATERIALI-MO"/>
      <sheetName val="M-MO SCORTA"/>
      <sheetName val="ELENCHI"/>
      <sheetName val="cover"/>
      <sheetName val="OFFERTA"/>
      <sheetName val="QUADRO TOTALE"/>
      <sheetName val="costi indiretti"/>
      <sheetName val="superfici"/>
      <sheetName val="D S"/>
      <sheetName val="DS carpenteria"/>
      <sheetName val="HIBOND"/>
      <sheetName val="D E"/>
      <sheetName val="superfici via mentana"/>
      <sheetName val="base"/>
      <sheetName val="DIAFRAMMI 40"/>
      <sheetName val="DIAFRAMMI 50"/>
      <sheetName val="MICROPALI "/>
      <sheetName val="analisi murature"/>
      <sheetName val="sottofondi"/>
      <sheetName val="canne ventilazione"/>
      <sheetName val="pavimento industriale "/>
      <sheetName val="rampa"/>
      <sheetName val="igloo"/>
      <sheetName val="massetto"/>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EVENTIVO"/>
      <sheetName val="2°pag."/>
      <sheetName val="Prima pagina"/>
      <sheetName val="Indice"/>
      <sheetName val="Introduzione"/>
      <sheetName val="Premessa"/>
      <sheetName val="1-Cabina"/>
      <sheetName val="riepilogo"/>
      <sheetName val="staffaggi"/>
      <sheetName val="2°pag_"/>
      <sheetName val="Prima_pagina"/>
    </sheetNames>
    <sheetDataSet>
      <sheetData sheetId="0" refreshError="1"/>
      <sheetData sheetId="1"/>
      <sheetData sheetId="2" refreshError="1"/>
      <sheetData sheetId="3" refreshError="1"/>
      <sheetData sheetId="4" refreshError="1"/>
      <sheetData sheetId="5" refreshError="1"/>
      <sheetData sheetId="6"/>
      <sheetData sheetId="7"/>
      <sheetData sheetId="8" refreshError="1"/>
      <sheetData sheetId="9"/>
      <sheetData sheetId="10"/>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a pagina"/>
      <sheetName val="Comp. 1° vers."/>
      <sheetName val="1° vers.corr."/>
      <sheetName val="dic. 99"/>
      <sheetName val="gen. 00"/>
      <sheetName val="raf. 12-99 e 01-00"/>
      <sheetName val="var.shed"/>
      <sheetName val="Rev. prezzi sup. tot."/>
      <sheetName val="Rev. prezzi senza sopp."/>
      <sheetName val="STRUTTURE"/>
      <sheetName val="FINITURE"/>
      <sheetName val="Comp_ 1_ vers_"/>
      <sheetName val="CM"/>
      <sheetName val="WBS"/>
      <sheetName val="foglio1"/>
      <sheetName val="Pick list"/>
      <sheetName val="riassunto"/>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I OFFERTA"/>
      <sheetName val="Costi SPECIFICI"/>
      <sheetName val="COVER"/>
      <sheetName val="OFFERTA"/>
      <sheetName val="CONFERMA CLI"/>
      <sheetName val="COVER CM"/>
      <sheetName val="CM1"/>
      <sheetName val="CM2"/>
      <sheetName val="CM3"/>
      <sheetName val="CM4"/>
      <sheetName val="CM5"/>
      <sheetName val="CM6"/>
      <sheetName val="CM7"/>
      <sheetName val="CM8"/>
      <sheetName val="CM9"/>
      <sheetName val="CM10"/>
      <sheetName val="CM11"/>
      <sheetName val="CM12"/>
      <sheetName val="CM13"/>
      <sheetName val="CM14"/>
      <sheetName val="CM15"/>
      <sheetName val="CM16"/>
      <sheetName val="CM17"/>
      <sheetName val="CM18"/>
      <sheetName val="CM19"/>
      <sheetName val="CM20"/>
      <sheetName val="CM21"/>
      <sheetName val="CM22"/>
      <sheetName val="CM23"/>
      <sheetName val="CM24"/>
      <sheetName val="CM25"/>
      <sheetName val="CM26"/>
      <sheetName val="CM27"/>
      <sheetName val="CM28"/>
      <sheetName val="CM29"/>
      <sheetName val="CM30"/>
      <sheetName val="PANNELLO RIEP."/>
      <sheetName val="TRATTATIVA"/>
      <sheetName val="Costi BASE"/>
      <sheetName val="cappello"/>
      <sheetName val="DATI_OFFERTA"/>
      <sheetName val="Costi_SPECIFICI"/>
      <sheetName val="CONFERMA_CLI"/>
      <sheetName val="COVER_CM"/>
      <sheetName val="PANNELLO_RIEP_"/>
      <sheetName val="Costi_BASE"/>
      <sheetName val="DATI_OFFERTA1"/>
      <sheetName val="Costi_SPECIFICI1"/>
      <sheetName val="CONFERMA_CLI1"/>
      <sheetName val="COVER_CM1"/>
      <sheetName val="PANNELLO_RIEP_1"/>
      <sheetName val="Costi_BASE1"/>
      <sheetName val="DATI_OFFERTA2"/>
      <sheetName val="Costi_SPECIFICI2"/>
      <sheetName val="CONFERMA_CLI2"/>
      <sheetName val="COVER_CM2"/>
      <sheetName val="PANNELLO_RIEP_2"/>
      <sheetName val="Costi_BASE2"/>
      <sheetName val="DATI_OFFERTA3"/>
      <sheetName val="Costi_SPECIFICI3"/>
      <sheetName val="CONFERMA_CLI3"/>
      <sheetName val="COVER_CM3"/>
      <sheetName val="PANNELLO_RIEP_3"/>
      <sheetName val="Costi_BASE3"/>
      <sheetName val="recap"/>
      <sheetName val="AN-reca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refreshError="1"/>
      <sheetData sheetId="65"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stribuzione (2)"/>
      <sheetName val="tubi-guaine"/>
      <sheetName val="cavi"/>
      <sheetName val="Cap. 1.01.1"/>
      <sheetName val="Cap. 1.01.2"/>
      <sheetName val="Cap. 1.01.3"/>
      <sheetName val="Cap. 1.02"/>
      <sheetName val="Cap. 1.03.1"/>
      <sheetName val="Cap. 1.03.2"/>
      <sheetName val="Cap. 1.04"/>
      <sheetName val="riepilogo"/>
      <sheetName val="tubi_guaine"/>
      <sheetName val="#RIF"/>
      <sheetName val="Cap. riepilogo"/>
      <sheetName val="distribuzione_(2)"/>
      <sheetName val="Cap__1_01_1"/>
      <sheetName val="Cap__1_01_2"/>
      <sheetName val="Cap__1_01_3"/>
      <sheetName val="Cap__1_02"/>
      <sheetName val="Cap__1_03_1"/>
      <sheetName val="Cap__1_03_2"/>
      <sheetName val="Cap__1_04"/>
      <sheetName val="Cap__riepilogo"/>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sheetData sheetId="15"/>
      <sheetData sheetId="16"/>
      <sheetData sheetId="17"/>
      <sheetData sheetId="18"/>
      <sheetData sheetId="19"/>
      <sheetData sheetId="20"/>
      <sheetData sheetId="21"/>
      <sheetData sheetId="22"/>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stribuzione"/>
      <sheetName val="tv"/>
      <sheetName val="mediatensione"/>
      <sheetName val="interruttori"/>
      <sheetName val="terra"/>
      <sheetName val="Cap. 1.1.1.1"/>
      <sheetName val="Cap. 1.1.1.2"/>
      <sheetName val="Cap. 1.1.1.3"/>
      <sheetName val="Cap. 1.1.1.4"/>
      <sheetName val="Cap. 1.1.1.5"/>
      <sheetName val="Cap. 1.1.1.6"/>
      <sheetName val="Cap. 1.1.1.7"/>
      <sheetName val="Cap. 1.1.2"/>
      <sheetName val="Cap. 1.1.3"/>
      <sheetName val="Cap. 1.1.4.1"/>
      <sheetName val="Cap. 1.1.4.2"/>
      <sheetName val="Cap. 1.1.5.1"/>
      <sheetName val="Cap. 1.1.5.2"/>
      <sheetName val="Cap. 1.1.6.1"/>
      <sheetName val="Cap. 1.1.6.2"/>
      <sheetName val="Cap. 1.1.6.3"/>
      <sheetName val="Cap. 1.1.6.4"/>
      <sheetName val="Cap. 1.1.6.5"/>
      <sheetName val="Cap. 1.2.1"/>
      <sheetName val="Cap. 1.2.2.1"/>
      <sheetName val="Cap. 1.2.2.2"/>
      <sheetName val="Cap. 1.2.2.3"/>
      <sheetName val="Cap. 1.2.2.4"/>
      <sheetName val="Cap. 1.2.3"/>
      <sheetName val="Cap. 1.2.4"/>
      <sheetName val="Cap. 1.2.5.1"/>
      <sheetName val="Cap. 1.2.5.2"/>
      <sheetName val="Cap. 1.2.5.3"/>
      <sheetName val="Cap. 1.3.1"/>
      <sheetName val="Cap. 1.3.2"/>
      <sheetName val="Cap. 1.4.1"/>
      <sheetName val="Cap. 1.4.2"/>
      <sheetName val="Cap. 1.4.3"/>
      <sheetName val="Cap. 1.4.4"/>
      <sheetName val="Cap. 1.4.5"/>
      <sheetName val="Cap. 1.5.1"/>
      <sheetName val="Cap.1.5.2"/>
      <sheetName val="Cap. 1.5.3"/>
      <sheetName val="Cap.1.5.4"/>
      <sheetName val="Cap. 1.5.5"/>
      <sheetName val="Cap. 1.6.1"/>
      <sheetName val="Cap. 1.6.2"/>
      <sheetName val="Cap. 1.6.3"/>
      <sheetName val="Cap. 1.6.4"/>
      <sheetName val="Cap. 1.6.5"/>
      <sheetName val="Cap. 1.6.6"/>
      <sheetName val="Cap. 1.7.1"/>
      <sheetName val="Cap. 1.7.2"/>
      <sheetName val="Cap. 1.7.3"/>
      <sheetName val="Cap. 1.7.4"/>
      <sheetName val="Cap. 1.7.5"/>
      <sheetName val="Cap. 1.8.1"/>
      <sheetName val="Cap. 1.8.2"/>
      <sheetName val="Cap. 1.9.1"/>
      <sheetName val="Cap. 1.9.2"/>
      <sheetName val="Cap. 1.9.3"/>
      <sheetName val="Cap. 1.9.4"/>
      <sheetName val="Cap. 1.10"/>
      <sheetName val="Cap. 2.1"/>
      <sheetName val="Cap. 2.2"/>
      <sheetName val="Cap. 2.3"/>
      <sheetName val="Cap. 2.4"/>
      <sheetName val="Cap. 2.5"/>
      <sheetName val="Cap. 2.6"/>
      <sheetName val="Cap. 3.1.1.0"/>
      <sheetName val="Cap. 3.1.1.1"/>
      <sheetName val="Cap. 3.1.1.2"/>
      <sheetName val="Cap. 3.1.1.3"/>
      <sheetName val="Cap. 3.1.1.4"/>
      <sheetName val="Cap. 3.1.1.5"/>
      <sheetName val="Cap. 3.1.1.6"/>
      <sheetName val="Cap. 3.1.2"/>
      <sheetName val="Cap. 3.1.3"/>
      <sheetName val="Cap. 3.1.4.1"/>
      <sheetName val="Cap. 3.1.4.2"/>
      <sheetName val="Cap. 3.1.5.1"/>
      <sheetName val="Cap. 3.1.5.2"/>
      <sheetName val="Cap. 3.1.6.1"/>
      <sheetName val="Cap. 3.1.6.2"/>
      <sheetName val="Cap.3.1.6.3"/>
      <sheetName val="Cap. 3.1.6.4"/>
      <sheetName val="Cap. 3.1.6.5"/>
      <sheetName val="Cap. 3.2.1"/>
      <sheetName val="Cap. 3.2.2"/>
      <sheetName val="Cap. 3.2.3"/>
      <sheetName val="Cap. 3.2.4"/>
      <sheetName val="Cap. 3.3.1"/>
      <sheetName val="Cap. 3.3.2"/>
      <sheetName val="Cap. 3.4.1"/>
      <sheetName val="Cap. 3.4.2"/>
      <sheetName val="Cap. 3.5.1"/>
      <sheetName val="Cap. 3.5.2"/>
      <sheetName val="Cap. 3.5.3"/>
      <sheetName val="Cap. 3.5.4"/>
      <sheetName val="Cap. 3.6.1"/>
      <sheetName val="Cap. 3.6.2"/>
      <sheetName val="Cap. 3.6.3"/>
      <sheetName val="Cap. 3.6.4"/>
      <sheetName val="Cap. 3.7.1"/>
      <sheetName val="Cap. 3.7.2"/>
      <sheetName val="Cap. 3.7.4"/>
      <sheetName val="Cap. 3.8.1"/>
      <sheetName val="Cap. 3.8.2"/>
      <sheetName val="Cap. 3.8.3"/>
      <sheetName val="Cap. 3.8.4"/>
      <sheetName val="Cap. 3.9"/>
      <sheetName val="Cap. 4"/>
      <sheetName val="Cap_ 3_1_1_6"/>
      <sheetName val="Cap_ 3_1_2"/>
      <sheetName val="Cap_ 3_1_3"/>
      <sheetName val="Cap_ 3_1_4_2"/>
      <sheetName val="Cap_ 3_1_5_2"/>
      <sheetName val="Cap_ 3_1_6_5"/>
      <sheetName val="#RIF"/>
      <sheetName val="Program 93 Data"/>
      <sheetName val="Cap__1_1_1_1"/>
      <sheetName val="Cap__1_1_1_2"/>
      <sheetName val="Cap__1_1_1_3"/>
      <sheetName val="Cap__1_1_1_4"/>
      <sheetName val="Cap__1_1_1_5"/>
      <sheetName val="Cap__1_1_1_6"/>
      <sheetName val="Cap__1_1_1_7"/>
      <sheetName val="Cap__1_1_2"/>
      <sheetName val="Cap__1_1_3"/>
      <sheetName val="Cap__1_1_4_1"/>
      <sheetName val="Cap__1_1_4_2"/>
      <sheetName val="Cap__1_1_5_1"/>
      <sheetName val="Cap__1_1_5_2"/>
      <sheetName val="Cap__1_1_6_1"/>
      <sheetName val="Cap__1_1_6_2"/>
      <sheetName val="Cap__1_1_6_3"/>
      <sheetName val="Cap__1_1_6_4"/>
      <sheetName val="Cap__1_1_6_5"/>
      <sheetName val="Cap__1_2_1"/>
      <sheetName val="Cap__1_2_2_1"/>
      <sheetName val="Cap__1_2_2_2"/>
      <sheetName val="Cap__1_2_2_3"/>
      <sheetName val="Cap__1_2_2_4"/>
      <sheetName val="Cap__1_2_3"/>
      <sheetName val="Cap__1_2_4"/>
      <sheetName val="Cap__1_2_5_1"/>
      <sheetName val="Cap__1_2_5_2"/>
      <sheetName val="Cap__1_2_5_3"/>
      <sheetName val="Cap__1_3_1"/>
      <sheetName val="Cap__1_3_2"/>
      <sheetName val="Cap__1_4_1"/>
      <sheetName val="Cap__1_4_2"/>
      <sheetName val="Cap__1_4_3"/>
      <sheetName val="Cap__1_4_4"/>
      <sheetName val="Cap__1_4_5"/>
      <sheetName val="Cap__1_5_1"/>
      <sheetName val="Cap_1_5_2"/>
      <sheetName val="Cap__1_5_3"/>
      <sheetName val="Cap_1_5_4"/>
      <sheetName val="Cap__1_5_5"/>
      <sheetName val="Cap__1_6_1"/>
      <sheetName val="Cap__1_6_2"/>
      <sheetName val="Cap__1_6_3"/>
      <sheetName val="Cap__1_6_4"/>
      <sheetName val="Cap__1_6_5"/>
      <sheetName val="Cap__1_6_6"/>
      <sheetName val="Cap__1_7_1"/>
      <sheetName val="Cap__1_7_2"/>
      <sheetName val="Cap__1_7_3"/>
      <sheetName val="Cap__1_7_4"/>
      <sheetName val="Cap__1_7_5"/>
      <sheetName val="Cap__1_8_1"/>
      <sheetName val="Cap__1_8_2"/>
      <sheetName val="Cap__1_9_1"/>
      <sheetName val="Cap__1_9_2"/>
      <sheetName val="Cap__1_9_3"/>
      <sheetName val="Cap__1_9_4"/>
      <sheetName val="Cap__1_10"/>
      <sheetName val="Cap__2_1"/>
      <sheetName val="Cap__2_2"/>
      <sheetName val="Cap__2_3"/>
      <sheetName val="Cap__2_4"/>
      <sheetName val="Cap__2_5"/>
      <sheetName val="Cap__2_6"/>
      <sheetName val="Cap__3_1_1_0"/>
      <sheetName val="Cap__3_1_1_1"/>
      <sheetName val="Cap__3_1_1_2"/>
      <sheetName val="Cap__3_1_1_3"/>
      <sheetName val="Cap__3_1_1_4"/>
      <sheetName val="Cap__3_1_1_5"/>
      <sheetName val="Cap__3_1_1_6"/>
      <sheetName val="Cap__3_1_2"/>
      <sheetName val="Cap__3_1_3"/>
      <sheetName val="Cap__3_1_4_1"/>
      <sheetName val="Cap__3_1_4_2"/>
      <sheetName val="Cap__3_1_5_1"/>
      <sheetName val="Cap__3_1_5_2"/>
      <sheetName val="Cap__3_1_6_1"/>
      <sheetName val="Cap__3_1_6_2"/>
      <sheetName val="Cap_3_1_6_3"/>
      <sheetName val="Cap__3_1_6_4"/>
      <sheetName val="Cap__3_1_6_5"/>
      <sheetName val="Cap__3_2_1"/>
      <sheetName val="Cap__3_2_2"/>
      <sheetName val="Cap__3_2_3"/>
      <sheetName val="Cap__3_2_4"/>
      <sheetName val="Cap__3_3_1"/>
      <sheetName val="Cap__3_3_2"/>
      <sheetName val="Cap__3_4_1"/>
      <sheetName val="Cap__3_4_2"/>
      <sheetName val="Cap__3_5_1"/>
      <sheetName val="Cap__3_5_2"/>
      <sheetName val="Cap__3_5_3"/>
      <sheetName val="Cap__3_5_4"/>
      <sheetName val="Cap__3_6_1"/>
      <sheetName val="Cap__3_6_2"/>
      <sheetName val="Cap__3_6_3"/>
      <sheetName val="Cap__3_6_4"/>
      <sheetName val="Cap__3_7_1"/>
      <sheetName val="Cap__3_7_2"/>
      <sheetName val="Cap__3_7_4"/>
      <sheetName val="Cap__3_8_1"/>
      <sheetName val="Cap__3_8_2"/>
      <sheetName val="Cap__3_8_3"/>
      <sheetName val="Cap__3_8_4"/>
      <sheetName val="Cap__3_9"/>
      <sheetName val="Cap__4"/>
      <sheetName val="Cap__3_1_1_61"/>
      <sheetName val="Cap__3_1_21"/>
      <sheetName val="Cap__3_1_31"/>
      <sheetName val="Cap__3_1_4_21"/>
      <sheetName val="Cap__3_1_5_21"/>
      <sheetName val="Cap__3_1_6_51"/>
      <sheetName val="Program_93_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sheetData sheetId="91" refreshError="1"/>
      <sheetData sheetId="92"/>
      <sheetData sheetId="93" refreshError="1"/>
      <sheetData sheetId="94"/>
      <sheetData sheetId="95" refreshError="1"/>
      <sheetData sheetId="96" refreshError="1"/>
      <sheetData sheetId="97" refreshError="1"/>
      <sheetData sheetId="98"/>
      <sheetData sheetId="99" refreshError="1"/>
      <sheetData sheetId="100" refreshError="1"/>
      <sheetData sheetId="101" refreshError="1"/>
      <sheetData sheetId="102"/>
      <sheetData sheetId="103" refreshError="1"/>
      <sheetData sheetId="104" refreshError="1"/>
      <sheetData sheetId="105"/>
      <sheetData sheetId="106" refreshError="1"/>
      <sheetData sheetId="107" refreshError="1"/>
      <sheetData sheetId="108" refreshError="1"/>
      <sheetData sheetId="109"/>
      <sheetData sheetId="110"/>
      <sheetData sheetId="111" refreshError="1"/>
      <sheetData sheetId="112"/>
      <sheetData sheetId="113"/>
      <sheetData sheetId="114"/>
      <sheetData sheetId="115"/>
      <sheetData sheetId="116"/>
      <sheetData sheetId="117"/>
      <sheetData sheetId="118" refreshError="1"/>
      <sheetData sheetId="119" refreshError="1"/>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FFERTA"/>
      <sheetName val="ANACO"/>
      <sheetName val="ITEM"/>
      <sheetName val="Voci Contrattuali_SAL"/>
      <sheetName val="Sommario-SAL01-DIC21"/>
      <sheetName val="SUMMARY COSTI"/>
    </sheetNames>
    <sheetDataSet>
      <sheetData sheetId="0"/>
      <sheetData sheetId="1">
        <row r="7">
          <cell r="C7" t="str">
            <v>VASTINT ITALY s.r.l.</v>
          </cell>
        </row>
        <row r="8">
          <cell r="C8" t="str">
            <v>Mr.Marco Mor/Ing. Esposito</v>
          </cell>
        </row>
      </sheetData>
      <sheetData sheetId="2"/>
      <sheetData sheetId="3"/>
      <sheetData sheetId="4"/>
      <sheetData sheetId="5"/>
    </sheetDataSet>
  </externalBook>
</externalLink>
</file>

<file path=xl/persons/person.xml><?xml version="1.0" encoding="utf-8"?>
<personList xmlns="http://schemas.microsoft.com/office/spreadsheetml/2018/threadedcomments" xmlns:x="http://schemas.openxmlformats.org/spreadsheetml/2006/main">
  <person displayName="cosimo pignatelli" id="{6522844A-53AC-4EDD-BDD6-2CCD7D54CE2F}" userId="cosimo pignatelli" providerId="None"/>
  <person displayName="Cosimo Pignatelli" id="{7504692C-88D5-4C92-8E5F-DF7FDDECFDF0}" userId="S::pignatelli@mrpignatelli.com::5f8edadf-77f1-4529-8702-7f0f2f284d24" providerId="AD"/>
</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D5" dT="2021-12-07T10:46:47.11" personId="{6522844A-53AC-4EDD-BDD6-2CCD7D54CE2F}" id="{1CA76D9E-A805-43DE-AF68-600655152791}">
    <text>PACCHETTO SERRAMENTO: SCHIUMA/BARRIERA/VITERIA</text>
  </threadedComment>
  <threadedComment ref="AH5" dT="2025-09-03T13:06:40.27" personId="{7504692C-88D5-4C92-8E5F-DF7FDDECFDF0}" id="{EA54A490-ACC7-416D-8DC4-C42A6579EC1C}">
    <text>Valore sistema acciaio /mq</text>
  </threadedComment>
  <threadedComment ref="AN5" dT="2021-12-07T10:11:01.51" personId="{6522844A-53AC-4EDD-BDD6-2CCD7D54CE2F}" id="{F4A25577-2000-4296-B570-BD5BE7010CD0}">
    <text>VETRO SERRAMENTO</text>
  </threadedComment>
  <threadedComment ref="AT5" dT="2021-12-07T10:27:31.72" personId="{6522844A-53AC-4EDD-BDD6-2CCD7D54CE2F}" id="{694EC7B8-BF99-4EB0-A042-AE463FD754A7}">
    <text>VALUTAZIONE H. OFFICINA
1H/MQ*(2H) ANTA DK
1H/MQ*(4H) PORTA
1H/MQ*(8H) ANTA SCORREVOLE</text>
  </threadedComment>
  <threadedComment ref="AV5" dT="2021-12-07T10:30:44.44" personId="{6522844A-53AC-4EDD-BDD6-2CCD7D54CE2F}" id="{1E2641D1-D1C5-4720-8FD7-35A2FC08BAFC}">
    <text>POSA/MQ SERRAMENTI LEGNO</text>
  </threadedComment>
  <threadedComment ref="P6" dT="2021-12-07T11:06:11.08" personId="{6522844A-53AC-4EDD-BDD6-2CCD7D54CE2F}" id="{F4B1E532-6CB3-48AF-855B-46B8CB3E0543}">
    <text>STAFFA CAD CON FINITURA</text>
  </threadedComment>
  <threadedComment ref="AD6" dT="2021-12-07T10:35:40.30" personId="{6522844A-53AC-4EDD-BDD6-2CCD7D54CE2F}" id="{65B7C71A-3390-465A-B147-7D6F84C5FD24}">
    <text>PACCHETTOPER FW: LZ/GUAINA/LANA/LA SV MAX 125MM ESTERNO STIMATO SU PERIMETRO</text>
  </threadedComment>
  <threadedComment ref="AH6" dT="2025-09-03T13:07:46.37" personId="{7504692C-88D5-4C92-8E5F-DF7FDDECFDF0}" id="{FCDD04AB-204A-42D1-98DE-C13D32828B0B}">
    <text>Costo sistema acciaio ei60/mq</text>
  </threadedComment>
  <threadedComment ref="AN6" dT="2021-12-07T10:11:49.06" personId="{6522844A-53AC-4EDD-BDD6-2CCD7D54CE2F}" id="{7BC1F7AA-9FEA-4DE2-BD5E-3DB6229B7A4D}">
    <text>VETRO FACCIATA</text>
  </threadedComment>
  <threadedComment ref="AP6" dT="2021-12-07T11:00:21.31" personId="{6522844A-53AC-4EDD-BDD6-2CCD7D54CE2F}" id="{5F45F20A-B690-4F2F-98CE-20E3045DD4CD}">
    <text>PAN ACP /MQ COLORI SPECIALI SFRIDO INCL 18% (COMPRESI ELEMENTI DI APPESA)</text>
  </threadedComment>
  <threadedComment ref="AT6" dT="2021-12-07T10:25:44.35" personId="{6522844A-53AC-4EDD-BDD6-2CCD7D54CE2F}" id="{D6C1C69C-6568-49EA-B6BF-2F4AEFA57137}">
    <text>EURO /MQ PEER FACCIATA CONT.</text>
  </threadedComment>
  <threadedComment ref="AV6" dT="2021-12-07T10:30:59.09" personId="{6522844A-53AC-4EDD-BDD6-2CCD7D54CE2F}" id="{E15158E0-00FA-4542-82A9-BDAE990C9EB6}">
    <text>POSA FACCIATA CONTINUA /MQ</text>
  </threadedComment>
  <threadedComment ref="P7" dT="2021-12-07T11:06:50.09" personId="{6522844A-53AC-4EDD-BDD6-2CCD7D54CE2F}" id="{E7D1649D-8581-4FCA-B021-476BF1798AD9}">
    <text>LZ PREZINCATA LAVORATA EURO/KG</text>
  </threadedComment>
  <threadedComment ref="AD7" dT="2021-12-07T11:52:33.25" personId="{6522844A-53AC-4EDD-BDD6-2CCD7D54CE2F}" id="{D58404AC-F4AB-4430-9B2D-C4C3888FCE82}">
    <text>ANTIROMBO /MQ</text>
  </threadedComment>
  <threadedComment ref="AN7" dT="2021-12-07T10:12:00.27" personId="{6522844A-53AC-4EDD-BDD6-2CCD7D54CE2F}" id="{A43331FB-D0D6-46F6-9BA3-FC5ACB8036B7}">
    <text>VETRO sagomato +100%</text>
  </threadedComment>
  <threadedComment ref="AT7" dT="2021-12-07T10:25:28.60" personId="{6522844A-53AC-4EDD-BDD6-2CCD7D54CE2F}" id="{6E06B9B0-EEC1-4A2F-AEEB-82ECAB89EC59}">
    <text>EURO /TAGLIO OFFICINA</text>
  </threadedComment>
  <threadedComment ref="AV7" dT="2021-12-07T10:31:09.83" personId="{6522844A-53AC-4EDD-BDD6-2CCD7D54CE2F}" id="{723C5430-9992-40CD-9EC8-FAF87FA9109E}">
    <text>POSA SERR ACCIAO/MQ</text>
  </threadedComment>
  <threadedComment ref="AN8" dT="2025-09-03T13:28:52.08" personId="{7504692C-88D5-4C92-8E5F-DF7FDDECFDF0}" id="{EADA746C-4928-4FCE-A484-FDADF34AA95F}">
    <text>Vetrocamera ei60</text>
  </threadedComment>
  <threadedComment ref="AT8" dT="2021-12-07T10:56:01.72" personId="{6522844A-53AC-4EDD-BDD6-2CCD7D54CE2F}" id="{172A3331-2186-41ED-8CC1-D1E12F2660CA}">
    <text>LAVORAZIONE/MQ PER SOTTOSTRUTTURA AMGGIORAZIONE SU SFRIDO MATERIALE (18%)</text>
  </threadedComment>
  <threadedComment ref="AV8" dT="2021-12-07T10:58:03.09" personId="{6522844A-53AC-4EDD-BDD6-2CCD7D54CE2F}" id="{4602A455-B311-4A5B-A021-0F7D8BB3258F}">
    <text>POSA SERR EI/CAD</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1155A0-A4A1-45E4-92FB-678336B7FB5C}">
  <sheetPr>
    <pageSetUpPr fitToPage="1"/>
  </sheetPr>
  <dimension ref="A1:I254"/>
  <sheetViews>
    <sheetView view="pageBreakPreview" zoomScale="115" zoomScaleNormal="100" zoomScaleSheetLayoutView="115" workbookViewId="0">
      <selection activeCell="A9" sqref="A9"/>
    </sheetView>
  </sheetViews>
  <sheetFormatPr defaultRowHeight="14.25"/>
  <cols>
    <col min="1" max="1" width="9.5703125" style="62" customWidth="1"/>
    <col min="2" max="4" width="9.7109375" style="62" customWidth="1"/>
    <col min="5" max="5" width="42.7109375" style="62" customWidth="1"/>
    <col min="6" max="6" width="4.7109375" style="62" customWidth="1"/>
    <col min="7" max="7" width="8.28515625" style="63" customWidth="1"/>
    <col min="8" max="8" width="9.85546875" style="62" customWidth="1"/>
    <col min="9" max="9" width="10.7109375" style="62" customWidth="1"/>
  </cols>
  <sheetData>
    <row r="1" spans="1:9">
      <c r="G1" s="62"/>
    </row>
    <row r="2" spans="1:9">
      <c r="A2" s="643" t="s">
        <v>0</v>
      </c>
      <c r="E2" s="119"/>
      <c r="F2" s="62" t="s">
        <v>1</v>
      </c>
      <c r="G2" s="62"/>
    </row>
    <row r="3" spans="1:9">
      <c r="A3" s="644" t="s">
        <v>2</v>
      </c>
      <c r="E3" s="119"/>
      <c r="F3" t="str">
        <f>[37]ANACO!C7</f>
        <v>VASTINT ITALY s.r.l.</v>
      </c>
      <c r="G3" s="62"/>
    </row>
    <row r="4" spans="1:9">
      <c r="A4" s="644" t="s">
        <v>3</v>
      </c>
      <c r="E4" s="119"/>
      <c r="F4" s="725" t="s">
        <v>4</v>
      </c>
      <c r="G4" s="62"/>
    </row>
    <row r="5" spans="1:9">
      <c r="A5" s="644" t="s">
        <v>5</v>
      </c>
      <c r="E5" s="119"/>
      <c r="F5" t="s">
        <v>6</v>
      </c>
      <c r="G5" s="62"/>
    </row>
    <row r="6" spans="1:9">
      <c r="A6" s="644" t="s">
        <v>7</v>
      </c>
      <c r="E6" s="119"/>
      <c r="F6" t="s">
        <v>8</v>
      </c>
      <c r="G6" s="62"/>
    </row>
    <row r="7" spans="1:9">
      <c r="A7" s="644" t="s">
        <v>9</v>
      </c>
      <c r="E7" s="119"/>
      <c r="F7" t="s">
        <v>10</v>
      </c>
      <c r="G7" s="62" t="str">
        <f>[37]ANACO!C8</f>
        <v>Mr.Marco Mor/Ing. Esposito</v>
      </c>
    </row>
    <row r="8" spans="1:9" ht="15">
      <c r="A8" s="120"/>
      <c r="B8" s="120"/>
      <c r="C8" s="120"/>
      <c r="D8" s="120"/>
      <c r="E8" s="120"/>
      <c r="F8" s="121"/>
      <c r="I8" s="122"/>
    </row>
    <row r="9" spans="1:9" ht="15.4">
      <c r="A9" s="124" t="s">
        <v>11</v>
      </c>
      <c r="B9" t="s">
        <v>12</v>
      </c>
      <c r="C9"/>
      <c r="D9"/>
      <c r="E9" s="123">
        <f>ANACO!C6</f>
        <v>45908</v>
      </c>
      <c r="F9" s="122"/>
      <c r="G9" s="122"/>
      <c r="H9" s="122"/>
      <c r="I9" s="122"/>
    </row>
    <row r="10" spans="1:9" ht="15.4">
      <c r="A10" s="124"/>
      <c r="E10" s="120"/>
      <c r="F10" s="122"/>
      <c r="G10" s="122"/>
      <c r="H10" s="122"/>
      <c r="I10" s="122"/>
    </row>
    <row r="11" spans="1:9" ht="15.4">
      <c r="A11" s="125" t="s">
        <v>13</v>
      </c>
      <c r="B11" s="126"/>
      <c r="C11" s="126"/>
      <c r="D11" s="126"/>
      <c r="E11" s="132" t="str">
        <f>ANACO!C5</f>
        <v>P1002_25_CON_REV03_P1 E EI ALLUMINIO</v>
      </c>
      <c r="F11" s="127"/>
      <c r="G11" s="122"/>
      <c r="H11" s="127"/>
      <c r="I11" s="122"/>
    </row>
    <row r="12" spans="1:9" ht="15.4">
      <c r="A12" s="124"/>
      <c r="E12" s="128"/>
      <c r="F12" s="127"/>
      <c r="G12" s="122"/>
      <c r="H12" s="127"/>
      <c r="I12" s="122"/>
    </row>
    <row r="13" spans="1:9" ht="15">
      <c r="A13" s="64" t="s">
        <v>14</v>
      </c>
      <c r="E13" s="64" t="str">
        <f>ANACO!C9</f>
        <v>FPO SERRAMENTI E RACCORDO - EX STAZIONE SUSA</v>
      </c>
      <c r="F13" s="64"/>
      <c r="G13" s="64"/>
      <c r="H13" s="64"/>
      <c r="I13" s="64"/>
    </row>
    <row r="14" spans="1:9" ht="15">
      <c r="A14" s="64"/>
      <c r="E14" s="129"/>
      <c r="F14" s="129"/>
      <c r="G14" s="130"/>
      <c r="H14" s="129"/>
      <c r="I14" s="129"/>
    </row>
    <row r="15" spans="1:9" ht="15">
      <c r="A15" s="64" t="s">
        <v>15</v>
      </c>
      <c r="B15" s="64"/>
      <c r="C15" s="64"/>
      <c r="D15" s="64"/>
      <c r="E15" s="64"/>
      <c r="F15" s="65"/>
      <c r="G15" s="65"/>
      <c r="H15" s="65"/>
      <c r="I15" s="65"/>
    </row>
    <row r="16" spans="1:9" ht="15">
      <c r="A16" s="64"/>
      <c r="B16" s="64"/>
      <c r="C16" s="64"/>
      <c r="D16" s="64"/>
      <c r="E16" s="64"/>
      <c r="F16" s="65"/>
      <c r="G16" s="65"/>
      <c r="H16" s="65"/>
      <c r="I16" s="65"/>
    </row>
    <row r="17" spans="1:9" ht="64.5" customHeight="1">
      <c r="A17" s="791" t="s">
        <v>16</v>
      </c>
      <c r="B17" s="791"/>
      <c r="C17" s="791"/>
      <c r="D17" s="791"/>
      <c r="E17" s="791"/>
      <c r="F17" s="791"/>
      <c r="G17" s="791"/>
      <c r="H17" s="791"/>
      <c r="I17" s="791"/>
    </row>
    <row r="18" spans="1:9" ht="75.75" customHeight="1">
      <c r="A18" s="792" t="s">
        <v>17</v>
      </c>
      <c r="B18" s="792"/>
      <c r="C18" s="792"/>
      <c r="D18" s="792"/>
      <c r="E18" s="792"/>
      <c r="F18" s="792"/>
      <c r="G18" s="792"/>
      <c r="H18" s="792"/>
      <c r="I18" s="792"/>
    </row>
    <row r="19" spans="1:9" ht="50.25" customHeight="1">
      <c r="A19" s="64"/>
      <c r="B19" s="64"/>
      <c r="C19" s="64"/>
      <c r="D19" s="64"/>
      <c r="E19" s="64"/>
      <c r="F19" s="64"/>
      <c r="G19" s="64"/>
      <c r="H19" s="65"/>
      <c r="I19" s="65"/>
    </row>
    <row r="20" spans="1:9" ht="15">
      <c r="A20" s="64"/>
      <c r="B20" s="64"/>
      <c r="C20" s="64"/>
      <c r="D20" s="64"/>
      <c r="E20" s="64"/>
      <c r="F20" s="65"/>
      <c r="G20" s="65"/>
      <c r="H20" s="65"/>
      <c r="I20" s="65"/>
    </row>
    <row r="21" spans="1:9" ht="15.4" thickBot="1">
      <c r="A21" s="64" t="s">
        <v>18</v>
      </c>
      <c r="B21" s="64"/>
      <c r="C21" s="64"/>
      <c r="D21" s="64"/>
      <c r="E21" s="64"/>
      <c r="F21" s="65"/>
      <c r="G21" s="65"/>
      <c r="H21" s="65"/>
      <c r="I21" s="65"/>
    </row>
    <row r="22" spans="1:9" ht="15" customHeight="1">
      <c r="A22" s="793" t="s">
        <v>19</v>
      </c>
      <c r="B22" s="793" t="s">
        <v>20</v>
      </c>
      <c r="C22" s="793" t="s">
        <v>21</v>
      </c>
      <c r="D22" s="793" t="s">
        <v>22</v>
      </c>
      <c r="E22" s="795" t="s">
        <v>23</v>
      </c>
      <c r="F22" s="797" t="s">
        <v>24</v>
      </c>
      <c r="G22" s="799" t="s">
        <v>25</v>
      </c>
      <c r="H22" s="797" t="s">
        <v>26</v>
      </c>
      <c r="I22" s="797" t="s">
        <v>27</v>
      </c>
    </row>
    <row r="23" spans="1:9" ht="14.65" thickBot="1">
      <c r="A23" s="794"/>
      <c r="B23" s="794"/>
      <c r="C23" s="794"/>
      <c r="D23" s="794"/>
      <c r="E23" s="796"/>
      <c r="F23" s="798"/>
      <c r="G23" s="800"/>
      <c r="H23" s="801"/>
      <c r="I23" s="801"/>
    </row>
    <row r="24" spans="1:9">
      <c r="A24" s="708"/>
      <c r="B24" s="709"/>
      <c r="C24" s="709"/>
      <c r="D24" s="709"/>
      <c r="E24" s="713" t="str">
        <f>ANACO!C12</f>
        <v>SERRAMENTI SERIE F</v>
      </c>
      <c r="F24" s="710"/>
      <c r="G24" s="711"/>
      <c r="H24" s="712"/>
      <c r="I24" s="712"/>
    </row>
    <row r="25" spans="1:9" ht="81">
      <c r="A25" s="116" t="str">
        <f>ANACO!B13</f>
        <v>F1</v>
      </c>
      <c r="B25" s="223" t="str">
        <f>ANACO!$C$5</f>
        <v>P1002_25_CON_REV03_P1 E EI ALLUMINIO</v>
      </c>
      <c r="C25" s="223">
        <f>ANACO!D13</f>
        <v>1100</v>
      </c>
      <c r="D25" s="223">
        <f>ANACO!F13</f>
        <v>1970</v>
      </c>
      <c r="E25" s="118" t="str">
        <f>ANACO!C13</f>
        <v>Serramento in legno doppia anta battente apertura interna e sopraluce curvo con apertura vasistas fissato solidamente ad un controtelaio in profili di legno adeguatamente trattato e isolato. 
Compreso controtelaio costituito da profili in legno sagomato a L, adeguatamente trattato per evitare formazione di muffe o deformazioni geometriche, ancorato alla struttura principale mediante adeguate zanche annegate nel muro o viti di fissaggio. Vetro: 66.2 COOL-LITE 70-33#2 INDURITI / 20mm (aria-argon 90%) / 55.2 int. RICOTTI
Comprese lamiere di raccordo, memebrane e isolanti.</v>
      </c>
      <c r="F25" s="117" t="s">
        <v>28</v>
      </c>
      <c r="G25" s="650">
        <f>ANACO!H13</f>
        <v>10</v>
      </c>
      <c r="H25" s="651">
        <f>ANACO!BS13</f>
        <v>4443.0585150000006</v>
      </c>
      <c r="I25" s="651">
        <f t="shared" ref="I25:I58" si="0">G25*H25</f>
        <v>44430.585150000006</v>
      </c>
    </row>
    <row r="26" spans="1:9" s="642" customFormat="1" ht="81">
      <c r="A26" s="116" t="str">
        <f>ANACO!B14</f>
        <v>F1a</v>
      </c>
      <c r="B26" s="223" t="str">
        <f>ANACO!$C$5</f>
        <v>P1002_25_CON_REV03_P1 E EI ALLUMINIO</v>
      </c>
      <c r="C26" s="223">
        <f>ANACO!D14</f>
        <v>1100</v>
      </c>
      <c r="D26" s="223">
        <f>ANACO!F14</f>
        <v>1970</v>
      </c>
      <c r="E26" s="118" t="str">
        <f>ANACO!C14</f>
        <v>Serramento in legno doppia anta battente apertura interna e sopraluce curvo con apertura vasistas fissato solidamente ad un controtelaio in profili di legno adeguatamente trattato e isolato. 
Compreso controtelaio costituito da profili in legno sagomato a L, adeguatamente trattato per evitare formazione di muffe o deformazioni geometriche, ancorato alla struttura principale mediante adeguate zanche annegate nel muro o viti di fissaggio. Vetro: 66.2 COOL-LITE 70-33#2 INDURITI / 20mm (aria-argon 90%) / 55.2 int. RICOTTI
Comprese lamiere di raccordo, memebrane e isolanti.</v>
      </c>
      <c r="F26" s="117" t="s">
        <v>28</v>
      </c>
      <c r="G26" s="650">
        <f>ANACO!H14</f>
        <v>1</v>
      </c>
      <c r="H26" s="651">
        <f>ANACO!BS14</f>
        <v>4443.0585150000006</v>
      </c>
      <c r="I26" s="651">
        <f t="shared" si="0"/>
        <v>4443.0585150000006</v>
      </c>
    </row>
    <row r="27" spans="1:9" s="642" customFormat="1" ht="90">
      <c r="A27" s="116" t="str">
        <f>ANACO!B15</f>
        <v>F2</v>
      </c>
      <c r="B27" s="223" t="str">
        <f>ANACO!$C$5</f>
        <v>P1002_25_CON_REV03_P1 E EI ALLUMINIO</v>
      </c>
      <c r="C27" s="223">
        <f>ANACO!D15</f>
        <v>1720</v>
      </c>
      <c r="D27" s="223">
        <f>ANACO!F15</f>
        <v>3710</v>
      </c>
      <c r="E27" s="118" t="str">
        <f>ANACO!C15</f>
        <v>Serramento in legno doppia anta battente apertura interna e sopraluce curvo fisso. Specchiature fisse laterali e superiori, fissato solidamente ad un controtelaio in profili di legno adeguatamente trattato e isolato e persiane a lamelle fisse esterne. 
Compreso controtelaio costituito da profili in legno sagomato a L, adeguatamente trattato per evitare formazione di muffe o deformazioni geometriche, ancorato alla struttura principale mediante adeguate zanche annegate nel muro o viti di fissaggio. Vetro: 66.2 COOL-LITE 70-33#2 INDURITI / 20mm (aria-argon 90%) / 55.2 int. RICOTTI
Comprese lamiere di raccordo, memebrane e isolanti.</v>
      </c>
      <c r="F27" s="117" t="s">
        <v>28</v>
      </c>
      <c r="G27" s="650">
        <f>ANACO!H15</f>
        <v>5</v>
      </c>
      <c r="H27" s="651">
        <f>ANACO!BS15</f>
        <v>9861.8456580000002</v>
      </c>
      <c r="I27" s="651">
        <f t="shared" si="0"/>
        <v>49309.228289999999</v>
      </c>
    </row>
    <row r="28" spans="1:9" s="642" customFormat="1" ht="108">
      <c r="A28" s="116" t="str">
        <f>ANACO!B16</f>
        <v>F3 - EI60
Serramento in acciaio EI60 tipo Secco EBE85</v>
      </c>
      <c r="B28" s="223" t="str">
        <f>ANACO!$C$5</f>
        <v>P1002_25_CON_REV03_P1 E EI ALLUMINIO</v>
      </c>
      <c r="C28" s="223">
        <f>ANACO!D16</f>
        <v>1200</v>
      </c>
      <c r="D28" s="223">
        <f>ANACO!F16</f>
        <v>3000</v>
      </c>
      <c r="E28" s="118" t="str">
        <f>ANACO!C16</f>
        <v>Serramento in legno fissa, serramento fissato solidamente ad un controtelaio in profili di legno adeguatamente trattato e isolato. Per questo serramento è richiesta una prestazione di resistenza all’incendio pari a EI60.  
SOSTITUITO CON ALLUMINIO 
Reynaers ConceptSystem 77-FP EI 60 (CS 77-FPEI60) 
Compreso controtelaio costituito da profili in legno sagomato a L, adeguatamente trattato per evitare formazione di muffe o deformazioni geometriche, ancorato alla struttura principale mediante adeguate zanche annegate nel muro o viti di fissaggio. Vetro: 66.2 COOL-LITE 70-33#2 / 14mm (aria-argon 90%) / 27 CF60-3.
Comprese lamiere di raccordo, memebrane e isolanti.</v>
      </c>
      <c r="F28" s="117" t="s">
        <v>28</v>
      </c>
      <c r="G28" s="650">
        <f>ANACO!H16</f>
        <v>3</v>
      </c>
      <c r="H28" s="651">
        <f>ANACO!BS16</f>
        <v>8821.1291999999994</v>
      </c>
      <c r="I28" s="651">
        <f t="shared" si="0"/>
        <v>26463.387599999998</v>
      </c>
    </row>
    <row r="29" spans="1:9" s="642" customFormat="1" ht="117">
      <c r="A29" s="116" t="str">
        <f>ANACO!B17</f>
        <v>F3a</v>
      </c>
      <c r="B29" s="223" t="str">
        <f>ANACO!$C$5</f>
        <v>P1002_25_CON_REV03_P1 E EI ALLUMINIO</v>
      </c>
      <c r="C29" s="223">
        <f>ANACO!D17</f>
        <v>1200</v>
      </c>
      <c r="D29" s="223">
        <f>ANACO!F17</f>
        <v>3000</v>
      </c>
      <c r="E29" s="118" t="str">
        <f>ANACO!C17</f>
        <v>Porta a doppio battente apertura interno dell’edificio con pushbar esterno e chiudiporta, presenza di sopraluce fisso è presente un ulteriore sopraluce curvo con presenza di lamelle di areazione. Il serramento presente una prestazione EI60 escluso la parte lamellata.
SOSTITUITO CON ALLUMINIO 
Reynaers ConceptSystem 77-FP EI 60 (CS 77-FPEI60) 
Compreso controtelaio costituito da profili in legno sagomato a L, adeguatamente trattato per evitare formazione di muffe o deformazioni geometriche, ancorato alla struttura principale mediante adeguate zanche annegate nel muro o viti di fissaggio. Vetro: 66.2 COOL-LITE 70-33#2 / 14mm (aria-argon 90%) / 27 CF60-3.
Comprese lamiere di raccordo, memebrane e isolanti.</v>
      </c>
      <c r="F29" s="117" t="s">
        <v>28</v>
      </c>
      <c r="G29" s="650">
        <f>ANACO!H17</f>
        <v>1</v>
      </c>
      <c r="H29" s="651">
        <f>ANACO!BS17</f>
        <v>6217.2575999999999</v>
      </c>
      <c r="I29" s="651">
        <f t="shared" si="0"/>
        <v>6217.2575999999999</v>
      </c>
    </row>
    <row r="30" spans="1:9" s="642" customFormat="1" ht="99.4" thickBot="1">
      <c r="A30" s="116" t="str">
        <f>ANACO!B18</f>
        <v>F3b</v>
      </c>
      <c r="B30" s="223" t="str">
        <f>ANACO!$C$5</f>
        <v>P1002_25_CON_REV03_P1 E EI ALLUMINIO</v>
      </c>
      <c r="C30" s="223"/>
      <c r="D30" s="223"/>
      <c r="E30" s="118" t="str">
        <f>ANACO!C18</f>
        <v>Serramento con specchiature vision fisse è presente un ulteriore sopraluce curvo con presenza di lamelle di areazione. Il serramento presenta una prestazione EI60 escluso la parte lamellata.SOSTITUITO CON ALLUMINIO 
Reynaers ConceptSystem 77-FP EI 60 (CS 77-FPEI60) 
Compreso controtelaio costituito da profili in legno sagomato a L, adeguatamente trattato per evitare formazione di muffe o deformazioni geometriche, ancorato alla struttura principale mediante adeguate zanche annegate nel muro o viti di fissaggio. Vetro: 66.2 COOL-LITE 70-33#2 / 14mm (aria-argon 90%) / 27 CF60-3.
Comprese lamiere di raccordo, memebrane e isolanti.</v>
      </c>
      <c r="F30" s="117" t="s">
        <v>28</v>
      </c>
      <c r="G30" s="650">
        <f>ANACO!H18</f>
        <v>2</v>
      </c>
      <c r="H30" s="716">
        <f>ANACO!BS18</f>
        <v>6217.2575999999999</v>
      </c>
      <c r="I30" s="718">
        <f t="shared" si="0"/>
        <v>12434.5152</v>
      </c>
    </row>
    <row r="31" spans="1:9" s="642" customFormat="1" ht="99.4" thickBot="1">
      <c r="A31" s="116" t="str">
        <f>ANACO!B19</f>
        <v>F4a</v>
      </c>
      <c r="B31" s="223" t="str">
        <f>ANACO!$C$5</f>
        <v>P1002_25_CON_REV03_P1 E EI ALLUMINIO</v>
      </c>
      <c r="C31" s="223"/>
      <c r="D31" s="223"/>
      <c r="E31" s="118" t="str">
        <f>ANACO!C19</f>
        <v>Serramento in acciaio con volta circolare apribile a vasistas meccanizzato e automatico specchiatura inferiore con porta a doppio battente apertura esterna, sopraluce rettangolare fisso.
SOSTITUITO CON ALLUMINIO 
Reynaers ConceptSystem 77-FP EI 60 (CS 77-FPEI60) 
Controtelaio composto da tubi rettangolari ancorato alla struttura principale mediante adeguate zanche annegate nel muro o viti di fissaggio, il telaio deve essere correttamente isolato e zincato per proteggerlo dalla corrosione.  
Vetro: 66.2 COOL-LITE 70-33#2 / 14mm (aria-argon 90%) / 27 CF60-3.
Comprese lamiere di raccordo, memebrane e isolanti.</v>
      </c>
      <c r="F31" s="117" t="s">
        <v>28</v>
      </c>
      <c r="G31" s="650">
        <f>ANACO!H19</f>
        <v>1</v>
      </c>
      <c r="H31" s="717">
        <f>ANACO!BS19</f>
        <v>5827.2488999999996</v>
      </c>
      <c r="I31" s="719">
        <f t="shared" si="0"/>
        <v>5827.2488999999996</v>
      </c>
    </row>
    <row r="32" spans="1:9" s="642" customFormat="1" ht="72.400000000000006" thickBot="1">
      <c r="A32" s="116" t="str">
        <f>ANACO!B20</f>
        <v>F4b</v>
      </c>
      <c r="B32" s="223" t="str">
        <f>ANACO!$C$5</f>
        <v>P1002_25_CON_REV03_P1 E EI ALLUMINIO</v>
      </c>
      <c r="C32" s="223"/>
      <c r="D32" s="223"/>
      <c r="E32" s="118" t="str">
        <f>ANACO!C20</f>
        <v>Porta a doppio battente vetrata, apertura doppia anta verso l’esterno, sopraluce fisso.
Compreso controtelaio costituito da profili in legno sagomato a L, adeguatamente trattato per evitare formazione di muffe o deformazioni geometriche, ancorato alla struttura principale mediante adeguate zanche annegate nel muro o viti di fissaggio. Vetro: 66.2 COOL-LITE 70-33#2 INDURITI / 20mm (aria-argon 90%) / 55.2 int. RICOTTI
Comprese lamiere di raccordo, memebrane e isolanti.</v>
      </c>
      <c r="F32" s="117" t="s">
        <v>28</v>
      </c>
      <c r="G32" s="650">
        <f>ANACO!H20</f>
        <v>1</v>
      </c>
      <c r="H32" s="717">
        <f>ANACO!BS20</f>
        <v>8033.6888999999992</v>
      </c>
      <c r="I32" s="719">
        <f t="shared" si="0"/>
        <v>8033.6888999999992</v>
      </c>
    </row>
    <row r="33" spans="1:9" s="642" customFormat="1" ht="117.4" thickBot="1">
      <c r="A33" s="116" t="str">
        <f>ANACO!B21</f>
        <v>F5a - EI60
Serramento in acciaio EI60 tipo Secco EBE85</v>
      </c>
      <c r="B33" s="223" t="str">
        <f>ANACO!$C$5</f>
        <v>P1002_25_CON_REV03_P1 E EI ALLUMINIO</v>
      </c>
      <c r="C33" s="223"/>
      <c r="D33" s="223"/>
      <c r="E33" s="118" t="str">
        <f>ANACO!C21</f>
        <v>Porta a doppio battente apertura interno dell’edificio con pushbar esterno e chiudiporta, presenza di sopraluce fisso è presente un ulteriore sopraluce curvo con presenza di lamelle di areazione. Il serramento presente una prestazione EI60 escluso la parte lamellata.
SOSTITUITO CON ALLUMINIO 
Reynaers ConceptSystem 77-FP EI 60 (CS 77-FPEI60) 
Compreso controtelaio costituito da profili in legno sagomato a L, adeguatamente trattato per evitare formazione di muffe o deformazioni geometriche, ancorato alla struttura principale mediante adeguate zanche annegate nel muro o viti di fissaggio. Vetro: 66.2 COOL-LITE 70-33#2 / 14mm (aria-argon 90%) / 27 CF60-3.
Comprese lamiere di raccordo, memebrane e isolanti.</v>
      </c>
      <c r="F33" s="117" t="s">
        <v>28</v>
      </c>
      <c r="G33" s="650">
        <f>ANACO!H21</f>
        <v>1</v>
      </c>
      <c r="H33" s="717">
        <f>ANACO!BS21</f>
        <v>20012.034888000002</v>
      </c>
      <c r="I33" s="719">
        <f t="shared" si="0"/>
        <v>20012.034888000002</v>
      </c>
    </row>
    <row r="34" spans="1:9" s="642" customFormat="1" ht="99.4" thickBot="1">
      <c r="A34" s="116" t="str">
        <f>ANACO!B22</f>
        <v>F5b - EI60
Serramento in acciaio EI60 tipo Secco EBE85</v>
      </c>
      <c r="B34" s="223" t="str">
        <f>ANACO!$C$5</f>
        <v>P1002_25_CON_REV03_P1 E EI ALLUMINIO</v>
      </c>
      <c r="C34" s="223"/>
      <c r="D34" s="223"/>
      <c r="E34" s="118" t="str">
        <f>ANACO!C22</f>
        <v>Serramento con specchiature vision fisse è presente un ulteriore sopraluce curvo con presenza di lamelle di areazione. Il serramento presenta una prestazione EI60 escluso la parte lamellata.SOSTITUITO CON ALLUMINIO 
Reynaers ConceptSystem 77-FP EI 60 (CS 77-FPEI60) 
Compreso controtelaio costituito da profili in legno sagomato a L, adeguatamente trattato per evitare formazione di muffe o deformazioni geometriche, ancorato alla struttura principale mediante adeguate zanche annegate nel muro o viti di fissaggio. Vetro: 66.2 COOL-LITE 70-33#2 / 14mm (aria-argon 90%) / 27 CF60-3.
Comprese lamiere di raccordo, memebrane e isolanti.</v>
      </c>
      <c r="F34" s="117" t="s">
        <v>28</v>
      </c>
      <c r="G34" s="650">
        <f>ANACO!H22</f>
        <v>1</v>
      </c>
      <c r="H34" s="717">
        <f>ANACO!BS22</f>
        <v>15793.920888000001</v>
      </c>
      <c r="I34" s="719">
        <f t="shared" si="0"/>
        <v>15793.920888000001</v>
      </c>
    </row>
    <row r="35" spans="1:9" s="642" customFormat="1" ht="81.400000000000006" thickBot="1">
      <c r="A35" s="116" t="str">
        <f>ANACO!B23</f>
        <v>F6</v>
      </c>
      <c r="B35" s="223" t="str">
        <f>ANACO!$C$5</f>
        <v>P1002_25_CON_REV03_P1 E EI ALLUMINIO</v>
      </c>
      <c r="C35" s="223"/>
      <c r="D35" s="223"/>
      <c r="E35" s="118" t="str">
        <f>ANACO!C23</f>
        <v>Serramento portafinestra in legno doppia anta battente apertura interna fissato solidamente ad un controtelaio in profili di legno adeguatamente trattato e isolato. 
Compreso controtelaio costituito da profili in legno sagomato a L, adeguatamente trattato per evitare formazione di muffe o deformazioni geometriche, ancorato alla struttura principale mediante adeguate zanche annegate nel muro o viti di fissaggio. Vetro: 66.2 COOL-LITE 70-33#2 INDURITI / 20mm (aria-argon 90%) / 55.2 int. RICOTTI
Comprese lamiere di raccordo, memebrane e isolanti.</v>
      </c>
      <c r="F35" s="117" t="s">
        <v>28</v>
      </c>
      <c r="G35" s="650">
        <f>ANACO!H23</f>
        <v>11</v>
      </c>
      <c r="H35" s="717">
        <f>ANACO!BS23</f>
        <v>6480.5492250000007</v>
      </c>
      <c r="I35" s="719">
        <f t="shared" si="0"/>
        <v>71286.041475000005</v>
      </c>
    </row>
    <row r="36" spans="1:9" s="642" customFormat="1" ht="81.400000000000006" thickBot="1">
      <c r="A36" s="116" t="str">
        <f>ANACO!B24</f>
        <v>F6a</v>
      </c>
      <c r="B36" s="223" t="str">
        <f>ANACO!$C$5</f>
        <v>P1002_25_CON_REV03_P1 E EI ALLUMINIO</v>
      </c>
      <c r="C36" s="223"/>
      <c r="D36" s="223"/>
      <c r="E36" s="118" t="str">
        <f>ANACO!C24</f>
        <v>Serramento portafinestra in legno doppia anta battente apertura interna fissato solidamente ad un controtelaio in profili di legno adeguatamente trattato e isolato. SERRAMENTO A TENUTA FUMI.
Compreso controtelaio costituito da profili in legno sagomato a L, adeguatamente trattato per evitare formazione di muffe o deformazioni geometriche, ancorato alla struttura principale mediante adeguate zanche annegate nel muro o viti di fissaggio. Vetro: 66.2 COOL-LITE 70-33#2 INDURITI / 20mm (aria-argon 90%) / 55.2 int. RICOTTI
Comprese lamiere di raccordo, memebrane e isolanti.</v>
      </c>
      <c r="F36" s="117" t="s">
        <v>28</v>
      </c>
      <c r="G36" s="650">
        <f>ANACO!H24</f>
        <v>3</v>
      </c>
      <c r="H36" s="717">
        <f>ANACO!BS24</f>
        <v>6353.202225</v>
      </c>
      <c r="I36" s="719">
        <f t="shared" si="0"/>
        <v>19059.606674999999</v>
      </c>
    </row>
    <row r="37" spans="1:9" s="642" customFormat="1" ht="81.400000000000006" thickBot="1">
      <c r="A37" s="116" t="str">
        <f>ANACO!B25</f>
        <v>F6b</v>
      </c>
      <c r="B37" s="223" t="str">
        <f>ANACO!$C$5</f>
        <v>P1002_25_CON_REV03_P1 E EI ALLUMINIO</v>
      </c>
      <c r="C37" s="223"/>
      <c r="D37" s="223"/>
      <c r="E37" s="118" t="str">
        <f>ANACO!C25</f>
        <v>Serramento portafinestra in legno doppia anta battente apertura esterna fissato solidamente ad un controtelaio in profili di legno adeguatamente trattato e isolato. SERRAMENTO A TENUTA FUMI.
Compreso controtelaio costituito da profili in legno sagomato a L, adeguatamente trattato per evitare formazione di muffe o deformazioni geometriche, ancorato alla struttura principale mediante adeguate zanche annegate nel muro o viti di fissaggio. Vetro: 66.2 COOL-LITE 70-33#2 INDURITI / 20mm (aria-argon 90%) / 55.2 int. RICOTTI
Comprese lamiere di raccordo, memebrane e isolanti.</v>
      </c>
      <c r="F37" s="117" t="s">
        <v>28</v>
      </c>
      <c r="G37" s="650">
        <f>ANACO!H25</f>
        <v>1</v>
      </c>
      <c r="H37" s="717">
        <f>ANACO!BS25</f>
        <v>6353.202225</v>
      </c>
      <c r="I37" s="719">
        <f t="shared" si="0"/>
        <v>6353.202225</v>
      </c>
    </row>
    <row r="38" spans="1:9" s="642" customFormat="1" ht="81.400000000000006" thickBot="1">
      <c r="A38" s="116" t="str">
        <f>ANACO!B26</f>
        <v>F7</v>
      </c>
      <c r="B38" s="223" t="str">
        <f>ANACO!$C$5</f>
        <v>P1002_25_CON_REV03_P1 E EI ALLUMINIO</v>
      </c>
      <c r="C38" s="223"/>
      <c r="D38" s="223"/>
      <c r="E38" s="118" t="str">
        <f>ANACO!C26</f>
        <v>Serramento finestra in legno doppia anta battente apertura interna fissato solidamente ad un controtelaio in profili di legno adeguatamente trattato e isolato. 
Compreso controtelaio costituito da profili in legno sagomato a L, adeguatamente trattato per evitare formazione di muffe o deformazioni geometriche, ancorato alla struttura principale mediante adeguate zanche annegate nel muro o viti di fissaggio. Vetro: 66.2 COOL-LITE 70-33#2 INDURITI / 20mm (aria-argon 90%) / 55.2 int. RICOTTI
Comprese lamiere di raccordo, memebrane e isolanti.</v>
      </c>
      <c r="F38" s="117" t="s">
        <v>28</v>
      </c>
      <c r="G38" s="650">
        <f>ANACO!H26</f>
        <v>3</v>
      </c>
      <c r="H38" s="717">
        <f>ANACO!BS26</f>
        <v>4250.9381999999996</v>
      </c>
      <c r="I38" s="719">
        <f t="shared" si="0"/>
        <v>12752.814599999998</v>
      </c>
    </row>
    <row r="39" spans="1:9" s="642" customFormat="1" ht="81.400000000000006" thickBot="1">
      <c r="A39" s="116" t="str">
        <f>ANACO!B27</f>
        <v>F7a</v>
      </c>
      <c r="B39" s="223" t="str">
        <f>ANACO!$C$5</f>
        <v>P1002_25_CON_REV03_P1 E EI ALLUMINIO</v>
      </c>
      <c r="C39" s="223"/>
      <c r="D39" s="223"/>
      <c r="E39" s="118" t="str">
        <f>ANACO!C27</f>
        <v>Serramento finestra in legno doppia anta battente apertura interna fissato solidamente ad un controtelaio in profili di legno adeguatamente trattato e isolato. 
Compreso controtelaio costituito da profili in legno sagomato a L, adeguatamente trattato per evitare formazione di muffe o deformazioni geometriche, ancorato alla struttura principale mediante adeguate zanche annegate nel muro o viti di fissaggio. Vetro: 66.2 COOL-LITE 70-33#2 INDURITI / 20mm (aria-argon 90%) / 55.2 int. RICOTTI
Comprese lamiere di raccordo, memebrane e isolanti.</v>
      </c>
      <c r="F39" s="117" t="s">
        <v>28</v>
      </c>
      <c r="G39" s="650">
        <f>ANACO!H27</f>
        <v>2</v>
      </c>
      <c r="H39" s="717">
        <f>ANACO!BS27</f>
        <v>4250.9381999999996</v>
      </c>
      <c r="I39" s="719">
        <f t="shared" si="0"/>
        <v>8501.8763999999992</v>
      </c>
    </row>
    <row r="40" spans="1:9" s="722" customFormat="1" ht="14.65" thickBot="1">
      <c r="A40" s="708"/>
      <c r="B40" s="709"/>
      <c r="C40" s="709"/>
      <c r="D40" s="709"/>
      <c r="E40" s="713" t="str">
        <f>ANACO!C28</f>
        <v>SERRAMENTI SERIE S</v>
      </c>
      <c r="F40" s="710"/>
      <c r="G40" s="711"/>
      <c r="H40" s="714"/>
      <c r="I40" s="720"/>
    </row>
    <row r="41" spans="1:9" s="642" customFormat="1" ht="90.4" thickBot="1">
      <c r="A41" s="116" t="str">
        <f>ANACO!B29</f>
        <v>S1a</v>
      </c>
      <c r="B41" s="223" t="str">
        <f>ANACO!$C$5</f>
        <v>P1002_25_CON_REV03_P1 E EI ALLUMINIO</v>
      </c>
      <c r="C41" s="223"/>
      <c r="D41" s="223"/>
      <c r="E41" s="118" t="str">
        <f>ANACO!C29</f>
        <v>Serramento in acciaio con volta circolare fissa specchiatura inferiore con porta a doppio battente apertura esterna, sopraluce rettangolare fisso e apribile vasistas di ventilazione ad apertura meccanizzata. 
Controtelaio composto da tubi rettangolari ancorato alla struttura principale mediante adeguate zanche annegate nel muro o viti di fissaggio, il telaio deve essere correttamente isolato e zincato per proteggerlo dalla corrosione. 
Vetro: 66.2 COOL-LITE 70-33#2 INDURITI / 20mm (aria-argon 90%) / 55.2 int. INDURITI
Comprese lamiere di raccordo, memebrane e isolanti.</v>
      </c>
      <c r="F41" s="117" t="s">
        <v>28</v>
      </c>
      <c r="G41" s="650">
        <f>ANACO!H29</f>
        <v>1</v>
      </c>
      <c r="H41" s="717">
        <f>ANACO!BS29</f>
        <v>31940.779560000003</v>
      </c>
      <c r="I41" s="719">
        <f t="shared" si="0"/>
        <v>31940.779560000003</v>
      </c>
    </row>
    <row r="42" spans="1:9" s="642" customFormat="1" ht="81.400000000000006" thickBot="1">
      <c r="A42" s="116" t="str">
        <f>ANACO!B30</f>
        <v>S1b</v>
      </c>
      <c r="B42" s="223" t="str">
        <f>ANACO!$C$5</f>
        <v>P1002_25_CON_REV03_P1 E EI ALLUMINIO</v>
      </c>
      <c r="C42" s="223"/>
      <c r="D42" s="223"/>
      <c r="E42" s="118" t="str">
        <f>ANACO!C30</f>
        <v>Serramento in acciaio con volta circolare fissa specchiatura inferiore con porta a doppio battente apertura esterna, sopraluci rettangolari fissi.
Controtelaio composto da tubi rettangolari ancorato alla struttura principale mediante adeguate zanche annegate nel muro o viti di fissaggio, il telaio deve essere correttamente isolato e zincato per proteggerlo dalla corrosione. 
Vetro: 66.2 COOL-LITE 70-33#2 INDURITI / 20mm (aria-argon 90%) / 55.2 int. INDURITI
Comprese lamiere di raccordo, memebrane e isolanti.</v>
      </c>
      <c r="F42" s="117" t="s">
        <v>28</v>
      </c>
      <c r="G42" s="650">
        <f>ANACO!H30</f>
        <v>2</v>
      </c>
      <c r="H42" s="717">
        <f>ANACO!BS30</f>
        <v>31940.779560000003</v>
      </c>
      <c r="I42" s="719">
        <f t="shared" si="0"/>
        <v>63881.559120000005</v>
      </c>
    </row>
    <row r="43" spans="1:9" s="642" customFormat="1" ht="90.4" thickBot="1">
      <c r="A43" s="116" t="str">
        <f>ANACO!B31</f>
        <v>S1c</v>
      </c>
      <c r="B43" s="223" t="str">
        <f>ANACO!$C$5</f>
        <v>P1002_25_CON_REV03_P1 E EI ALLUMINIO</v>
      </c>
      <c r="C43" s="223"/>
      <c r="D43" s="223"/>
      <c r="E43" s="118" t="str">
        <f>ANACO!C31</f>
        <v>Serramento in acciaio con volta circolare fissa specchiatura inferiore con porta US a doppio battente apertura esterna con pushbar, sopraluci rettangolari fissi.
Controtelaio composto da tubi rettangolari ancorato alla struttura principale mediante adeguate zanche annegate nel muro o viti di fissaggio, il telaio deve essere correttamente isolato e zincato per proteggerlo dalla corrosione. 
Vetro: 66.2 COOL-LITE 70-33#2 INDURITI / 20mm (aria-argon 90%) / 55.2 int. INDURITI
Comprese lamiere di raccordo, memebrane e isolanti.</v>
      </c>
      <c r="F43" s="117" t="s">
        <v>28</v>
      </c>
      <c r="G43" s="650">
        <f>ANACO!H31</f>
        <v>1</v>
      </c>
      <c r="H43" s="717">
        <f>ANACO!BS31</f>
        <v>31940.779560000003</v>
      </c>
      <c r="I43" s="719">
        <f t="shared" si="0"/>
        <v>31940.779560000003</v>
      </c>
    </row>
    <row r="44" spans="1:9" s="642" customFormat="1" ht="90.4" thickBot="1">
      <c r="A44" s="116" t="str">
        <f>ANACO!B32</f>
        <v>S2a</v>
      </c>
      <c r="B44" s="223" t="str">
        <f>ANACO!$C$5</f>
        <v>P1002_25_CON_REV03_P1 E EI ALLUMINIO</v>
      </c>
      <c r="C44" s="223"/>
      <c r="D44" s="223"/>
      <c r="E44" s="118" t="str">
        <f>ANACO!C32</f>
        <v>Serramento in acciaio con volta circolare fissa specchiatura inferiore con vetri fissi, sopraluce rettangolare fisso e apribile vasistas di ventilazione apertura meccanizzata.
Controtelaio composto da tubi rettangolari ancorato alla struttura principale mediante adeguate zanche annegate nel muro o viti di fissaggio, il telaio deve essere correttamente isolato e zincato per proteggerlo dalla corrosione. 
Vetro: 66.2 COOL-LITE 70-33#2 INDURITI / 20mm (aria-argon 90%) / 55.2 int. INDURITI
Comprese lamiere di raccordo, memebrane e isolanti.</v>
      </c>
      <c r="F44" s="117" t="s">
        <v>28</v>
      </c>
      <c r="G44" s="650">
        <f>ANACO!H32</f>
        <v>3</v>
      </c>
      <c r="H44" s="717">
        <f>ANACO!BS32</f>
        <v>31239.349560000002</v>
      </c>
      <c r="I44" s="719">
        <f t="shared" si="0"/>
        <v>93718.048680000007</v>
      </c>
    </row>
    <row r="45" spans="1:9" s="642" customFormat="1" ht="81.400000000000006" thickBot="1">
      <c r="A45" s="116" t="str">
        <f>ANACO!B33</f>
        <v>S2b</v>
      </c>
      <c r="B45" s="223" t="str">
        <f>ANACO!$C$5</f>
        <v>P1002_25_CON_REV03_P1 E EI ALLUMINIO</v>
      </c>
      <c r="C45" s="223"/>
      <c r="D45" s="223"/>
      <c r="E45" s="118" t="str">
        <f>ANACO!C33</f>
        <v>Serramento in acciaio con volta circolare fissa specchiatura inferiore con vetri fissi, sopraluce rettangolari fissi.
Controtelaio composto da tubi rettangolari ancorato alla struttura principale mediante adeguate zanche annegate nel muro o viti di fissaggio, il telaio deve essere correttamente isolato e zincato per proteggerlo dalla corrosione. 
Vetro: 66.2 COOL-LITE 70-33#2 INDURITI / 20mm (aria-argon 90%) / 55.2 int. INDURITI
Comprese lamiere di raccordo, memebrane e isolanti.</v>
      </c>
      <c r="F45" s="117" t="s">
        <v>28</v>
      </c>
      <c r="G45" s="650">
        <f>ANACO!H33</f>
        <v>4</v>
      </c>
      <c r="H45" s="717">
        <f>ANACO!BS33</f>
        <v>31239.349560000002</v>
      </c>
      <c r="I45" s="719">
        <f t="shared" si="0"/>
        <v>124957.39824000001</v>
      </c>
    </row>
    <row r="46" spans="1:9" s="642" customFormat="1" ht="90.4" thickBot="1">
      <c r="A46" s="116" t="str">
        <f>ANACO!B34</f>
        <v>S2c</v>
      </c>
      <c r="B46" s="223" t="str">
        <f>ANACO!$C$5</f>
        <v>P1002_25_CON_REV03_P1 E EI ALLUMINIO</v>
      </c>
      <c r="C46" s="223"/>
      <c r="D46" s="223"/>
      <c r="E46" s="118" t="str">
        <f>ANACO!C34</f>
        <v>Serramento in acciaio con volta circolare fissa specchiatura inferiore con vetri fissi, sopraluce rettangolare fisso e apribile vasistas di ventilazione apertura meccanizzata.
Controtelaio composto da tubi rettangolari ancorato alla struttura principale mediante adeguate zanche annegate nel muro o viti di fissaggio, il telaio deve essere correttamente isolato e zincato per proteggerlo dalla corrosione. 
Vetro: 66.2 COOL-LITE 70-33#2 INDURITI / 20mm (aria-argon 90%) / 55.2 int. INDURITI
Comprese lamiere di raccordo, memebrane e isolanti.</v>
      </c>
      <c r="F46" s="117" t="s">
        <v>28</v>
      </c>
      <c r="G46" s="650">
        <f>ANACO!H34</f>
        <v>1</v>
      </c>
      <c r="H46" s="717">
        <f>ANACO!BS34</f>
        <v>31239.349560000002</v>
      </c>
      <c r="I46" s="719">
        <f t="shared" si="0"/>
        <v>31239.349560000002</v>
      </c>
    </row>
    <row r="47" spans="1:9" s="642" customFormat="1" ht="90.4" thickBot="1">
      <c r="A47" s="116" t="str">
        <f>ANACO!B35</f>
        <v>S3</v>
      </c>
      <c r="B47" s="223" t="str">
        <f>ANACO!$C$5</f>
        <v>P1002_25_CON_REV03_P1 E EI ALLUMINIO</v>
      </c>
      <c r="C47" s="223"/>
      <c r="D47" s="223"/>
      <c r="E47" s="118" t="str">
        <f>ANACO!C35</f>
        <v>Serramento in acciaio con volta circolare fissa, specchiatura inferiore con porta scorrevole ad anta e fissi laterali, sopraluce rettangolare fisso e apribile vasistas di ventilazione apertura meccanizzata.
Controtelaio composto da tubi rettangolari ancorato alla struttura principale mediante adeguate zanche annegate nel muro o viti di fissaggio, il telaio deve essere correttamente isolato e zincato per proteggerlo dalla corrosione. 
Vetro: 66.2 COOL-LITE 70-33#2 INDURITI / 20mm (aria-argon 90%) / 55.2 int. INDURITI
Comprese lamiere di raccordo, memebrane e isolanti.</v>
      </c>
      <c r="F47" s="117" t="s">
        <v>28</v>
      </c>
      <c r="G47" s="650">
        <f>ANACO!H35</f>
        <v>2</v>
      </c>
      <c r="H47" s="717">
        <f>ANACO!BS35</f>
        <v>36551.149559999998</v>
      </c>
      <c r="I47" s="719">
        <f t="shared" si="0"/>
        <v>73102.299119999996</v>
      </c>
    </row>
    <row r="48" spans="1:9" s="642" customFormat="1" ht="90.4" thickBot="1">
      <c r="A48" s="116" t="str">
        <f>ANACO!B36</f>
        <v>S4</v>
      </c>
      <c r="B48" s="223" t="str">
        <f>ANACO!$C$5</f>
        <v>P1002_25_CON_REV03_P1 E EI ALLUMINIO</v>
      </c>
      <c r="C48" s="223"/>
      <c r="D48" s="223"/>
      <c r="E48" s="118" t="str">
        <f>ANACO!C36</f>
        <v>Serramento in acciaio con volta circolare apribile a vasistas specchiatura inferiore con porta a doppio battente apertura esterna, sopraluce rettangolare fisso
Controtelaio composto da tubi rettangolari ancorato alla struttura principale mediante adeguate zanche annegate nel muro o viti di fissaggio, il telaio deve essere correttamente isolato e zincato per proteggerlo dalla corrosione. 
Vetro: 66.2 COOL-LITE 70-33#2 INDURITI / 20mm (aria-argon 90%) / 55.2 int. INDURITI
Comprese lamiere di raccordo, memebrane e isolanti.</v>
      </c>
      <c r="F48" s="117" t="s">
        <v>28</v>
      </c>
      <c r="G48" s="650">
        <f>ANACO!H36</f>
        <v>2</v>
      </c>
      <c r="H48" s="717">
        <f>ANACO!BS36</f>
        <v>16983.554340000002</v>
      </c>
      <c r="I48" s="719">
        <f t="shared" si="0"/>
        <v>33967.108680000005</v>
      </c>
    </row>
    <row r="49" spans="1:9" s="642" customFormat="1" ht="99.4" thickBot="1">
      <c r="A49" s="116" t="str">
        <f>ANACO!B37</f>
        <v>S4a - EI60</v>
      </c>
      <c r="B49" s="223" t="str">
        <f>ANACO!$C$5</f>
        <v>P1002_25_CON_REV03_P1 E EI ALLUMINIO</v>
      </c>
      <c r="C49" s="223"/>
      <c r="D49" s="223"/>
      <c r="E49" s="118" t="str">
        <f>ANACO!C37</f>
        <v>Serramento in acciaio con volta circolare apribile a vasistas meccanizzato e automatico specchiatura inferiore con porta a doppio battente apertura esterna, sopraluce rettangolare fisso.
SOSTITUITO CON ALLUMINIO 
Reynaers ConceptSystem 77-FP EI 60 (CS 77-FPEI60) 
Controtelaio composto da tubi rettangolari ancorato alla struttura principale mediante adeguate zanche annegate nel muro o viti di fissaggio, il telaio deve essere correttamente isolato e zincato per proteggerlo dalla corrosione.  
Vetro: 66.2 COOL-LITE 70-33#2 / 14mm (aria-argon 90%) / 27 CF60-3.
Comprese lamiere di raccordo, memebrane e isolanti.</v>
      </c>
      <c r="F49" s="117" t="s">
        <v>28</v>
      </c>
      <c r="G49" s="650">
        <f>ANACO!H37</f>
        <v>1</v>
      </c>
      <c r="H49" s="717">
        <f>ANACO!BS37</f>
        <v>20724.532499999998</v>
      </c>
      <c r="I49" s="719">
        <f t="shared" si="0"/>
        <v>20724.532499999998</v>
      </c>
    </row>
    <row r="50" spans="1:9" s="642" customFormat="1" ht="117.4" thickBot="1">
      <c r="A50" s="116" t="str">
        <f>ANACO!B38</f>
        <v>S5</v>
      </c>
      <c r="B50" s="223" t="str">
        <f>ANACO!$C$5</f>
        <v>P1002_25_CON_REV03_P1 E EI ALLUMINIO</v>
      </c>
      <c r="C50" s="223"/>
      <c r="D50" s="223"/>
      <c r="E50" s="118" t="str">
        <f>ANACO!C38</f>
        <v>Serramento in acciaio rettangolare con porta inferiore a doppia anta apertura esterna; tre specchiature sopraluce: inferiore apribile a battente apertura esterna, centrale rettangolare opaca fissa, superiore a vasistas apertura interna. SOSTITUITO CON SERRAMENTO IN ALLUMINIO COMPOSTO DA PIU ELEMENTI ACCOPPIATI Reynaers SlimLine 38 (SL 38) 
Controtelaio composto da tubi rettangolari ancorato alla struttura principale mediante adeguate zanche annegate nel muro o viti di fissaggio, il telaio deve essere correttamente isolato e zincato per proteggerlo dalla corrosione. 
Vetro: 66.2 COOL-LITE 70-33#2 INDURITI / 20mm (aria-argon 90%) / 55.2 int. INDURITI
Comprese lamiere di raccordo, memebrane e isolanti.</v>
      </c>
      <c r="F50" s="117" t="s">
        <v>28</v>
      </c>
      <c r="G50" s="650">
        <f>ANACO!H38</f>
        <v>1</v>
      </c>
      <c r="H50" s="717">
        <f>ANACO!BS38</f>
        <v>14567.897519999999</v>
      </c>
      <c r="I50" s="719">
        <f t="shared" si="0"/>
        <v>14567.897519999999</v>
      </c>
    </row>
    <row r="51" spans="1:9" s="642" customFormat="1" ht="117.4" thickBot="1">
      <c r="A51" s="116" t="str">
        <f>ANACO!B39</f>
        <v>S5a</v>
      </c>
      <c r="B51" s="223" t="str">
        <f>ANACO!$C$5</f>
        <v>P1002_25_CON_REV03_P1 E EI ALLUMINIO</v>
      </c>
      <c r="C51" s="223"/>
      <c r="D51" s="223"/>
      <c r="E51" s="118" t="str">
        <f>ANACO!C39</f>
        <v>Serramento in acciaio rettangolare con porta inferiore a doppia anta apertura esterna; con tre specchiature sopraluce: inferiore apribile a battente apertura esterna, centrale rettangolare opaca fissa, superiore a vasistas apertura interna.SOSTITUITO CON SERRAMENTO IN ALLUMINIO COMPOSTO DA PIU ELEMENTI ACCOPPIATI Reynaers SlimLine 38 (SL 38)
Controtelaio composto da tubi rettangolari ancorato alla struttura principale mediante adeguate zanche annegate nel muro o viti di fissaggio, il telaio deve essere correttamente isolato e zincato per proteggerlo dalla corrosione. 
Vetro: 66.2 COOL-LITE 70-33#2 INDURITI / 20mm (aria-argon 90%) / 55.2 int. INDURITI
Comprese lamiere di raccordo, memebrane e isolanti.</v>
      </c>
      <c r="F51" s="117" t="s">
        <v>28</v>
      </c>
      <c r="G51" s="650">
        <f>ANACO!H39</f>
        <v>1</v>
      </c>
      <c r="H51" s="717">
        <f>ANACO!BS39</f>
        <v>14567.897519999999</v>
      </c>
      <c r="I51" s="719">
        <f t="shared" si="0"/>
        <v>14567.897519999999</v>
      </c>
    </row>
    <row r="52" spans="1:9" s="642" customFormat="1" ht="117.4" thickBot="1">
      <c r="A52" s="116" t="str">
        <f>ANACO!B40</f>
        <v>S6</v>
      </c>
      <c r="B52" s="223" t="str">
        <f>ANACO!$C$5</f>
        <v>P1002_25_CON_REV03_P1 E EI ALLUMINIO</v>
      </c>
      <c r="C52" s="223"/>
      <c r="D52" s="223"/>
      <c r="E52" s="118" t="str">
        <f>ANACO!C40</f>
        <v>Serramento in acciaio rettangolare con porta inferiore a doppia anta apertura interna; tre specchiature sopraluce: inferiore apribile a vasistas apertura interna, centrale rettangolare opaca fissa, superiore a vasistas apertura interna.SOSTITUITO CON SERRAMENTO IN ALLUMINIO COMPOSTO DA PIU ELEMENTI ACCOPPIATI Reynaers SlimLine 38 (SL 38)
Controtelaio composto da tubi rettangolari ancorato alla struttura principale mediante adeguate zanche annegate nel muro o viti di fissaggio, il telaio deve essere correttamente isolato e zincato per proteggerlo dalla corrosione. 
Vetro: 66.2 COOL-LITE 70-33#2 INDURITI / 20mm (aria-argon 90%) / 55.2 int. INDURITI
Comprese lamiere di raccordo, memebrane e isolanti.</v>
      </c>
      <c r="F52" s="117" t="s">
        <v>28</v>
      </c>
      <c r="G52" s="650">
        <f>ANACO!H40</f>
        <v>2</v>
      </c>
      <c r="H52" s="717">
        <f>ANACO!BS40</f>
        <v>14555.639519999999</v>
      </c>
      <c r="I52" s="719">
        <f t="shared" si="0"/>
        <v>29111.279039999998</v>
      </c>
    </row>
    <row r="53" spans="1:9" s="642" customFormat="1" ht="117.4" thickBot="1">
      <c r="A53" s="116" t="str">
        <f>ANACO!B41</f>
        <v>S6a</v>
      </c>
      <c r="B53" s="223" t="str">
        <f>ANACO!$C$5</f>
        <v>P1002_25_CON_REV03_P1 E EI ALLUMINIO</v>
      </c>
      <c r="C53" s="223"/>
      <c r="D53" s="223"/>
      <c r="E53" s="118" t="str">
        <f>ANACO!C41</f>
        <v>Serramento in acciaio rettangolare con porta inferiore a doppia anta apertura interna; con tre specchiature sopraluce: inferiore apribile a battente apertura esterna, centrale rettangolare opaca fissa, superiore a vasistas apertura interna.SOSTITUITO CON SERRAMENTO IN ALLUMINIO COMPOSTO DA PIU ELEMENTI ACCOPPIATI Reynaers SlimLine 38 (SL 38)
Controtelaio composto da tubi rettangolari ancorato alla struttura principale mediante adeguate zanche annegate nel muro o viti di fissaggio, il telaio deve essere correttamente isolato e zincato per proteggerlo dalla corrosione. 
Vetro: 66.2 COOL-LITE 70-33#2 INDURITI / 20mm (aria-argon 90%) / 55.2 int. INDURITI
Comprese lamiere di raccordo, memebrane e isolanti.</v>
      </c>
      <c r="F53" s="117" t="s">
        <v>28</v>
      </c>
      <c r="G53" s="650">
        <f>ANACO!H41</f>
        <v>4</v>
      </c>
      <c r="H53" s="717">
        <f>ANACO!BS41</f>
        <v>14567.897519999999</v>
      </c>
      <c r="I53" s="719">
        <f t="shared" si="0"/>
        <v>58271.590079999994</v>
      </c>
    </row>
    <row r="54" spans="1:9" s="642" customFormat="1" ht="117.4" thickBot="1">
      <c r="A54" s="116" t="str">
        <f>ANACO!B42</f>
        <v>S7</v>
      </c>
      <c r="B54" s="223" t="str">
        <f>ANACO!$C$5</f>
        <v>P1002_25_CON_REV03_P1 E EI ALLUMINIO</v>
      </c>
      <c r="C54" s="223"/>
      <c r="D54" s="223"/>
      <c r="E54" s="118" t="str">
        <f>ANACO!C42</f>
        <v>Serramento in acciaio rettangolare con porta inferiore a doppia anta apertura esterna US con pushbar; tre specchiature sopraluce: inferiore apribile a battente e apertura esterna, centrale rettangolare opaca fissa, superiore a vasistas apertura interna.SOSTITUITO CON SERRAMENTO IN ALLUMINIO COMPOSTO DA PIU ELEMENTI ACCOPPIATI Reynaers SlimLine 38 (SL 38)
Controtelaio composto da tubi rettangolari ancorato alla struttura principale mediante adeguate zanche annegate nel muro o viti di fissaggio, il telaio deve essere correttamente isolato e zincato per proteggerlo dalla corrosione. 
Vetro: 66.2 COOL-LITE 70-33#2 INDURITI / 20mm (aria-argon 90%) / 55.2 int. INDURITI
Comprese lamiere di raccordo, memebrane e isolanti.</v>
      </c>
      <c r="F54" s="117" t="s">
        <v>28</v>
      </c>
      <c r="G54" s="650">
        <f>ANACO!H42</f>
        <v>1</v>
      </c>
      <c r="H54" s="717">
        <f>ANACO!BS42</f>
        <v>20442.061872000002</v>
      </c>
      <c r="I54" s="719">
        <f t="shared" si="0"/>
        <v>20442.061872000002</v>
      </c>
    </row>
    <row r="55" spans="1:9" s="642" customFormat="1" ht="117.4" thickBot="1">
      <c r="A55" s="116" t="str">
        <f>ANACO!B43</f>
        <v>S7a</v>
      </c>
      <c r="B55" s="223" t="str">
        <f>ANACO!$C$5</f>
        <v>P1002_25_CON_REV03_P1 E EI ALLUMINIO</v>
      </c>
      <c r="C55" s="223"/>
      <c r="D55" s="223"/>
      <c r="E55" s="118" t="str">
        <f>ANACO!C43</f>
        <v>Serramento in acciaio rettangolare con porta inferiore a doppia anta apertura esterna US con pushbar; tre specchiature sopraluce: inferiore apribile a battente e apertura esterna, centrale rettangolare opaca fissa, superiore a vasistas apertura interna.SOSTITUITO CON SERRAMENTO IN ALLUMINIO COMPOSTO DA PIU ELEMENTI ACCOPPIATI Reynaers SlimLine 38 (SL 38)
Controtelaio composto da tubi rettangolari ancorato alla struttura principale mediante adeguate zanche annegate nel muro o viti di fissaggio, il telaio deve essere correttamente isolato e zincato per proteggerlo dalla corrosione. 
Vetro: 66.2 COOL-LITE 70-33#2 INDURITI / 20mm (aria-argon 90%) / 55.2 int. INDURITI
Comprese lamiere di raccordo, memebrane e isolanti.</v>
      </c>
      <c r="F55" s="117" t="s">
        <v>28</v>
      </c>
      <c r="G55" s="650">
        <f>ANACO!H43</f>
        <v>1</v>
      </c>
      <c r="H55" s="717">
        <f>ANACO!BS43</f>
        <v>20442.061872000002</v>
      </c>
      <c r="I55" s="719">
        <f t="shared" si="0"/>
        <v>20442.061872000002</v>
      </c>
    </row>
    <row r="56" spans="1:9" s="642" customFormat="1" ht="117.4" thickBot="1">
      <c r="A56" s="116" t="str">
        <f>ANACO!B44</f>
        <v>S7b</v>
      </c>
      <c r="B56" s="223" t="str">
        <f>ANACO!$C$5</f>
        <v>P1002_25_CON_REV03_P1 E EI ALLUMINIO</v>
      </c>
      <c r="C56" s="223"/>
      <c r="D56" s="223"/>
      <c r="E56" s="118" t="str">
        <f>ANACO!C44</f>
        <v>Serramento in acciaio rettangolare con porta inferiore a doppia anta apertura esterna US con pushbar; tre specchiature sopraluce:; inferiore apribile a battente e apertura esterna, centrale rettangolare opaca fissa, superiore a battente e apertura esterna.SOSTITUITO CON SERRAMENTO IN ALLUMINIO COMPOSTO DA PIU ELEMENTI ACCOPPIATI Reynaers SlimLine 38 (SL 38)
Controtelaio composto da tubi rettangolari ancorato alla struttura principale mediante adeguate zanche annegate nel muro o viti di fissaggio, il telaio deve essere correttamente isolato e zincato per proteggerlo dalla corrosione. 
Vetro: 66.2 COOL-LITE 70-33#2 INDURITI / 20mm (aria-argon 90%) / 55.2 int. INDURITI
Comprese lamiere di raccordo, memebrane e isolanti.</v>
      </c>
      <c r="F56" s="117" t="s">
        <v>28</v>
      </c>
      <c r="G56" s="650">
        <f>ANACO!H44</f>
        <v>1</v>
      </c>
      <c r="H56" s="717">
        <f>ANACO!BS44</f>
        <v>20455.681872000001</v>
      </c>
      <c r="I56" s="719">
        <f t="shared" si="0"/>
        <v>20455.681872000001</v>
      </c>
    </row>
    <row r="57" spans="1:9" s="642" customFormat="1" ht="117">
      <c r="A57" s="116" t="str">
        <f>ANACO!B45</f>
        <v>S8</v>
      </c>
      <c r="B57" s="223" t="str">
        <f>ANACO!$C$5</f>
        <v>P1002_25_CON_REV03_P1 E EI ALLUMINIO</v>
      </c>
      <c r="C57" s="223"/>
      <c r="D57" s="223"/>
      <c r="E57" s="118" t="str">
        <f>ANACO!C45</f>
        <v>Serramento in acciaio rettangolare con porta inferiore a doppia anta apertura esterna; tre specchiature sopraluce:; inferiore apribile a battente e apertura esterna, centrale rettangolare opaca fissa, superiore a battente e apertura esterna.SOSTITUITO CON SERRAMENTO IN ALLUMINIO COMPOSTO DA PIU ELEMENTI ACCOPPIATI Reynaers SlimLine 38 (SL 38)
Controtelaio composto da tubi rettangolari ancorato alla struttura principale mediante adeguate zanche annegate nel muro o viti di fissaggio, il telaio deve essere correttamente isolato e zincato per proteggerlo dalla corrosione. 
Vetro: 66.2 COOL-LITE 70-33#2 INDURITI / 20mm (aria-argon 90%) / 55.2 int. INDURITI
Comprese lamiere di raccordo, memebrane e isolanti.</v>
      </c>
      <c r="F57" s="117" t="s">
        <v>28</v>
      </c>
      <c r="G57" s="715">
        <f>ANACO!H45</f>
        <v>4</v>
      </c>
      <c r="H57" s="717">
        <f>ANACO!BS45</f>
        <v>19496.833871999999</v>
      </c>
      <c r="I57" s="721">
        <f t="shared" si="0"/>
        <v>77987.335487999997</v>
      </c>
    </row>
    <row r="58" spans="1:9" s="642" customFormat="1" ht="90">
      <c r="A58" s="116" t="str">
        <f>ANACO!B46</f>
        <v>S9</v>
      </c>
      <c r="B58" s="223" t="str">
        <f>ANACO!$C$5</f>
        <v>P1002_25_CON_REV03_P1 E EI ALLUMINIO</v>
      </c>
      <c r="C58" s="223"/>
      <c r="D58" s="223"/>
      <c r="E58" s="118" t="str">
        <f>ANACO!C46</f>
        <v>Serramento in acciaio con volta circolare fissa specchiatura inferiore con vetri fissi, sopraluce rettangolare fisso e apribile vasistas di ventilazione apertura meccanizzata.
Controtelaio composto da tubi rettangolari ancorato alla struttura principale mediante adeguate zanche annegate nel muro o viti di fissaggio, il telaio deve essere correttamente isolato e zincato per proteggerlo dalla corrosione. 
Vetro: 66.2 COOL-LITE 70-33#2 INDURITI / 20mm (aria-argon 90%) / 55.2 int. INDURITI
Comprese lamiere di raccordo, memebrane e isolanti.</v>
      </c>
      <c r="F58" s="117" t="s">
        <v>28</v>
      </c>
      <c r="G58" s="650">
        <f>ANACO!H46</f>
        <v>2</v>
      </c>
      <c r="H58" s="651">
        <f>ANACO!BS46</f>
        <v>31239.349560000002</v>
      </c>
      <c r="I58" s="651">
        <f t="shared" si="0"/>
        <v>62478.699120000005</v>
      </c>
    </row>
    <row r="59" spans="1:9" s="642" customFormat="1" ht="99">
      <c r="A59" s="116" t="str">
        <f>ANACO!B47</f>
        <v>FW</v>
      </c>
      <c r="B59" s="223" t="str">
        <f>ANACO!$C$5</f>
        <v>P1002_25_CON_REV03_P1 E EI ALLUMINIO</v>
      </c>
      <c r="C59" s="223"/>
      <c r="D59" s="223"/>
      <c r="E59" s="118" t="str">
        <f>ANACO!C47</f>
        <v>CONNECTION - SISTEMA FACCIATA MONTANTI E TRAVERSI CON CARTELLA :
Reynaers ConceptWall 50/60 (CW50-CW60) 
Reynaers SlimLine 38 (SL 38) 
Reynaers ConceptWall Outward Opening GB
Secondo documento di gara
Compresi: partizione EI60 FISSA Reynaers ConceptWall 50-FP (CW 50-FP) 
Vetro: 66.2 COOL-LITE 70-33#2 INDURITI / 20mm (aria-argon 90%) / 55.2 int. INDURITI
Comprese lamiere di finitura estern sv. 500mm ,  isolanti e staffe.</v>
      </c>
      <c r="F59" s="117" t="s">
        <v>29</v>
      </c>
      <c r="G59" s="726">
        <f>ANACO!I47</f>
        <v>1</v>
      </c>
      <c r="H59" s="651">
        <f>ANACO!BS47</f>
        <v>129390</v>
      </c>
      <c r="I59" s="651">
        <f t="shared" ref="I59:I122" si="1">G59*H59</f>
        <v>129390</v>
      </c>
    </row>
    <row r="60" spans="1:9" s="642" customFormat="1" ht="36" hidden="1">
      <c r="A60" s="116">
        <f>ANACO!B48</f>
        <v>0</v>
      </c>
      <c r="B60" s="223" t="str">
        <f>ANACO!$C$5</f>
        <v>P1002_25_CON_REV03_P1 E EI ALLUMINIO</v>
      </c>
      <c r="C60" s="223"/>
      <c r="D60" s="223"/>
      <c r="E60" s="118">
        <f>ANACO!C48</f>
        <v>0</v>
      </c>
      <c r="F60" s="117" t="s">
        <v>28</v>
      </c>
      <c r="G60" s="649">
        <f>ANACO!I48</f>
        <v>0</v>
      </c>
      <c r="H60" s="651">
        <f>ANACO!BS48</f>
        <v>0</v>
      </c>
      <c r="I60" s="651">
        <f t="shared" si="1"/>
        <v>0</v>
      </c>
    </row>
    <row r="61" spans="1:9" s="642" customFormat="1" ht="36" hidden="1">
      <c r="A61" s="116">
        <f>ANACO!B49</f>
        <v>0</v>
      </c>
      <c r="B61" s="223" t="str">
        <f>ANACO!$C$5</f>
        <v>P1002_25_CON_REV03_P1 E EI ALLUMINIO</v>
      </c>
      <c r="C61" s="223"/>
      <c r="D61" s="223"/>
      <c r="E61" s="118">
        <f>ANACO!C49</f>
        <v>0</v>
      </c>
      <c r="F61" s="117" t="s">
        <v>28</v>
      </c>
      <c r="G61" s="131">
        <f>ANACO!I49</f>
        <v>0</v>
      </c>
      <c r="H61" s="651">
        <f>ANACO!BS49</f>
        <v>0</v>
      </c>
      <c r="I61" s="651">
        <f t="shared" si="1"/>
        <v>0</v>
      </c>
    </row>
    <row r="62" spans="1:9" s="642" customFormat="1" ht="36" hidden="1">
      <c r="A62" s="116">
        <f>ANACO!B50</f>
        <v>0</v>
      </c>
      <c r="B62" s="223" t="str">
        <f>ANACO!$C$5</f>
        <v>P1002_25_CON_REV03_P1 E EI ALLUMINIO</v>
      </c>
      <c r="C62" s="223"/>
      <c r="D62" s="223"/>
      <c r="E62" s="118">
        <f>ANACO!C50</f>
        <v>0</v>
      </c>
      <c r="F62" s="117" t="s">
        <v>28</v>
      </c>
      <c r="G62" s="131">
        <f>ANACO!I50</f>
        <v>0</v>
      </c>
      <c r="H62" s="651">
        <f>ANACO!BS50</f>
        <v>0</v>
      </c>
      <c r="I62" s="651">
        <f t="shared" si="1"/>
        <v>0</v>
      </c>
    </row>
    <row r="63" spans="1:9" s="642" customFormat="1" ht="36" hidden="1">
      <c r="A63" s="116">
        <f>ANACO!B51</f>
        <v>0</v>
      </c>
      <c r="B63" s="223" t="str">
        <f>ANACO!$C$5</f>
        <v>P1002_25_CON_REV03_P1 E EI ALLUMINIO</v>
      </c>
      <c r="C63" s="223"/>
      <c r="D63" s="223"/>
      <c r="E63" s="118">
        <f>ANACO!C51</f>
        <v>0</v>
      </c>
      <c r="F63" s="117" t="s">
        <v>28</v>
      </c>
      <c r="G63" s="131">
        <f>ANACO!I51</f>
        <v>0</v>
      </c>
      <c r="H63" s="651">
        <f>ANACO!BS51</f>
        <v>0</v>
      </c>
      <c r="I63" s="651">
        <f t="shared" si="1"/>
        <v>0</v>
      </c>
    </row>
    <row r="64" spans="1:9" s="642" customFormat="1" ht="36" hidden="1">
      <c r="A64" s="116">
        <f>ANACO!B52</f>
        <v>0</v>
      </c>
      <c r="B64" s="223" t="str">
        <f>ANACO!$C$5</f>
        <v>P1002_25_CON_REV03_P1 E EI ALLUMINIO</v>
      </c>
      <c r="C64" s="223"/>
      <c r="D64" s="223"/>
      <c r="E64" s="118">
        <f>ANACO!C52</f>
        <v>0</v>
      </c>
      <c r="F64" s="117" t="s">
        <v>28</v>
      </c>
      <c r="G64" s="131">
        <f>ANACO!I52</f>
        <v>0</v>
      </c>
      <c r="H64" s="651">
        <f>ANACO!BS52</f>
        <v>0</v>
      </c>
      <c r="I64" s="651">
        <f t="shared" si="1"/>
        <v>0</v>
      </c>
    </row>
    <row r="65" spans="1:9" s="642" customFormat="1" ht="36" hidden="1">
      <c r="A65" s="116">
        <f>ANACO!B53</f>
        <v>0</v>
      </c>
      <c r="B65" s="223" t="str">
        <f>ANACO!$C$5</f>
        <v>P1002_25_CON_REV03_P1 E EI ALLUMINIO</v>
      </c>
      <c r="C65" s="223"/>
      <c r="D65" s="223"/>
      <c r="E65" s="118">
        <f>ANACO!C53</f>
        <v>0</v>
      </c>
      <c r="F65" s="117" t="s">
        <v>28</v>
      </c>
      <c r="G65" s="131">
        <f>ANACO!I53</f>
        <v>0</v>
      </c>
      <c r="H65" s="651">
        <f>ANACO!BS53</f>
        <v>0</v>
      </c>
      <c r="I65" s="651">
        <f t="shared" si="1"/>
        <v>0</v>
      </c>
    </row>
    <row r="66" spans="1:9" s="642" customFormat="1" ht="36" hidden="1">
      <c r="A66" s="116">
        <f>ANACO!B54</f>
        <v>0</v>
      </c>
      <c r="B66" s="223" t="str">
        <f>ANACO!$C$5</f>
        <v>P1002_25_CON_REV03_P1 E EI ALLUMINIO</v>
      </c>
      <c r="C66" s="223"/>
      <c r="D66" s="223"/>
      <c r="E66" s="118">
        <f>ANACO!C54</f>
        <v>0</v>
      </c>
      <c r="F66" s="117" t="s">
        <v>28</v>
      </c>
      <c r="G66" s="131">
        <f>ANACO!I54</f>
        <v>0</v>
      </c>
      <c r="H66" s="651">
        <f>ANACO!BS54</f>
        <v>0</v>
      </c>
      <c r="I66" s="651">
        <f t="shared" si="1"/>
        <v>0</v>
      </c>
    </row>
    <row r="67" spans="1:9" s="642" customFormat="1" ht="36" hidden="1">
      <c r="A67" s="116">
        <f>ANACO!B55</f>
        <v>0</v>
      </c>
      <c r="B67" s="223" t="str">
        <f>ANACO!$C$5</f>
        <v>P1002_25_CON_REV03_P1 E EI ALLUMINIO</v>
      </c>
      <c r="C67" s="223"/>
      <c r="D67" s="223"/>
      <c r="E67" s="118">
        <f>ANACO!C55</f>
        <v>0</v>
      </c>
      <c r="F67" s="117" t="s">
        <v>28</v>
      </c>
      <c r="G67" s="131">
        <f>ANACO!I55</f>
        <v>0</v>
      </c>
      <c r="H67" s="651">
        <f>ANACO!BS55</f>
        <v>0</v>
      </c>
      <c r="I67" s="651">
        <f t="shared" si="1"/>
        <v>0</v>
      </c>
    </row>
    <row r="68" spans="1:9" s="642" customFormat="1" ht="36" hidden="1">
      <c r="A68" s="116">
        <f>ANACO!B56</f>
        <v>0</v>
      </c>
      <c r="B68" s="223" t="str">
        <f>ANACO!$C$5</f>
        <v>P1002_25_CON_REV03_P1 E EI ALLUMINIO</v>
      </c>
      <c r="C68" s="223"/>
      <c r="D68" s="223"/>
      <c r="E68" s="118">
        <f>ANACO!C56</f>
        <v>0</v>
      </c>
      <c r="F68" s="117" t="s">
        <v>28</v>
      </c>
      <c r="G68" s="131">
        <f>ANACO!I56</f>
        <v>0</v>
      </c>
      <c r="H68" s="651">
        <f>ANACO!BS56</f>
        <v>0</v>
      </c>
      <c r="I68" s="651">
        <f t="shared" si="1"/>
        <v>0</v>
      </c>
    </row>
    <row r="69" spans="1:9" s="642" customFormat="1" ht="36" hidden="1">
      <c r="A69" s="116">
        <f>ANACO!B57</f>
        <v>0</v>
      </c>
      <c r="B69" s="223" t="str">
        <f>ANACO!$C$5</f>
        <v>P1002_25_CON_REV03_P1 E EI ALLUMINIO</v>
      </c>
      <c r="C69" s="223"/>
      <c r="D69" s="223"/>
      <c r="E69" s="118">
        <f>ANACO!C57</f>
        <v>0</v>
      </c>
      <c r="F69" s="117" t="s">
        <v>28</v>
      </c>
      <c r="G69" s="131">
        <f>ANACO!I57</f>
        <v>0</v>
      </c>
      <c r="H69" s="651">
        <f>ANACO!BS57</f>
        <v>0</v>
      </c>
      <c r="I69" s="651">
        <f t="shared" si="1"/>
        <v>0</v>
      </c>
    </row>
    <row r="70" spans="1:9" s="642" customFormat="1" ht="36" hidden="1">
      <c r="A70" s="116">
        <f>ANACO!B58</f>
        <v>0</v>
      </c>
      <c r="B70" s="223" t="str">
        <f>ANACO!$C$5</f>
        <v>P1002_25_CON_REV03_P1 E EI ALLUMINIO</v>
      </c>
      <c r="C70" s="223"/>
      <c r="D70" s="223"/>
      <c r="E70" s="118">
        <f>ANACO!C58</f>
        <v>0</v>
      </c>
      <c r="F70" s="117" t="s">
        <v>28</v>
      </c>
      <c r="G70" s="131">
        <f>ANACO!I58</f>
        <v>0</v>
      </c>
      <c r="H70" s="651">
        <f>ANACO!BS58</f>
        <v>0</v>
      </c>
      <c r="I70" s="651">
        <f t="shared" si="1"/>
        <v>0</v>
      </c>
    </row>
    <row r="71" spans="1:9" s="642" customFormat="1" ht="36" hidden="1">
      <c r="A71" s="116">
        <f>ANACO!B59</f>
        <v>0</v>
      </c>
      <c r="B71" s="223" t="str">
        <f>ANACO!$C$5</f>
        <v>P1002_25_CON_REV03_P1 E EI ALLUMINIO</v>
      </c>
      <c r="C71" s="223"/>
      <c r="D71" s="223"/>
      <c r="E71" s="118">
        <f>ANACO!C59</f>
        <v>0</v>
      </c>
      <c r="F71" s="117" t="s">
        <v>28</v>
      </c>
      <c r="G71" s="131">
        <f>ANACO!I59</f>
        <v>0</v>
      </c>
      <c r="H71" s="651">
        <f>ANACO!BS59</f>
        <v>0</v>
      </c>
      <c r="I71" s="651">
        <f t="shared" si="1"/>
        <v>0</v>
      </c>
    </row>
    <row r="72" spans="1:9" s="642" customFormat="1" ht="36" hidden="1">
      <c r="A72" s="116">
        <f>ANACO!B60</f>
        <v>0</v>
      </c>
      <c r="B72" s="223" t="str">
        <f>ANACO!$C$5</f>
        <v>P1002_25_CON_REV03_P1 E EI ALLUMINIO</v>
      </c>
      <c r="C72" s="223"/>
      <c r="D72" s="223"/>
      <c r="E72" s="118">
        <f>ANACO!C60</f>
        <v>0</v>
      </c>
      <c r="F72" s="117" t="s">
        <v>28</v>
      </c>
      <c r="G72" s="131">
        <f>ANACO!I60</f>
        <v>0</v>
      </c>
      <c r="H72" s="651">
        <f>ANACO!BS60</f>
        <v>0</v>
      </c>
      <c r="I72" s="651">
        <f t="shared" si="1"/>
        <v>0</v>
      </c>
    </row>
    <row r="73" spans="1:9" s="642" customFormat="1" ht="36" hidden="1">
      <c r="A73" s="116">
        <f>ANACO!B61</f>
        <v>0</v>
      </c>
      <c r="B73" s="223" t="str">
        <f>ANACO!$C$5</f>
        <v>P1002_25_CON_REV03_P1 E EI ALLUMINIO</v>
      </c>
      <c r="C73" s="223"/>
      <c r="D73" s="223"/>
      <c r="E73" s="118">
        <f>ANACO!C61</f>
        <v>0</v>
      </c>
      <c r="F73" s="117" t="s">
        <v>28</v>
      </c>
      <c r="G73" s="131">
        <f>ANACO!I61</f>
        <v>0</v>
      </c>
      <c r="H73" s="651">
        <f>ANACO!BS61</f>
        <v>0</v>
      </c>
      <c r="I73" s="651">
        <f t="shared" si="1"/>
        <v>0</v>
      </c>
    </row>
    <row r="74" spans="1:9" s="642" customFormat="1" ht="36" hidden="1">
      <c r="A74" s="116">
        <f>ANACO!B62</f>
        <v>0</v>
      </c>
      <c r="B74" s="223" t="str">
        <f>ANACO!$C$5</f>
        <v>P1002_25_CON_REV03_P1 E EI ALLUMINIO</v>
      </c>
      <c r="C74" s="223"/>
      <c r="D74" s="223"/>
      <c r="E74" s="118">
        <f>ANACO!C62</f>
        <v>0</v>
      </c>
      <c r="F74" s="117" t="s">
        <v>28</v>
      </c>
      <c r="G74" s="131">
        <f>ANACO!I62</f>
        <v>0</v>
      </c>
      <c r="H74" s="651">
        <f>ANACO!BS62</f>
        <v>0</v>
      </c>
      <c r="I74" s="651">
        <f t="shared" si="1"/>
        <v>0</v>
      </c>
    </row>
    <row r="75" spans="1:9" s="642" customFormat="1" ht="36" hidden="1">
      <c r="A75" s="116">
        <f>ANACO!B63</f>
        <v>0</v>
      </c>
      <c r="B75" s="223" t="str">
        <f>ANACO!$C$5</f>
        <v>P1002_25_CON_REV03_P1 E EI ALLUMINIO</v>
      </c>
      <c r="C75" s="223"/>
      <c r="D75" s="223"/>
      <c r="E75" s="118">
        <f>ANACO!C63</f>
        <v>0</v>
      </c>
      <c r="F75" s="117" t="s">
        <v>28</v>
      </c>
      <c r="G75" s="131">
        <f>ANACO!I63</f>
        <v>0</v>
      </c>
      <c r="H75" s="651">
        <f>ANACO!BS63</f>
        <v>0</v>
      </c>
      <c r="I75" s="651">
        <f t="shared" si="1"/>
        <v>0</v>
      </c>
    </row>
    <row r="76" spans="1:9" s="642" customFormat="1" ht="36" hidden="1">
      <c r="A76" s="116">
        <f>ANACO!B64</f>
        <v>0</v>
      </c>
      <c r="B76" s="223" t="str">
        <f>ANACO!$C$5</f>
        <v>P1002_25_CON_REV03_P1 E EI ALLUMINIO</v>
      </c>
      <c r="C76" s="223"/>
      <c r="D76" s="223"/>
      <c r="E76" s="118">
        <f>ANACO!C64</f>
        <v>0</v>
      </c>
      <c r="F76" s="117" t="s">
        <v>28</v>
      </c>
      <c r="G76" s="131">
        <f>ANACO!I64</f>
        <v>0</v>
      </c>
      <c r="H76" s="651">
        <f>ANACO!BS64</f>
        <v>0</v>
      </c>
      <c r="I76" s="651">
        <f t="shared" si="1"/>
        <v>0</v>
      </c>
    </row>
    <row r="77" spans="1:9" s="642" customFormat="1" ht="36" hidden="1">
      <c r="A77" s="116">
        <f>ANACO!B65</f>
        <v>0</v>
      </c>
      <c r="B77" s="223" t="str">
        <f>ANACO!$C$5</f>
        <v>P1002_25_CON_REV03_P1 E EI ALLUMINIO</v>
      </c>
      <c r="C77" s="223"/>
      <c r="D77" s="223"/>
      <c r="E77" s="118">
        <f>ANACO!C65</f>
        <v>0</v>
      </c>
      <c r="F77" s="117" t="s">
        <v>28</v>
      </c>
      <c r="G77" s="131">
        <f>ANACO!I65</f>
        <v>0</v>
      </c>
      <c r="H77" s="651">
        <f>ANACO!BS65</f>
        <v>0</v>
      </c>
      <c r="I77" s="651">
        <f t="shared" si="1"/>
        <v>0</v>
      </c>
    </row>
    <row r="78" spans="1:9" s="642" customFormat="1" ht="36" hidden="1">
      <c r="A78" s="116">
        <f>ANACO!B66</f>
        <v>0</v>
      </c>
      <c r="B78" s="223" t="str">
        <f>ANACO!$C$5</f>
        <v>P1002_25_CON_REV03_P1 E EI ALLUMINIO</v>
      </c>
      <c r="C78" s="223"/>
      <c r="D78" s="223"/>
      <c r="E78" s="118">
        <f>ANACO!C66</f>
        <v>0</v>
      </c>
      <c r="F78" s="117" t="s">
        <v>28</v>
      </c>
      <c r="G78" s="131">
        <f>ANACO!I66</f>
        <v>0</v>
      </c>
      <c r="H78" s="651">
        <f>ANACO!BS66</f>
        <v>0</v>
      </c>
      <c r="I78" s="651">
        <f t="shared" si="1"/>
        <v>0</v>
      </c>
    </row>
    <row r="79" spans="1:9" s="642" customFormat="1" ht="36" hidden="1">
      <c r="A79" s="116">
        <f>ANACO!B67</f>
        <v>0</v>
      </c>
      <c r="B79" s="223" t="str">
        <f>ANACO!$C$5</f>
        <v>P1002_25_CON_REV03_P1 E EI ALLUMINIO</v>
      </c>
      <c r="C79" s="223"/>
      <c r="D79" s="223"/>
      <c r="E79" s="118">
        <f>ANACO!C67</f>
        <v>0</v>
      </c>
      <c r="F79" s="117" t="s">
        <v>28</v>
      </c>
      <c r="G79" s="131">
        <f>ANACO!I67</f>
        <v>0</v>
      </c>
      <c r="H79" s="651">
        <f>ANACO!BS67</f>
        <v>0</v>
      </c>
      <c r="I79" s="651">
        <f t="shared" si="1"/>
        <v>0</v>
      </c>
    </row>
    <row r="80" spans="1:9" s="642" customFormat="1" ht="36" hidden="1">
      <c r="A80" s="116">
        <f>ANACO!B68</f>
        <v>0</v>
      </c>
      <c r="B80" s="223" t="str">
        <f>ANACO!$C$5</f>
        <v>P1002_25_CON_REV03_P1 E EI ALLUMINIO</v>
      </c>
      <c r="C80" s="223"/>
      <c r="D80" s="223"/>
      <c r="E80" s="118">
        <f>ANACO!C68</f>
        <v>0</v>
      </c>
      <c r="F80" s="117" t="s">
        <v>28</v>
      </c>
      <c r="G80" s="131">
        <f>ANACO!I68</f>
        <v>0</v>
      </c>
      <c r="H80" s="651">
        <f>ANACO!BS68</f>
        <v>0</v>
      </c>
      <c r="I80" s="651">
        <f t="shared" si="1"/>
        <v>0</v>
      </c>
    </row>
    <row r="81" spans="1:9" s="642" customFormat="1" ht="36" hidden="1">
      <c r="A81" s="116">
        <f>ANACO!B69</f>
        <v>0</v>
      </c>
      <c r="B81" s="223" t="str">
        <f>ANACO!$C$5</f>
        <v>P1002_25_CON_REV03_P1 E EI ALLUMINIO</v>
      </c>
      <c r="C81" s="223"/>
      <c r="D81" s="223"/>
      <c r="E81" s="118">
        <f>ANACO!C69</f>
        <v>0</v>
      </c>
      <c r="F81" s="117" t="s">
        <v>28</v>
      </c>
      <c r="G81" s="131">
        <f>ANACO!I69</f>
        <v>0</v>
      </c>
      <c r="H81" s="651">
        <f>ANACO!BS69</f>
        <v>0</v>
      </c>
      <c r="I81" s="651">
        <f t="shared" si="1"/>
        <v>0</v>
      </c>
    </row>
    <row r="82" spans="1:9" s="642" customFormat="1" ht="36" hidden="1">
      <c r="A82" s="116">
        <f>ANACO!B70</f>
        <v>0</v>
      </c>
      <c r="B82" s="223" t="str">
        <f>ANACO!$C$5</f>
        <v>P1002_25_CON_REV03_P1 E EI ALLUMINIO</v>
      </c>
      <c r="C82" s="223"/>
      <c r="D82" s="223"/>
      <c r="E82" s="118">
        <f>ANACO!C70</f>
        <v>0</v>
      </c>
      <c r="F82" s="117" t="s">
        <v>28</v>
      </c>
      <c r="G82" s="131">
        <f>ANACO!I70</f>
        <v>0</v>
      </c>
      <c r="H82" s="651">
        <f>ANACO!BS70</f>
        <v>0</v>
      </c>
      <c r="I82" s="651">
        <f t="shared" si="1"/>
        <v>0</v>
      </c>
    </row>
    <row r="83" spans="1:9" s="642" customFormat="1" ht="36" hidden="1">
      <c r="A83" s="116">
        <f>ANACO!B71</f>
        <v>0</v>
      </c>
      <c r="B83" s="223" t="str">
        <f>ANACO!$C$5</f>
        <v>P1002_25_CON_REV03_P1 E EI ALLUMINIO</v>
      </c>
      <c r="C83" s="223"/>
      <c r="D83" s="223"/>
      <c r="E83" s="118">
        <f>ANACO!C71</f>
        <v>0</v>
      </c>
      <c r="F83" s="117" t="s">
        <v>28</v>
      </c>
      <c r="G83" s="131">
        <f>ANACO!I71</f>
        <v>0</v>
      </c>
      <c r="H83" s="651">
        <f>ANACO!BS71</f>
        <v>0</v>
      </c>
      <c r="I83" s="651">
        <f t="shared" si="1"/>
        <v>0</v>
      </c>
    </row>
    <row r="84" spans="1:9" s="642" customFormat="1" ht="36" hidden="1">
      <c r="A84" s="116">
        <f>ANACO!B72</f>
        <v>0</v>
      </c>
      <c r="B84" s="223" t="str">
        <f>ANACO!$C$5</f>
        <v>P1002_25_CON_REV03_P1 E EI ALLUMINIO</v>
      </c>
      <c r="C84" s="223"/>
      <c r="D84" s="223"/>
      <c r="E84" s="118">
        <f>ANACO!C72</f>
        <v>0</v>
      </c>
      <c r="F84" s="117" t="s">
        <v>28</v>
      </c>
      <c r="G84" s="131">
        <f>ANACO!I72</f>
        <v>0</v>
      </c>
      <c r="H84" s="651">
        <f>ANACO!BS72</f>
        <v>0</v>
      </c>
      <c r="I84" s="651">
        <f t="shared" si="1"/>
        <v>0</v>
      </c>
    </row>
    <row r="85" spans="1:9" s="642" customFormat="1" ht="36" hidden="1">
      <c r="A85" s="116">
        <f>ANACO!B73</f>
        <v>0</v>
      </c>
      <c r="B85" s="223" t="str">
        <f>ANACO!$C$5</f>
        <v>P1002_25_CON_REV03_P1 E EI ALLUMINIO</v>
      </c>
      <c r="C85" s="223"/>
      <c r="D85" s="223"/>
      <c r="E85" s="118">
        <f>ANACO!C73</f>
        <v>0</v>
      </c>
      <c r="F85" s="117" t="s">
        <v>28</v>
      </c>
      <c r="G85" s="131">
        <f>ANACO!I73</f>
        <v>0</v>
      </c>
      <c r="H85" s="651">
        <f>ANACO!BS73</f>
        <v>0</v>
      </c>
      <c r="I85" s="651">
        <f t="shared" si="1"/>
        <v>0</v>
      </c>
    </row>
    <row r="86" spans="1:9" s="642" customFormat="1" ht="36" hidden="1">
      <c r="A86" s="116">
        <f>ANACO!B74</f>
        <v>0</v>
      </c>
      <c r="B86" s="223" t="str">
        <f>ANACO!$C$5</f>
        <v>P1002_25_CON_REV03_P1 E EI ALLUMINIO</v>
      </c>
      <c r="C86" s="223"/>
      <c r="D86" s="223"/>
      <c r="E86" s="118">
        <f>ANACO!C74</f>
        <v>0</v>
      </c>
      <c r="F86" s="117" t="s">
        <v>28</v>
      </c>
      <c r="G86" s="131">
        <f>ANACO!I74</f>
        <v>0</v>
      </c>
      <c r="H86" s="651">
        <f>ANACO!BS74</f>
        <v>0</v>
      </c>
      <c r="I86" s="651">
        <f t="shared" si="1"/>
        <v>0</v>
      </c>
    </row>
    <row r="87" spans="1:9" s="642" customFormat="1" ht="36" hidden="1">
      <c r="A87" s="116">
        <f>ANACO!B75</f>
        <v>0</v>
      </c>
      <c r="B87" s="223" t="str">
        <f>ANACO!$C$5</f>
        <v>P1002_25_CON_REV03_P1 E EI ALLUMINIO</v>
      </c>
      <c r="C87" s="223"/>
      <c r="D87" s="223"/>
      <c r="E87" s="118">
        <f>ANACO!C75</f>
        <v>0</v>
      </c>
      <c r="F87" s="117" t="s">
        <v>28</v>
      </c>
      <c r="G87" s="131">
        <f>ANACO!I75</f>
        <v>0</v>
      </c>
      <c r="H87" s="651">
        <f>ANACO!BS75</f>
        <v>0</v>
      </c>
      <c r="I87" s="651">
        <f t="shared" si="1"/>
        <v>0</v>
      </c>
    </row>
    <row r="88" spans="1:9" s="642" customFormat="1" ht="36" hidden="1">
      <c r="A88" s="116">
        <f>ANACO!B76</f>
        <v>0</v>
      </c>
      <c r="B88" s="223" t="str">
        <f>ANACO!$C$5</f>
        <v>P1002_25_CON_REV03_P1 E EI ALLUMINIO</v>
      </c>
      <c r="C88" s="223"/>
      <c r="D88" s="223"/>
      <c r="E88" s="118">
        <f>ANACO!C76</f>
        <v>0</v>
      </c>
      <c r="F88" s="117" t="s">
        <v>28</v>
      </c>
      <c r="G88" s="131">
        <f>ANACO!I76</f>
        <v>0</v>
      </c>
      <c r="H88" s="651">
        <f>ANACO!BS76</f>
        <v>0</v>
      </c>
      <c r="I88" s="651">
        <f t="shared" si="1"/>
        <v>0</v>
      </c>
    </row>
    <row r="89" spans="1:9" s="642" customFormat="1" ht="36" hidden="1">
      <c r="A89" s="116">
        <f>ANACO!B77</f>
        <v>0</v>
      </c>
      <c r="B89" s="223" t="str">
        <f>ANACO!$C$5</f>
        <v>P1002_25_CON_REV03_P1 E EI ALLUMINIO</v>
      </c>
      <c r="C89" s="223"/>
      <c r="D89" s="223"/>
      <c r="E89" s="118">
        <f>ANACO!C77</f>
        <v>0</v>
      </c>
      <c r="F89" s="117" t="s">
        <v>28</v>
      </c>
      <c r="G89" s="131">
        <f>ANACO!I77</f>
        <v>0</v>
      </c>
      <c r="H89" s="651">
        <f>ANACO!BS77</f>
        <v>0</v>
      </c>
      <c r="I89" s="651">
        <f t="shared" si="1"/>
        <v>0</v>
      </c>
    </row>
    <row r="90" spans="1:9" s="642" customFormat="1" ht="36" hidden="1">
      <c r="A90" s="116">
        <f>ANACO!B78</f>
        <v>0</v>
      </c>
      <c r="B90" s="223" t="str">
        <f>ANACO!$C$5</f>
        <v>P1002_25_CON_REV03_P1 E EI ALLUMINIO</v>
      </c>
      <c r="C90" s="223"/>
      <c r="D90" s="223"/>
      <c r="E90" s="118">
        <f>ANACO!C78</f>
        <v>0</v>
      </c>
      <c r="F90" s="117" t="s">
        <v>28</v>
      </c>
      <c r="G90" s="131">
        <f>ANACO!I78</f>
        <v>0</v>
      </c>
      <c r="H90" s="651">
        <f>ANACO!BS78</f>
        <v>0</v>
      </c>
      <c r="I90" s="651">
        <f t="shared" si="1"/>
        <v>0</v>
      </c>
    </row>
    <row r="91" spans="1:9" s="642" customFormat="1" ht="36" hidden="1">
      <c r="A91" s="116">
        <f>ANACO!B79</f>
        <v>0</v>
      </c>
      <c r="B91" s="223" t="str">
        <f>ANACO!$C$5</f>
        <v>P1002_25_CON_REV03_P1 E EI ALLUMINIO</v>
      </c>
      <c r="C91" s="223"/>
      <c r="D91" s="223"/>
      <c r="E91" s="118">
        <f>ANACO!C79</f>
        <v>0</v>
      </c>
      <c r="F91" s="117" t="s">
        <v>28</v>
      </c>
      <c r="G91" s="131">
        <f>ANACO!I79</f>
        <v>0</v>
      </c>
      <c r="H91" s="651">
        <f>ANACO!BS79</f>
        <v>0</v>
      </c>
      <c r="I91" s="651">
        <f t="shared" si="1"/>
        <v>0</v>
      </c>
    </row>
    <row r="92" spans="1:9" s="642" customFormat="1" ht="36" hidden="1">
      <c r="A92" s="116">
        <f>ANACO!B80</f>
        <v>0</v>
      </c>
      <c r="B92" s="223" t="str">
        <f>ANACO!$C$5</f>
        <v>P1002_25_CON_REV03_P1 E EI ALLUMINIO</v>
      </c>
      <c r="C92" s="223"/>
      <c r="D92" s="223"/>
      <c r="E92" s="118">
        <f>ANACO!C80</f>
        <v>0</v>
      </c>
      <c r="F92" s="117" t="s">
        <v>28</v>
      </c>
      <c r="G92" s="131">
        <f>ANACO!I80</f>
        <v>0</v>
      </c>
      <c r="H92" s="651">
        <f>ANACO!BS80</f>
        <v>0</v>
      </c>
      <c r="I92" s="651">
        <f t="shared" si="1"/>
        <v>0</v>
      </c>
    </row>
    <row r="93" spans="1:9" s="642" customFormat="1" ht="36" hidden="1">
      <c r="A93" s="116">
        <f>ANACO!B81</f>
        <v>0</v>
      </c>
      <c r="B93" s="223" t="str">
        <f>ANACO!$C$5</f>
        <v>P1002_25_CON_REV03_P1 E EI ALLUMINIO</v>
      </c>
      <c r="C93" s="223"/>
      <c r="D93" s="223"/>
      <c r="E93" s="118">
        <f>ANACO!C81</f>
        <v>0</v>
      </c>
      <c r="F93" s="117" t="s">
        <v>28</v>
      </c>
      <c r="G93" s="131">
        <f>ANACO!I81</f>
        <v>0</v>
      </c>
      <c r="H93" s="651">
        <f>ANACO!BS81</f>
        <v>0</v>
      </c>
      <c r="I93" s="651">
        <f t="shared" si="1"/>
        <v>0</v>
      </c>
    </row>
    <row r="94" spans="1:9" s="642" customFormat="1" ht="36" hidden="1">
      <c r="A94" s="116">
        <f>ANACO!B82</f>
        <v>0</v>
      </c>
      <c r="B94" s="223" t="str">
        <f>ANACO!$C$5</f>
        <v>P1002_25_CON_REV03_P1 E EI ALLUMINIO</v>
      </c>
      <c r="C94" s="223"/>
      <c r="D94" s="223"/>
      <c r="E94" s="118">
        <f>ANACO!C82</f>
        <v>0</v>
      </c>
      <c r="F94" s="117" t="s">
        <v>28</v>
      </c>
      <c r="G94" s="131">
        <f>ANACO!I82</f>
        <v>0</v>
      </c>
      <c r="H94" s="651">
        <f>ANACO!BS82</f>
        <v>0</v>
      </c>
      <c r="I94" s="651">
        <f t="shared" si="1"/>
        <v>0</v>
      </c>
    </row>
    <row r="95" spans="1:9" s="642" customFormat="1" ht="36" hidden="1">
      <c r="A95" s="116">
        <f>ANACO!B83</f>
        <v>0</v>
      </c>
      <c r="B95" s="223" t="str">
        <f>ANACO!$C$5</f>
        <v>P1002_25_CON_REV03_P1 E EI ALLUMINIO</v>
      </c>
      <c r="C95" s="223"/>
      <c r="D95" s="223"/>
      <c r="E95" s="118">
        <f>ANACO!C83</f>
        <v>0</v>
      </c>
      <c r="F95" s="117" t="s">
        <v>28</v>
      </c>
      <c r="G95" s="131">
        <f>ANACO!I83</f>
        <v>0</v>
      </c>
      <c r="H95" s="651">
        <f>ANACO!BS83</f>
        <v>0</v>
      </c>
      <c r="I95" s="651">
        <f t="shared" si="1"/>
        <v>0</v>
      </c>
    </row>
    <row r="96" spans="1:9" s="642" customFormat="1" ht="36" hidden="1">
      <c r="A96" s="116">
        <f>ANACO!B84</f>
        <v>0</v>
      </c>
      <c r="B96" s="223" t="str">
        <f>ANACO!$C$5</f>
        <v>P1002_25_CON_REV03_P1 E EI ALLUMINIO</v>
      </c>
      <c r="C96" s="223"/>
      <c r="D96" s="223"/>
      <c r="E96" s="118">
        <f>ANACO!C84</f>
        <v>0</v>
      </c>
      <c r="F96" s="117" t="s">
        <v>28</v>
      </c>
      <c r="G96" s="131">
        <f>ANACO!I84</f>
        <v>0</v>
      </c>
      <c r="H96" s="651">
        <f>ANACO!BS84</f>
        <v>0</v>
      </c>
      <c r="I96" s="651">
        <f t="shared" si="1"/>
        <v>0</v>
      </c>
    </row>
    <row r="97" spans="1:9" s="642" customFormat="1" ht="36" hidden="1">
      <c r="A97" s="116">
        <f>ANACO!B85</f>
        <v>0</v>
      </c>
      <c r="B97" s="223" t="str">
        <f>ANACO!$C$5</f>
        <v>P1002_25_CON_REV03_P1 E EI ALLUMINIO</v>
      </c>
      <c r="C97" s="223"/>
      <c r="D97" s="223"/>
      <c r="E97" s="118">
        <f>ANACO!C85</f>
        <v>0</v>
      </c>
      <c r="F97" s="117" t="s">
        <v>28</v>
      </c>
      <c r="G97" s="131">
        <f>ANACO!I85</f>
        <v>0</v>
      </c>
      <c r="H97" s="651">
        <f>ANACO!BS85</f>
        <v>0</v>
      </c>
      <c r="I97" s="651">
        <f t="shared" si="1"/>
        <v>0</v>
      </c>
    </row>
    <row r="98" spans="1:9" s="642" customFormat="1" ht="36" hidden="1">
      <c r="A98" s="116">
        <f>ANACO!B86</f>
        <v>0</v>
      </c>
      <c r="B98" s="223" t="str">
        <f>ANACO!$C$5</f>
        <v>P1002_25_CON_REV03_P1 E EI ALLUMINIO</v>
      </c>
      <c r="C98" s="223"/>
      <c r="D98" s="223"/>
      <c r="E98" s="118">
        <f>ANACO!C86</f>
        <v>0</v>
      </c>
      <c r="F98" s="117" t="s">
        <v>28</v>
      </c>
      <c r="G98" s="131">
        <f>ANACO!I86</f>
        <v>0</v>
      </c>
      <c r="H98" s="651">
        <f>ANACO!BS86</f>
        <v>0</v>
      </c>
      <c r="I98" s="651">
        <f t="shared" si="1"/>
        <v>0</v>
      </c>
    </row>
    <row r="99" spans="1:9" s="642" customFormat="1" ht="36" hidden="1">
      <c r="A99" s="116">
        <f>ANACO!B87</f>
        <v>0</v>
      </c>
      <c r="B99" s="223" t="str">
        <f>ANACO!$C$5</f>
        <v>P1002_25_CON_REV03_P1 E EI ALLUMINIO</v>
      </c>
      <c r="C99" s="223"/>
      <c r="D99" s="223"/>
      <c r="E99" s="118">
        <f>ANACO!C87</f>
        <v>0</v>
      </c>
      <c r="F99" s="117" t="s">
        <v>28</v>
      </c>
      <c r="G99" s="131">
        <f>ANACO!I87</f>
        <v>0</v>
      </c>
      <c r="H99" s="651">
        <f>ANACO!BS87</f>
        <v>0</v>
      </c>
      <c r="I99" s="651">
        <f t="shared" si="1"/>
        <v>0</v>
      </c>
    </row>
    <row r="100" spans="1:9" s="642" customFormat="1" ht="36" hidden="1">
      <c r="A100" s="116">
        <f>ANACO!B88</f>
        <v>0</v>
      </c>
      <c r="B100" s="223" t="str">
        <f>ANACO!$C$5</f>
        <v>P1002_25_CON_REV03_P1 E EI ALLUMINIO</v>
      </c>
      <c r="C100" s="223"/>
      <c r="D100" s="223"/>
      <c r="E100" s="118">
        <f>ANACO!C88</f>
        <v>0</v>
      </c>
      <c r="F100" s="117" t="s">
        <v>28</v>
      </c>
      <c r="G100" s="131">
        <f>ANACO!I88</f>
        <v>0</v>
      </c>
      <c r="H100" s="651">
        <f>ANACO!BS88</f>
        <v>0</v>
      </c>
      <c r="I100" s="651">
        <f t="shared" si="1"/>
        <v>0</v>
      </c>
    </row>
    <row r="101" spans="1:9" s="642" customFormat="1" ht="36" hidden="1">
      <c r="A101" s="116">
        <f>ANACO!B89</f>
        <v>0</v>
      </c>
      <c r="B101" s="223" t="str">
        <f>ANACO!$C$5</f>
        <v>P1002_25_CON_REV03_P1 E EI ALLUMINIO</v>
      </c>
      <c r="C101" s="223"/>
      <c r="D101" s="223"/>
      <c r="E101" s="118">
        <f>ANACO!C89</f>
        <v>0</v>
      </c>
      <c r="F101" s="117" t="s">
        <v>28</v>
      </c>
      <c r="G101" s="131">
        <f>ANACO!I89</f>
        <v>0</v>
      </c>
      <c r="H101" s="651">
        <f>ANACO!BS89</f>
        <v>0</v>
      </c>
      <c r="I101" s="651">
        <f t="shared" si="1"/>
        <v>0</v>
      </c>
    </row>
    <row r="102" spans="1:9" s="642" customFormat="1" ht="36" hidden="1">
      <c r="A102" s="116">
        <f>ANACO!B90</f>
        <v>0</v>
      </c>
      <c r="B102" s="223" t="str">
        <f>ANACO!$C$5</f>
        <v>P1002_25_CON_REV03_P1 E EI ALLUMINIO</v>
      </c>
      <c r="C102" s="223"/>
      <c r="D102" s="223"/>
      <c r="E102" s="118">
        <f>ANACO!C90</f>
        <v>0</v>
      </c>
      <c r="F102" s="117" t="s">
        <v>28</v>
      </c>
      <c r="G102" s="131">
        <f>ANACO!I90</f>
        <v>0</v>
      </c>
      <c r="H102" s="651">
        <f>ANACO!BS90</f>
        <v>0</v>
      </c>
      <c r="I102" s="651">
        <f t="shared" si="1"/>
        <v>0</v>
      </c>
    </row>
    <row r="103" spans="1:9" s="642" customFormat="1" ht="36" hidden="1">
      <c r="A103" s="116">
        <f>ANACO!B91</f>
        <v>0</v>
      </c>
      <c r="B103" s="223" t="str">
        <f>ANACO!$C$5</f>
        <v>P1002_25_CON_REV03_P1 E EI ALLUMINIO</v>
      </c>
      <c r="C103" s="223"/>
      <c r="D103" s="223"/>
      <c r="E103" s="118">
        <f>ANACO!C91</f>
        <v>0</v>
      </c>
      <c r="F103" s="117" t="s">
        <v>28</v>
      </c>
      <c r="G103" s="131">
        <f>ANACO!I91</f>
        <v>0</v>
      </c>
      <c r="H103" s="651">
        <f>ANACO!BS91</f>
        <v>0</v>
      </c>
      <c r="I103" s="651">
        <f t="shared" si="1"/>
        <v>0</v>
      </c>
    </row>
    <row r="104" spans="1:9" s="642" customFormat="1" ht="36" hidden="1">
      <c r="A104" s="116">
        <f>ANACO!B92</f>
        <v>0</v>
      </c>
      <c r="B104" s="223" t="str">
        <f>ANACO!$C$5</f>
        <v>P1002_25_CON_REV03_P1 E EI ALLUMINIO</v>
      </c>
      <c r="C104" s="223"/>
      <c r="D104" s="223"/>
      <c r="E104" s="118">
        <f>ANACO!C92</f>
        <v>0</v>
      </c>
      <c r="F104" s="117" t="s">
        <v>28</v>
      </c>
      <c r="G104" s="131">
        <f>ANACO!I92</f>
        <v>0</v>
      </c>
      <c r="H104" s="651">
        <f>ANACO!BS92</f>
        <v>0</v>
      </c>
      <c r="I104" s="651">
        <f t="shared" si="1"/>
        <v>0</v>
      </c>
    </row>
    <row r="105" spans="1:9" s="642" customFormat="1" ht="36" hidden="1">
      <c r="A105" s="116">
        <f>ANACO!B93</f>
        <v>0</v>
      </c>
      <c r="B105" s="223" t="str">
        <f>ANACO!$C$5</f>
        <v>P1002_25_CON_REV03_P1 E EI ALLUMINIO</v>
      </c>
      <c r="C105" s="223"/>
      <c r="D105" s="223"/>
      <c r="E105" s="118">
        <f>ANACO!C93</f>
        <v>0</v>
      </c>
      <c r="F105" s="117" t="s">
        <v>28</v>
      </c>
      <c r="G105" s="131">
        <f>ANACO!I93</f>
        <v>0</v>
      </c>
      <c r="H105" s="651">
        <f>ANACO!BS93</f>
        <v>0</v>
      </c>
      <c r="I105" s="651">
        <f t="shared" si="1"/>
        <v>0</v>
      </c>
    </row>
    <row r="106" spans="1:9" s="642" customFormat="1" ht="36" hidden="1">
      <c r="A106" s="116">
        <f>ANACO!B94</f>
        <v>0</v>
      </c>
      <c r="B106" s="223" t="str">
        <f>ANACO!$C$5</f>
        <v>P1002_25_CON_REV03_P1 E EI ALLUMINIO</v>
      </c>
      <c r="C106" s="223"/>
      <c r="D106" s="223"/>
      <c r="E106" s="118">
        <f>ANACO!C94</f>
        <v>0</v>
      </c>
      <c r="F106" s="117" t="s">
        <v>28</v>
      </c>
      <c r="G106" s="131">
        <f>ANACO!I94</f>
        <v>0</v>
      </c>
      <c r="H106" s="651">
        <f>ANACO!BS94</f>
        <v>0</v>
      </c>
      <c r="I106" s="651">
        <f t="shared" si="1"/>
        <v>0</v>
      </c>
    </row>
    <row r="107" spans="1:9" s="642" customFormat="1" ht="36" hidden="1">
      <c r="A107" s="116">
        <f>ANACO!B95</f>
        <v>0</v>
      </c>
      <c r="B107" s="223" t="str">
        <f>ANACO!$C$5</f>
        <v>P1002_25_CON_REV03_P1 E EI ALLUMINIO</v>
      </c>
      <c r="C107" s="223"/>
      <c r="D107" s="223"/>
      <c r="E107" s="118">
        <f>ANACO!C95</f>
        <v>0</v>
      </c>
      <c r="F107" s="117" t="s">
        <v>28</v>
      </c>
      <c r="G107" s="131">
        <f>ANACO!I95</f>
        <v>0</v>
      </c>
      <c r="H107" s="651">
        <f>ANACO!BS95</f>
        <v>0</v>
      </c>
      <c r="I107" s="651">
        <f t="shared" si="1"/>
        <v>0</v>
      </c>
    </row>
    <row r="108" spans="1:9" s="642" customFormat="1" ht="36" hidden="1">
      <c r="A108" s="116">
        <f>ANACO!B96</f>
        <v>0</v>
      </c>
      <c r="B108" s="223" t="str">
        <f>ANACO!$C$5</f>
        <v>P1002_25_CON_REV03_P1 E EI ALLUMINIO</v>
      </c>
      <c r="C108" s="223"/>
      <c r="D108" s="223"/>
      <c r="E108" s="118">
        <f>ANACO!C96</f>
        <v>0</v>
      </c>
      <c r="F108" s="117" t="s">
        <v>28</v>
      </c>
      <c r="G108" s="131">
        <f>ANACO!I96</f>
        <v>0</v>
      </c>
      <c r="H108" s="651">
        <f>ANACO!BS96</f>
        <v>0</v>
      </c>
      <c r="I108" s="651">
        <f t="shared" si="1"/>
        <v>0</v>
      </c>
    </row>
    <row r="109" spans="1:9" s="642" customFormat="1" ht="36" hidden="1">
      <c r="A109" s="116">
        <f>ANACO!B97</f>
        <v>0</v>
      </c>
      <c r="B109" s="223" t="str">
        <f>ANACO!$C$5</f>
        <v>P1002_25_CON_REV03_P1 E EI ALLUMINIO</v>
      </c>
      <c r="C109" s="223"/>
      <c r="D109" s="223"/>
      <c r="E109" s="118">
        <f>ANACO!C97</f>
        <v>0</v>
      </c>
      <c r="F109" s="117" t="s">
        <v>28</v>
      </c>
      <c r="G109" s="131">
        <f>ANACO!I97</f>
        <v>0</v>
      </c>
      <c r="H109" s="651">
        <f>ANACO!BS97</f>
        <v>0</v>
      </c>
      <c r="I109" s="651">
        <f t="shared" si="1"/>
        <v>0</v>
      </c>
    </row>
    <row r="110" spans="1:9" s="642" customFormat="1" ht="36" hidden="1">
      <c r="A110" s="116">
        <f>ANACO!B98</f>
        <v>0</v>
      </c>
      <c r="B110" s="223" t="str">
        <f>ANACO!$C$5</f>
        <v>P1002_25_CON_REV03_P1 E EI ALLUMINIO</v>
      </c>
      <c r="C110" s="223"/>
      <c r="D110" s="223"/>
      <c r="E110" s="118">
        <f>ANACO!C98</f>
        <v>0</v>
      </c>
      <c r="F110" s="117" t="s">
        <v>28</v>
      </c>
      <c r="G110" s="131">
        <f>ANACO!I98</f>
        <v>0</v>
      </c>
      <c r="H110" s="651">
        <f>ANACO!BS98</f>
        <v>0</v>
      </c>
      <c r="I110" s="651">
        <f t="shared" si="1"/>
        <v>0</v>
      </c>
    </row>
    <row r="111" spans="1:9" s="642" customFormat="1" ht="36" hidden="1">
      <c r="A111" s="116">
        <f>ANACO!B99</f>
        <v>0</v>
      </c>
      <c r="B111" s="223" t="str">
        <f>ANACO!$C$5</f>
        <v>P1002_25_CON_REV03_P1 E EI ALLUMINIO</v>
      </c>
      <c r="C111" s="223"/>
      <c r="D111" s="223"/>
      <c r="E111" s="118">
        <f>ANACO!C99</f>
        <v>0</v>
      </c>
      <c r="F111" s="117" t="s">
        <v>28</v>
      </c>
      <c r="G111" s="131">
        <f>ANACO!I99</f>
        <v>0</v>
      </c>
      <c r="H111" s="651">
        <f>ANACO!BS99</f>
        <v>0</v>
      </c>
      <c r="I111" s="651">
        <f t="shared" si="1"/>
        <v>0</v>
      </c>
    </row>
    <row r="112" spans="1:9" s="642" customFormat="1" ht="36" hidden="1">
      <c r="A112" s="116">
        <f>ANACO!B100</f>
        <v>0</v>
      </c>
      <c r="B112" s="223" t="str">
        <f>ANACO!$C$5</f>
        <v>P1002_25_CON_REV03_P1 E EI ALLUMINIO</v>
      </c>
      <c r="C112" s="223"/>
      <c r="D112" s="223"/>
      <c r="E112" s="118">
        <f>ANACO!C100</f>
        <v>0</v>
      </c>
      <c r="F112" s="117" t="s">
        <v>28</v>
      </c>
      <c r="G112" s="131">
        <f>ANACO!I100</f>
        <v>0</v>
      </c>
      <c r="H112" s="651">
        <f>ANACO!BS100</f>
        <v>0</v>
      </c>
      <c r="I112" s="651">
        <f t="shared" si="1"/>
        <v>0</v>
      </c>
    </row>
    <row r="113" spans="1:9" s="642" customFormat="1" ht="36" hidden="1">
      <c r="A113" s="116">
        <f>ANACO!B101</f>
        <v>0</v>
      </c>
      <c r="B113" s="223" t="str">
        <f>ANACO!$C$5</f>
        <v>P1002_25_CON_REV03_P1 E EI ALLUMINIO</v>
      </c>
      <c r="C113" s="223"/>
      <c r="D113" s="223"/>
      <c r="E113" s="118">
        <f>ANACO!C101</f>
        <v>0</v>
      </c>
      <c r="F113" s="117" t="s">
        <v>28</v>
      </c>
      <c r="G113" s="131">
        <f>ANACO!I101</f>
        <v>0</v>
      </c>
      <c r="H113" s="651">
        <f>ANACO!BS101</f>
        <v>0</v>
      </c>
      <c r="I113" s="651">
        <f t="shared" si="1"/>
        <v>0</v>
      </c>
    </row>
    <row r="114" spans="1:9" s="642" customFormat="1" ht="36" hidden="1">
      <c r="A114" s="116">
        <f>ANACO!B102</f>
        <v>0</v>
      </c>
      <c r="B114" s="223" t="str">
        <f>ANACO!$C$5</f>
        <v>P1002_25_CON_REV03_P1 E EI ALLUMINIO</v>
      </c>
      <c r="C114" s="223"/>
      <c r="D114" s="223"/>
      <c r="E114" s="118">
        <f>ANACO!C102</f>
        <v>0</v>
      </c>
      <c r="F114" s="117" t="s">
        <v>28</v>
      </c>
      <c r="G114" s="131">
        <f>ANACO!I102</f>
        <v>0</v>
      </c>
      <c r="H114" s="651">
        <f>ANACO!BS102</f>
        <v>0</v>
      </c>
      <c r="I114" s="651">
        <f t="shared" si="1"/>
        <v>0</v>
      </c>
    </row>
    <row r="115" spans="1:9" s="642" customFormat="1" ht="36" hidden="1">
      <c r="A115" s="116">
        <f>ANACO!B103</f>
        <v>0</v>
      </c>
      <c r="B115" s="223" t="str">
        <f>ANACO!$C$5</f>
        <v>P1002_25_CON_REV03_P1 E EI ALLUMINIO</v>
      </c>
      <c r="C115" s="223"/>
      <c r="D115" s="223"/>
      <c r="E115" s="118">
        <f>ANACO!C103</f>
        <v>0</v>
      </c>
      <c r="F115" s="117" t="s">
        <v>28</v>
      </c>
      <c r="G115" s="131">
        <f>ANACO!I103</f>
        <v>0</v>
      </c>
      <c r="H115" s="651">
        <f>ANACO!BS103</f>
        <v>0</v>
      </c>
      <c r="I115" s="651">
        <f t="shared" si="1"/>
        <v>0</v>
      </c>
    </row>
    <row r="116" spans="1:9" s="642" customFormat="1" ht="36" hidden="1">
      <c r="A116" s="116">
        <f>ANACO!B104</f>
        <v>0</v>
      </c>
      <c r="B116" s="223" t="str">
        <f>ANACO!$C$5</f>
        <v>P1002_25_CON_REV03_P1 E EI ALLUMINIO</v>
      </c>
      <c r="C116" s="223"/>
      <c r="D116" s="223"/>
      <c r="E116" s="118">
        <f>ANACO!C104</f>
        <v>0</v>
      </c>
      <c r="F116" s="117" t="s">
        <v>28</v>
      </c>
      <c r="G116" s="131">
        <f>ANACO!I104</f>
        <v>0</v>
      </c>
      <c r="H116" s="651">
        <f>ANACO!BS104</f>
        <v>0</v>
      </c>
      <c r="I116" s="651">
        <f t="shared" si="1"/>
        <v>0</v>
      </c>
    </row>
    <row r="117" spans="1:9" s="642" customFormat="1" ht="36" hidden="1">
      <c r="A117" s="116">
        <f>ANACO!B105</f>
        <v>0</v>
      </c>
      <c r="B117" s="223" t="str">
        <f>ANACO!$C$5</f>
        <v>P1002_25_CON_REV03_P1 E EI ALLUMINIO</v>
      </c>
      <c r="C117" s="223"/>
      <c r="D117" s="223"/>
      <c r="E117" s="118">
        <f>ANACO!C105</f>
        <v>0</v>
      </c>
      <c r="F117" s="117" t="s">
        <v>28</v>
      </c>
      <c r="G117" s="131">
        <f>ANACO!I105</f>
        <v>0</v>
      </c>
      <c r="H117" s="651">
        <f>ANACO!BS105</f>
        <v>0</v>
      </c>
      <c r="I117" s="651">
        <f t="shared" si="1"/>
        <v>0</v>
      </c>
    </row>
    <row r="118" spans="1:9" s="642" customFormat="1" ht="36" hidden="1">
      <c r="A118" s="116">
        <f>ANACO!B106</f>
        <v>0</v>
      </c>
      <c r="B118" s="223" t="str">
        <f>ANACO!$C$5</f>
        <v>P1002_25_CON_REV03_P1 E EI ALLUMINIO</v>
      </c>
      <c r="C118" s="223"/>
      <c r="D118" s="223"/>
      <c r="E118" s="118">
        <f>ANACO!C106</f>
        <v>0</v>
      </c>
      <c r="F118" s="117" t="s">
        <v>28</v>
      </c>
      <c r="G118" s="131">
        <f>ANACO!I106</f>
        <v>0</v>
      </c>
      <c r="H118" s="651">
        <f>ANACO!BS106</f>
        <v>0</v>
      </c>
      <c r="I118" s="651">
        <f t="shared" si="1"/>
        <v>0</v>
      </c>
    </row>
    <row r="119" spans="1:9" s="642" customFormat="1" ht="36" hidden="1">
      <c r="A119" s="116">
        <f>ANACO!B107</f>
        <v>0</v>
      </c>
      <c r="B119" s="223" t="str">
        <f>ANACO!$C$5</f>
        <v>P1002_25_CON_REV03_P1 E EI ALLUMINIO</v>
      </c>
      <c r="C119" s="223"/>
      <c r="D119" s="223"/>
      <c r="E119" s="118">
        <f>ANACO!C107</f>
        <v>0</v>
      </c>
      <c r="F119" s="117" t="s">
        <v>28</v>
      </c>
      <c r="G119" s="131">
        <f>ANACO!I107</f>
        <v>0</v>
      </c>
      <c r="H119" s="651">
        <f>ANACO!BS107</f>
        <v>0</v>
      </c>
      <c r="I119" s="651">
        <f t="shared" si="1"/>
        <v>0</v>
      </c>
    </row>
    <row r="120" spans="1:9" s="642" customFormat="1" ht="36" hidden="1">
      <c r="A120" s="116">
        <f>ANACO!B108</f>
        <v>0</v>
      </c>
      <c r="B120" s="223" t="str">
        <f>ANACO!$C$5</f>
        <v>P1002_25_CON_REV03_P1 E EI ALLUMINIO</v>
      </c>
      <c r="C120" s="223"/>
      <c r="D120" s="223"/>
      <c r="E120" s="118">
        <f>ANACO!C108</f>
        <v>0</v>
      </c>
      <c r="F120" s="117" t="s">
        <v>28</v>
      </c>
      <c r="G120" s="131">
        <f>ANACO!I108</f>
        <v>0</v>
      </c>
      <c r="H120" s="651">
        <f>ANACO!BS108</f>
        <v>0</v>
      </c>
      <c r="I120" s="651">
        <f t="shared" si="1"/>
        <v>0</v>
      </c>
    </row>
    <row r="121" spans="1:9" s="642" customFormat="1" ht="36" hidden="1">
      <c r="A121" s="116">
        <f>ANACO!B109</f>
        <v>0</v>
      </c>
      <c r="B121" s="223" t="str">
        <f>ANACO!$C$5</f>
        <v>P1002_25_CON_REV03_P1 E EI ALLUMINIO</v>
      </c>
      <c r="C121" s="223"/>
      <c r="D121" s="223"/>
      <c r="E121" s="118">
        <f>ANACO!C109</f>
        <v>0</v>
      </c>
      <c r="F121" s="117" t="s">
        <v>28</v>
      </c>
      <c r="G121" s="131">
        <f>ANACO!I109</f>
        <v>0</v>
      </c>
      <c r="H121" s="651">
        <f>ANACO!BS109</f>
        <v>0</v>
      </c>
      <c r="I121" s="651">
        <f t="shared" si="1"/>
        <v>0</v>
      </c>
    </row>
    <row r="122" spans="1:9" s="642" customFormat="1" ht="36" hidden="1">
      <c r="A122" s="116">
        <f>ANACO!B110</f>
        <v>0</v>
      </c>
      <c r="B122" s="223" t="str">
        <f>ANACO!$C$5</f>
        <v>P1002_25_CON_REV03_P1 E EI ALLUMINIO</v>
      </c>
      <c r="C122" s="223"/>
      <c r="D122" s="223"/>
      <c r="E122" s="118">
        <f>ANACO!C110</f>
        <v>0</v>
      </c>
      <c r="F122" s="117" t="s">
        <v>28</v>
      </c>
      <c r="G122" s="131">
        <f>ANACO!I110</f>
        <v>0</v>
      </c>
      <c r="H122" s="651">
        <f>ANACO!BS110</f>
        <v>0</v>
      </c>
      <c r="I122" s="651">
        <f t="shared" si="1"/>
        <v>0</v>
      </c>
    </row>
    <row r="123" spans="1:9" s="642" customFormat="1" ht="36" hidden="1">
      <c r="A123" s="116">
        <f>ANACO!B111</f>
        <v>0</v>
      </c>
      <c r="B123" s="223" t="str">
        <f>ANACO!$C$5</f>
        <v>P1002_25_CON_REV03_P1 E EI ALLUMINIO</v>
      </c>
      <c r="C123" s="223"/>
      <c r="D123" s="223"/>
      <c r="E123" s="118">
        <f>ANACO!C111</f>
        <v>0</v>
      </c>
      <c r="F123" s="117" t="s">
        <v>28</v>
      </c>
      <c r="G123" s="131">
        <f>ANACO!I111</f>
        <v>0</v>
      </c>
      <c r="H123" s="651">
        <f>ANACO!BS111</f>
        <v>0</v>
      </c>
      <c r="I123" s="651">
        <f t="shared" ref="I123:I156" si="2">G123*H123</f>
        <v>0</v>
      </c>
    </row>
    <row r="124" spans="1:9" s="642" customFormat="1" ht="36" hidden="1">
      <c r="A124" s="116">
        <f>ANACO!B112</f>
        <v>0</v>
      </c>
      <c r="B124" s="223" t="str">
        <f>ANACO!$C$5</f>
        <v>P1002_25_CON_REV03_P1 E EI ALLUMINIO</v>
      </c>
      <c r="C124" s="223"/>
      <c r="D124" s="223"/>
      <c r="E124" s="118">
        <f>ANACO!C112</f>
        <v>0</v>
      </c>
      <c r="F124" s="117" t="s">
        <v>28</v>
      </c>
      <c r="G124" s="131">
        <f>ANACO!I112</f>
        <v>0</v>
      </c>
      <c r="H124" s="651">
        <f>ANACO!BS112</f>
        <v>0</v>
      </c>
      <c r="I124" s="651">
        <f t="shared" si="2"/>
        <v>0</v>
      </c>
    </row>
    <row r="125" spans="1:9" s="642" customFormat="1" ht="36" hidden="1">
      <c r="A125" s="116">
        <f>ANACO!B113</f>
        <v>0</v>
      </c>
      <c r="B125" s="223" t="str">
        <f>ANACO!$C$5</f>
        <v>P1002_25_CON_REV03_P1 E EI ALLUMINIO</v>
      </c>
      <c r="C125" s="223"/>
      <c r="D125" s="223"/>
      <c r="E125" s="118">
        <f>ANACO!C113</f>
        <v>0</v>
      </c>
      <c r="F125" s="117" t="s">
        <v>28</v>
      </c>
      <c r="G125" s="131">
        <f>ANACO!I113</f>
        <v>0</v>
      </c>
      <c r="H125" s="651">
        <f>ANACO!BS113</f>
        <v>0</v>
      </c>
      <c r="I125" s="651">
        <f t="shared" si="2"/>
        <v>0</v>
      </c>
    </row>
    <row r="126" spans="1:9" s="642" customFormat="1" ht="36" hidden="1">
      <c r="A126" s="116">
        <f>ANACO!B114</f>
        <v>0</v>
      </c>
      <c r="B126" s="223" t="str">
        <f>ANACO!$C$5</f>
        <v>P1002_25_CON_REV03_P1 E EI ALLUMINIO</v>
      </c>
      <c r="C126" s="223"/>
      <c r="D126" s="223"/>
      <c r="E126" s="118">
        <f>ANACO!C114</f>
        <v>0</v>
      </c>
      <c r="F126" s="117" t="s">
        <v>28</v>
      </c>
      <c r="G126" s="131">
        <f>ANACO!I114</f>
        <v>0</v>
      </c>
      <c r="H126" s="651">
        <f>ANACO!BS114</f>
        <v>0</v>
      </c>
      <c r="I126" s="651">
        <f t="shared" si="2"/>
        <v>0</v>
      </c>
    </row>
    <row r="127" spans="1:9" s="642" customFormat="1" ht="36" hidden="1">
      <c r="A127" s="116">
        <f>ANACO!B115</f>
        <v>0</v>
      </c>
      <c r="B127" s="223" t="str">
        <f>ANACO!$C$5</f>
        <v>P1002_25_CON_REV03_P1 E EI ALLUMINIO</v>
      </c>
      <c r="C127" s="223"/>
      <c r="D127" s="223"/>
      <c r="E127" s="118">
        <f>ANACO!C115</f>
        <v>0</v>
      </c>
      <c r="F127" s="117" t="s">
        <v>28</v>
      </c>
      <c r="G127" s="131">
        <f>ANACO!I115</f>
        <v>0</v>
      </c>
      <c r="H127" s="651">
        <f>ANACO!BS115</f>
        <v>0</v>
      </c>
      <c r="I127" s="651">
        <f t="shared" si="2"/>
        <v>0</v>
      </c>
    </row>
    <row r="128" spans="1:9" s="642" customFormat="1" ht="36" hidden="1">
      <c r="A128" s="116">
        <f>ANACO!B116</f>
        <v>0</v>
      </c>
      <c r="B128" s="223" t="str">
        <f>ANACO!$C$5</f>
        <v>P1002_25_CON_REV03_P1 E EI ALLUMINIO</v>
      </c>
      <c r="C128" s="223"/>
      <c r="D128" s="223"/>
      <c r="E128" s="118">
        <f>ANACO!C116</f>
        <v>0</v>
      </c>
      <c r="F128" s="117" t="s">
        <v>28</v>
      </c>
      <c r="G128" s="131">
        <f>ANACO!I116</f>
        <v>0</v>
      </c>
      <c r="H128" s="651">
        <f>ANACO!BS116</f>
        <v>0</v>
      </c>
      <c r="I128" s="651">
        <f t="shared" si="2"/>
        <v>0</v>
      </c>
    </row>
    <row r="129" spans="1:9" s="642" customFormat="1" ht="36" hidden="1">
      <c r="A129" s="116">
        <f>ANACO!B117</f>
        <v>0</v>
      </c>
      <c r="B129" s="223" t="str">
        <f>ANACO!$C$5</f>
        <v>P1002_25_CON_REV03_P1 E EI ALLUMINIO</v>
      </c>
      <c r="C129" s="223"/>
      <c r="D129" s="223"/>
      <c r="E129" s="118">
        <f>ANACO!C117</f>
        <v>0</v>
      </c>
      <c r="F129" s="117" t="s">
        <v>28</v>
      </c>
      <c r="G129" s="131">
        <f>ANACO!I117</f>
        <v>0</v>
      </c>
      <c r="H129" s="651">
        <f>ANACO!BS117</f>
        <v>0</v>
      </c>
      <c r="I129" s="651">
        <f t="shared" si="2"/>
        <v>0</v>
      </c>
    </row>
    <row r="130" spans="1:9" s="642" customFormat="1" ht="36" hidden="1">
      <c r="A130" s="116">
        <f>ANACO!B118</f>
        <v>0</v>
      </c>
      <c r="B130" s="223" t="str">
        <f>ANACO!$C$5</f>
        <v>P1002_25_CON_REV03_P1 E EI ALLUMINIO</v>
      </c>
      <c r="C130" s="223"/>
      <c r="D130" s="223"/>
      <c r="E130" s="118">
        <f>ANACO!C118</f>
        <v>0</v>
      </c>
      <c r="F130" s="117" t="s">
        <v>28</v>
      </c>
      <c r="G130" s="131">
        <f>ANACO!I118</f>
        <v>0</v>
      </c>
      <c r="H130" s="651">
        <f>ANACO!BS118</f>
        <v>0</v>
      </c>
      <c r="I130" s="651">
        <f t="shared" si="2"/>
        <v>0</v>
      </c>
    </row>
    <row r="131" spans="1:9" s="642" customFormat="1" ht="36" hidden="1">
      <c r="A131" s="116">
        <f>ANACO!B119</f>
        <v>0</v>
      </c>
      <c r="B131" s="223" t="str">
        <f>ANACO!$C$5</f>
        <v>P1002_25_CON_REV03_P1 E EI ALLUMINIO</v>
      </c>
      <c r="C131" s="223"/>
      <c r="D131" s="223"/>
      <c r="E131" s="118">
        <f>ANACO!C119</f>
        <v>0</v>
      </c>
      <c r="F131" s="117" t="s">
        <v>28</v>
      </c>
      <c r="G131" s="131">
        <f>ANACO!I119</f>
        <v>0</v>
      </c>
      <c r="H131" s="651">
        <f>ANACO!BS119</f>
        <v>0</v>
      </c>
      <c r="I131" s="651">
        <f t="shared" si="2"/>
        <v>0</v>
      </c>
    </row>
    <row r="132" spans="1:9" s="642" customFormat="1" ht="36" hidden="1">
      <c r="A132" s="116">
        <f>ANACO!B120</f>
        <v>0</v>
      </c>
      <c r="B132" s="223" t="str">
        <f>ANACO!$C$5</f>
        <v>P1002_25_CON_REV03_P1 E EI ALLUMINIO</v>
      </c>
      <c r="C132" s="223"/>
      <c r="D132" s="223"/>
      <c r="E132" s="118">
        <f>ANACO!C120</f>
        <v>0</v>
      </c>
      <c r="F132" s="117" t="s">
        <v>28</v>
      </c>
      <c r="G132" s="131">
        <f>ANACO!I120</f>
        <v>0</v>
      </c>
      <c r="H132" s="651">
        <f>ANACO!BS120</f>
        <v>0</v>
      </c>
      <c r="I132" s="651">
        <f t="shared" si="2"/>
        <v>0</v>
      </c>
    </row>
    <row r="133" spans="1:9" s="642" customFormat="1" ht="36" hidden="1">
      <c r="A133" s="116">
        <f>ANACO!B121</f>
        <v>0</v>
      </c>
      <c r="B133" s="223" t="str">
        <f>ANACO!$C$5</f>
        <v>P1002_25_CON_REV03_P1 E EI ALLUMINIO</v>
      </c>
      <c r="C133" s="223"/>
      <c r="D133" s="223"/>
      <c r="E133" s="118">
        <f>ANACO!C121</f>
        <v>0</v>
      </c>
      <c r="F133" s="117" t="s">
        <v>28</v>
      </c>
      <c r="G133" s="131">
        <f>ANACO!I121</f>
        <v>0</v>
      </c>
      <c r="H133" s="651">
        <f>ANACO!BS121</f>
        <v>0</v>
      </c>
      <c r="I133" s="651">
        <f t="shared" si="2"/>
        <v>0</v>
      </c>
    </row>
    <row r="134" spans="1:9" s="642" customFormat="1" ht="36" hidden="1">
      <c r="A134" s="116">
        <f>ANACO!B122</f>
        <v>0</v>
      </c>
      <c r="B134" s="223" t="str">
        <f>ANACO!$C$5</f>
        <v>P1002_25_CON_REV03_P1 E EI ALLUMINIO</v>
      </c>
      <c r="C134" s="223"/>
      <c r="D134" s="223"/>
      <c r="E134" s="118">
        <f>ANACO!C122</f>
        <v>0</v>
      </c>
      <c r="F134" s="117" t="s">
        <v>28</v>
      </c>
      <c r="G134" s="131">
        <f>ANACO!I122</f>
        <v>0</v>
      </c>
      <c r="H134" s="651">
        <f>ANACO!BS122</f>
        <v>0</v>
      </c>
      <c r="I134" s="651">
        <f t="shared" si="2"/>
        <v>0</v>
      </c>
    </row>
    <row r="135" spans="1:9" s="642" customFormat="1" ht="36" hidden="1">
      <c r="A135" s="116">
        <f>ANACO!B123</f>
        <v>0</v>
      </c>
      <c r="B135" s="223" t="str">
        <f>ANACO!$C$5</f>
        <v>P1002_25_CON_REV03_P1 E EI ALLUMINIO</v>
      </c>
      <c r="C135" s="223"/>
      <c r="D135" s="223"/>
      <c r="E135" s="118">
        <f>ANACO!C123</f>
        <v>0</v>
      </c>
      <c r="F135" s="117" t="s">
        <v>28</v>
      </c>
      <c r="G135" s="131">
        <f>ANACO!I123</f>
        <v>0</v>
      </c>
      <c r="H135" s="651">
        <f>ANACO!BS123</f>
        <v>0</v>
      </c>
      <c r="I135" s="651">
        <f t="shared" si="2"/>
        <v>0</v>
      </c>
    </row>
    <row r="136" spans="1:9" s="642" customFormat="1" ht="36" hidden="1">
      <c r="A136" s="116">
        <f>ANACO!B124</f>
        <v>0</v>
      </c>
      <c r="B136" s="223" t="str">
        <f>ANACO!$C$5</f>
        <v>P1002_25_CON_REV03_P1 E EI ALLUMINIO</v>
      </c>
      <c r="C136" s="223"/>
      <c r="D136" s="223"/>
      <c r="E136" s="118">
        <f>ANACO!C124</f>
        <v>0</v>
      </c>
      <c r="F136" s="117" t="s">
        <v>28</v>
      </c>
      <c r="G136" s="131">
        <f>ANACO!I124</f>
        <v>0</v>
      </c>
      <c r="H136" s="651">
        <f>ANACO!BS124</f>
        <v>0</v>
      </c>
      <c r="I136" s="651">
        <f t="shared" si="2"/>
        <v>0</v>
      </c>
    </row>
    <row r="137" spans="1:9" s="642" customFormat="1" ht="36" hidden="1">
      <c r="A137" s="116">
        <f>ANACO!B125</f>
        <v>0</v>
      </c>
      <c r="B137" s="223" t="str">
        <f>ANACO!$C$5</f>
        <v>P1002_25_CON_REV03_P1 E EI ALLUMINIO</v>
      </c>
      <c r="C137" s="223"/>
      <c r="D137" s="223"/>
      <c r="E137" s="118">
        <f>ANACO!C125</f>
        <v>0</v>
      </c>
      <c r="F137" s="117" t="s">
        <v>28</v>
      </c>
      <c r="G137" s="131">
        <f>ANACO!I125</f>
        <v>0</v>
      </c>
      <c r="H137" s="651">
        <f>ANACO!BS125</f>
        <v>0</v>
      </c>
      <c r="I137" s="651">
        <f t="shared" si="2"/>
        <v>0</v>
      </c>
    </row>
    <row r="138" spans="1:9" s="642" customFormat="1" ht="36" hidden="1">
      <c r="A138" s="116">
        <f>ANACO!B126</f>
        <v>0</v>
      </c>
      <c r="B138" s="223" t="str">
        <f>ANACO!$C$5</f>
        <v>P1002_25_CON_REV03_P1 E EI ALLUMINIO</v>
      </c>
      <c r="C138" s="223"/>
      <c r="D138" s="223"/>
      <c r="E138" s="118">
        <f>ANACO!C126</f>
        <v>0</v>
      </c>
      <c r="F138" s="117" t="s">
        <v>28</v>
      </c>
      <c r="G138" s="131">
        <f>ANACO!I126</f>
        <v>0</v>
      </c>
      <c r="H138" s="651">
        <f>ANACO!BS126</f>
        <v>0</v>
      </c>
      <c r="I138" s="651">
        <f t="shared" si="2"/>
        <v>0</v>
      </c>
    </row>
    <row r="139" spans="1:9" s="642" customFormat="1" ht="36" hidden="1">
      <c r="A139" s="116">
        <f>ANACO!B127</f>
        <v>0</v>
      </c>
      <c r="B139" s="223" t="str">
        <f>ANACO!$C$5</f>
        <v>P1002_25_CON_REV03_P1 E EI ALLUMINIO</v>
      </c>
      <c r="C139" s="223"/>
      <c r="D139" s="223"/>
      <c r="E139" s="118">
        <f>ANACO!C127</f>
        <v>0</v>
      </c>
      <c r="F139" s="117" t="s">
        <v>28</v>
      </c>
      <c r="G139" s="131">
        <f>ANACO!I127</f>
        <v>0</v>
      </c>
      <c r="H139" s="651">
        <f>ANACO!BS127</f>
        <v>0</v>
      </c>
      <c r="I139" s="651">
        <f t="shared" si="2"/>
        <v>0</v>
      </c>
    </row>
    <row r="140" spans="1:9" s="642" customFormat="1" ht="36" hidden="1">
      <c r="A140" s="116">
        <f>ANACO!B128</f>
        <v>0</v>
      </c>
      <c r="B140" s="223" t="str">
        <f>ANACO!$C$5</f>
        <v>P1002_25_CON_REV03_P1 E EI ALLUMINIO</v>
      </c>
      <c r="C140" s="223"/>
      <c r="D140" s="223"/>
      <c r="E140" s="118">
        <f>ANACO!C128</f>
        <v>0</v>
      </c>
      <c r="F140" s="117" t="s">
        <v>28</v>
      </c>
      <c r="G140" s="131">
        <f>ANACO!I128</f>
        <v>0</v>
      </c>
      <c r="H140" s="651">
        <f>ANACO!BS128</f>
        <v>0</v>
      </c>
      <c r="I140" s="651">
        <f t="shared" si="2"/>
        <v>0</v>
      </c>
    </row>
    <row r="141" spans="1:9" s="642" customFormat="1" ht="36" hidden="1">
      <c r="A141" s="116">
        <f>ANACO!B129</f>
        <v>0</v>
      </c>
      <c r="B141" s="223" t="str">
        <f>ANACO!$C$5</f>
        <v>P1002_25_CON_REV03_P1 E EI ALLUMINIO</v>
      </c>
      <c r="C141" s="223"/>
      <c r="D141" s="223"/>
      <c r="E141" s="118">
        <f>ANACO!C129</f>
        <v>0</v>
      </c>
      <c r="F141" s="117" t="s">
        <v>28</v>
      </c>
      <c r="G141" s="131">
        <f>ANACO!I129</f>
        <v>0</v>
      </c>
      <c r="H141" s="651">
        <f>ANACO!BS129</f>
        <v>0</v>
      </c>
      <c r="I141" s="651">
        <f t="shared" si="2"/>
        <v>0</v>
      </c>
    </row>
    <row r="142" spans="1:9" s="642" customFormat="1" ht="36" hidden="1">
      <c r="A142" s="116">
        <f>ANACO!B130</f>
        <v>0</v>
      </c>
      <c r="B142" s="223" t="str">
        <f>ANACO!$C$5</f>
        <v>P1002_25_CON_REV03_P1 E EI ALLUMINIO</v>
      </c>
      <c r="C142" s="223"/>
      <c r="D142" s="223"/>
      <c r="E142" s="118">
        <f>ANACO!C130</f>
        <v>0</v>
      </c>
      <c r="F142" s="117" t="s">
        <v>28</v>
      </c>
      <c r="G142" s="131">
        <f>ANACO!I130</f>
        <v>0</v>
      </c>
      <c r="H142" s="651">
        <f>ANACO!BS130</f>
        <v>0</v>
      </c>
      <c r="I142" s="651">
        <f t="shared" si="2"/>
        <v>0</v>
      </c>
    </row>
    <row r="143" spans="1:9" s="642" customFormat="1" ht="36" hidden="1">
      <c r="A143" s="116">
        <f>ANACO!B131</f>
        <v>0</v>
      </c>
      <c r="B143" s="223" t="str">
        <f>ANACO!$C$5</f>
        <v>P1002_25_CON_REV03_P1 E EI ALLUMINIO</v>
      </c>
      <c r="C143" s="223"/>
      <c r="D143" s="223"/>
      <c r="E143" s="118">
        <f>ANACO!C131</f>
        <v>0</v>
      </c>
      <c r="F143" s="117" t="s">
        <v>28</v>
      </c>
      <c r="G143" s="131">
        <f>ANACO!I131</f>
        <v>0</v>
      </c>
      <c r="H143" s="651">
        <f>ANACO!BS131</f>
        <v>0</v>
      </c>
      <c r="I143" s="651">
        <f t="shared" si="2"/>
        <v>0</v>
      </c>
    </row>
    <row r="144" spans="1:9" s="642" customFormat="1" ht="36" hidden="1">
      <c r="A144" s="116">
        <f>ANACO!B132</f>
        <v>0</v>
      </c>
      <c r="B144" s="223" t="str">
        <f>ANACO!$C$5</f>
        <v>P1002_25_CON_REV03_P1 E EI ALLUMINIO</v>
      </c>
      <c r="C144" s="223"/>
      <c r="D144" s="223"/>
      <c r="E144" s="118">
        <f>ANACO!C132</f>
        <v>0</v>
      </c>
      <c r="F144" s="117" t="s">
        <v>28</v>
      </c>
      <c r="G144" s="131">
        <f>ANACO!I132</f>
        <v>0</v>
      </c>
      <c r="H144" s="651">
        <f>ANACO!BS132</f>
        <v>0</v>
      </c>
      <c r="I144" s="651">
        <f t="shared" si="2"/>
        <v>0</v>
      </c>
    </row>
    <row r="145" spans="1:9" s="642" customFormat="1" ht="36" hidden="1">
      <c r="A145" s="116">
        <f>ANACO!B133</f>
        <v>0</v>
      </c>
      <c r="B145" s="223" t="str">
        <f>ANACO!$C$5</f>
        <v>P1002_25_CON_REV03_P1 E EI ALLUMINIO</v>
      </c>
      <c r="C145" s="223"/>
      <c r="D145" s="223"/>
      <c r="E145" s="118">
        <f>ANACO!C133</f>
        <v>0</v>
      </c>
      <c r="F145" s="117" t="s">
        <v>28</v>
      </c>
      <c r="G145" s="131">
        <f>ANACO!I133</f>
        <v>0</v>
      </c>
      <c r="H145" s="651">
        <f>ANACO!BS133</f>
        <v>0</v>
      </c>
      <c r="I145" s="651">
        <f t="shared" si="2"/>
        <v>0</v>
      </c>
    </row>
    <row r="146" spans="1:9" s="642" customFormat="1" ht="36" hidden="1">
      <c r="A146" s="116">
        <f>ANACO!B134</f>
        <v>0</v>
      </c>
      <c r="B146" s="223" t="str">
        <f>ANACO!$C$5</f>
        <v>P1002_25_CON_REV03_P1 E EI ALLUMINIO</v>
      </c>
      <c r="C146" s="223"/>
      <c r="D146" s="223"/>
      <c r="E146" s="118">
        <f>ANACO!C134</f>
        <v>0</v>
      </c>
      <c r="F146" s="117" t="s">
        <v>28</v>
      </c>
      <c r="G146" s="131">
        <f>ANACO!I134</f>
        <v>0</v>
      </c>
      <c r="H146" s="651">
        <f>ANACO!BS134</f>
        <v>0</v>
      </c>
      <c r="I146" s="651">
        <f t="shared" si="2"/>
        <v>0</v>
      </c>
    </row>
    <row r="147" spans="1:9" s="642" customFormat="1" ht="36" hidden="1">
      <c r="A147" s="116">
        <f>ANACO!B135</f>
        <v>0</v>
      </c>
      <c r="B147" s="223" t="str">
        <f>ANACO!$C$5</f>
        <v>P1002_25_CON_REV03_P1 E EI ALLUMINIO</v>
      </c>
      <c r="C147" s="223"/>
      <c r="D147" s="223"/>
      <c r="E147" s="118">
        <f>ANACO!C135</f>
        <v>0</v>
      </c>
      <c r="F147" s="117" t="s">
        <v>28</v>
      </c>
      <c r="G147" s="131">
        <f>ANACO!I135</f>
        <v>0</v>
      </c>
      <c r="H147" s="651">
        <f>ANACO!BS135</f>
        <v>0</v>
      </c>
      <c r="I147" s="651">
        <f t="shared" si="2"/>
        <v>0</v>
      </c>
    </row>
    <row r="148" spans="1:9" s="642" customFormat="1" ht="36" hidden="1">
      <c r="A148" s="116">
        <f>ANACO!B136</f>
        <v>0</v>
      </c>
      <c r="B148" s="223" t="str">
        <f>ANACO!$C$5</f>
        <v>P1002_25_CON_REV03_P1 E EI ALLUMINIO</v>
      </c>
      <c r="C148" s="223"/>
      <c r="D148" s="223"/>
      <c r="E148" s="118">
        <f>ANACO!C136</f>
        <v>0</v>
      </c>
      <c r="F148" s="117" t="s">
        <v>28</v>
      </c>
      <c r="G148" s="131">
        <f>ANACO!I136</f>
        <v>0</v>
      </c>
      <c r="H148" s="651">
        <f>ANACO!BS136</f>
        <v>0</v>
      </c>
      <c r="I148" s="651">
        <f t="shared" si="2"/>
        <v>0</v>
      </c>
    </row>
    <row r="149" spans="1:9" s="642" customFormat="1" ht="36" hidden="1">
      <c r="A149" s="116">
        <f>ANACO!B137</f>
        <v>0</v>
      </c>
      <c r="B149" s="223" t="str">
        <f>ANACO!$C$5</f>
        <v>P1002_25_CON_REV03_P1 E EI ALLUMINIO</v>
      </c>
      <c r="C149" s="223"/>
      <c r="D149" s="223"/>
      <c r="E149" s="118">
        <f>ANACO!C137</f>
        <v>0</v>
      </c>
      <c r="F149" s="117" t="s">
        <v>28</v>
      </c>
      <c r="G149" s="131">
        <f>ANACO!I137</f>
        <v>0</v>
      </c>
      <c r="H149" s="651">
        <f>ANACO!BS137</f>
        <v>0</v>
      </c>
      <c r="I149" s="651">
        <f t="shared" si="2"/>
        <v>0</v>
      </c>
    </row>
    <row r="150" spans="1:9" s="642" customFormat="1" ht="36" hidden="1">
      <c r="A150" s="116">
        <f>ANACO!B138</f>
        <v>0</v>
      </c>
      <c r="B150" s="223" t="str">
        <f>ANACO!$C$5</f>
        <v>P1002_25_CON_REV03_P1 E EI ALLUMINIO</v>
      </c>
      <c r="C150" s="223"/>
      <c r="D150" s="223"/>
      <c r="E150" s="118">
        <f>ANACO!C138</f>
        <v>0</v>
      </c>
      <c r="F150" s="117" t="s">
        <v>28</v>
      </c>
      <c r="G150" s="131">
        <f>ANACO!I138</f>
        <v>0</v>
      </c>
      <c r="H150" s="651">
        <f>ANACO!BS138</f>
        <v>0</v>
      </c>
      <c r="I150" s="651">
        <f t="shared" si="2"/>
        <v>0</v>
      </c>
    </row>
    <row r="151" spans="1:9" s="642" customFormat="1" ht="36" hidden="1">
      <c r="A151" s="116">
        <f>ANACO!B139</f>
        <v>0</v>
      </c>
      <c r="B151" s="223" t="str">
        <f>ANACO!$C$5</f>
        <v>P1002_25_CON_REV03_P1 E EI ALLUMINIO</v>
      </c>
      <c r="C151" s="223"/>
      <c r="D151" s="223"/>
      <c r="E151" s="118">
        <f>ANACO!C139</f>
        <v>0</v>
      </c>
      <c r="F151" s="117" t="s">
        <v>28</v>
      </c>
      <c r="G151" s="131">
        <f>ANACO!I139</f>
        <v>0</v>
      </c>
      <c r="H151" s="651">
        <f>ANACO!BS139</f>
        <v>0</v>
      </c>
      <c r="I151" s="651">
        <f t="shared" si="2"/>
        <v>0</v>
      </c>
    </row>
    <row r="152" spans="1:9" s="642" customFormat="1" ht="36" hidden="1">
      <c r="A152" s="116">
        <f>ANACO!B140</f>
        <v>0</v>
      </c>
      <c r="B152" s="223" t="str">
        <f>ANACO!$C$5</f>
        <v>P1002_25_CON_REV03_P1 E EI ALLUMINIO</v>
      </c>
      <c r="C152" s="223"/>
      <c r="D152" s="223"/>
      <c r="E152" s="118">
        <f>ANACO!C140</f>
        <v>0</v>
      </c>
      <c r="F152" s="117" t="s">
        <v>28</v>
      </c>
      <c r="G152" s="131">
        <f>ANACO!I140</f>
        <v>0</v>
      </c>
      <c r="H152" s="651">
        <f>ANACO!BS140</f>
        <v>0</v>
      </c>
      <c r="I152" s="651">
        <f t="shared" si="2"/>
        <v>0</v>
      </c>
    </row>
    <row r="153" spans="1:9" s="642" customFormat="1" ht="36" hidden="1">
      <c r="A153" s="116">
        <f>ANACO!B141</f>
        <v>0</v>
      </c>
      <c r="B153" s="223" t="str">
        <f>ANACO!$C$5</f>
        <v>P1002_25_CON_REV03_P1 E EI ALLUMINIO</v>
      </c>
      <c r="C153" s="223"/>
      <c r="D153" s="223"/>
      <c r="E153" s="118">
        <f>ANACO!C141</f>
        <v>0</v>
      </c>
      <c r="F153" s="117" t="s">
        <v>28</v>
      </c>
      <c r="G153" s="131">
        <f>ANACO!I141</f>
        <v>0</v>
      </c>
      <c r="H153" s="651">
        <f>ANACO!BS141</f>
        <v>0</v>
      </c>
      <c r="I153" s="651">
        <f t="shared" si="2"/>
        <v>0</v>
      </c>
    </row>
    <row r="154" spans="1:9" s="642" customFormat="1" ht="36" hidden="1">
      <c r="A154" s="116">
        <f>ANACO!B142</f>
        <v>0</v>
      </c>
      <c r="B154" s="223" t="str">
        <f>ANACO!$C$5</f>
        <v>P1002_25_CON_REV03_P1 E EI ALLUMINIO</v>
      </c>
      <c r="C154" s="223"/>
      <c r="D154" s="223"/>
      <c r="E154" s="118">
        <f>ANACO!C142</f>
        <v>0</v>
      </c>
      <c r="F154" s="117" t="s">
        <v>28</v>
      </c>
      <c r="G154" s="131">
        <f>ANACO!I142</f>
        <v>0</v>
      </c>
      <c r="H154" s="651">
        <f>ANACO!BS142</f>
        <v>0</v>
      </c>
      <c r="I154" s="651">
        <f t="shared" si="2"/>
        <v>0</v>
      </c>
    </row>
    <row r="155" spans="1:9" s="642" customFormat="1" ht="36" hidden="1">
      <c r="A155" s="116">
        <f>ANACO!B143</f>
        <v>0</v>
      </c>
      <c r="B155" s="223" t="str">
        <f>ANACO!$C$5</f>
        <v>P1002_25_CON_REV03_P1 E EI ALLUMINIO</v>
      </c>
      <c r="C155" s="223"/>
      <c r="D155" s="223"/>
      <c r="E155" s="118">
        <f>ANACO!C143</f>
        <v>0</v>
      </c>
      <c r="F155" s="117" t="s">
        <v>28</v>
      </c>
      <c r="G155" s="131">
        <f>ANACO!I143</f>
        <v>0</v>
      </c>
      <c r="H155" s="651">
        <f>ANACO!BS143</f>
        <v>0</v>
      </c>
      <c r="I155" s="651">
        <f t="shared" si="2"/>
        <v>0</v>
      </c>
    </row>
    <row r="156" spans="1:9" s="642" customFormat="1" ht="36" hidden="1">
      <c r="A156" s="116">
        <f>ANACO!B144</f>
        <v>0</v>
      </c>
      <c r="B156" s="223" t="str">
        <f>ANACO!$C$5</f>
        <v>P1002_25_CON_REV03_P1 E EI ALLUMINIO</v>
      </c>
      <c r="C156" s="223"/>
      <c r="D156" s="223"/>
      <c r="E156" s="118">
        <f>ANACO!C144</f>
        <v>0</v>
      </c>
      <c r="F156" s="117" t="s">
        <v>28</v>
      </c>
      <c r="G156" s="645">
        <f>ANACO!I144</f>
        <v>0</v>
      </c>
      <c r="H156" s="651">
        <f>ANACO!BS144</f>
        <v>0</v>
      </c>
      <c r="I156" s="651">
        <f t="shared" si="2"/>
        <v>0</v>
      </c>
    </row>
    <row r="157" spans="1:9" ht="14.65" thickBot="1">
      <c r="A157" s="66"/>
      <c r="B157" s="67"/>
      <c r="C157" s="67"/>
      <c r="D157" s="67"/>
      <c r="E157" s="68"/>
      <c r="F157" s="67"/>
      <c r="G157" s="69"/>
      <c r="H157" s="67"/>
      <c r="I157" s="70"/>
    </row>
    <row r="158" spans="1:9" ht="16.149999999999999" thickBot="1">
      <c r="A158" s="71" t="s">
        <v>30</v>
      </c>
      <c r="B158" s="72"/>
      <c r="C158" s="72"/>
      <c r="D158" s="72"/>
      <c r="E158" s="72"/>
      <c r="F158" s="72"/>
      <c r="G158" s="73"/>
      <c r="H158" s="802">
        <f>SUM(I25:I59)</f>
        <v>1264104.8267099999</v>
      </c>
      <c r="I158" s="803"/>
    </row>
    <row r="160" spans="1:9">
      <c r="A160" s="804" t="s">
        <v>31</v>
      </c>
      <c r="B160" s="804"/>
      <c r="C160" s="804"/>
      <c r="D160" s="804"/>
      <c r="E160" s="804"/>
      <c r="F160" s="804"/>
      <c r="G160" s="804"/>
      <c r="H160" s="804"/>
      <c r="I160" s="804"/>
    </row>
    <row r="161" spans="1:9">
      <c r="A161" s="74"/>
      <c r="B161" s="74"/>
      <c r="C161" s="74"/>
      <c r="D161" s="74"/>
      <c r="E161" s="74"/>
      <c r="F161" s="74"/>
      <c r="G161" s="74"/>
      <c r="H161" s="74"/>
      <c r="I161" s="74"/>
    </row>
    <row r="162" spans="1:9">
      <c r="A162" s="75" t="s">
        <v>32</v>
      </c>
    </row>
    <row r="163" spans="1:9">
      <c r="A163" s="75"/>
    </row>
    <row r="164" spans="1:9">
      <c r="A164" s="76" t="s">
        <v>33</v>
      </c>
      <c r="B164" s="76"/>
      <c r="C164" s="76"/>
      <c r="D164" s="76"/>
      <c r="E164" s="76"/>
      <c r="F164" s="75" t="s">
        <v>34</v>
      </c>
      <c r="G164" s="75"/>
      <c r="H164" s="75"/>
      <c r="I164" s="75"/>
    </row>
    <row r="165" spans="1:9">
      <c r="A165" s="76" t="s">
        <v>35</v>
      </c>
      <c r="B165" s="76"/>
      <c r="C165" s="76"/>
      <c r="D165" s="76"/>
      <c r="E165" s="76"/>
      <c r="F165" s="75" t="s">
        <v>36</v>
      </c>
      <c r="G165" s="75"/>
      <c r="H165" s="75"/>
      <c r="I165" s="75"/>
    </row>
    <row r="166" spans="1:9">
      <c r="A166" s="76" t="s">
        <v>37</v>
      </c>
      <c r="F166" s="75" t="s">
        <v>38</v>
      </c>
      <c r="I166" s="77"/>
    </row>
    <row r="167" spans="1:9">
      <c r="A167" s="76"/>
      <c r="F167" s="75" t="s">
        <v>39</v>
      </c>
      <c r="I167" s="77"/>
    </row>
    <row r="168" spans="1:9">
      <c r="A168" s="76"/>
      <c r="F168" s="75" t="s">
        <v>40</v>
      </c>
      <c r="I168" s="77"/>
    </row>
    <row r="169" spans="1:9">
      <c r="A169" s="76"/>
      <c r="F169" s="648"/>
      <c r="G169" s="647"/>
      <c r="I169" s="77"/>
    </row>
    <row r="170" spans="1:9" ht="30.4" customHeight="1">
      <c r="A170" s="76"/>
      <c r="F170" s="808"/>
      <c r="G170" s="808"/>
      <c r="H170" s="808"/>
      <c r="I170" s="808"/>
    </row>
    <row r="171" spans="1:9">
      <c r="A171" s="76" t="s">
        <v>41</v>
      </c>
      <c r="F171" s="75" t="s">
        <v>42</v>
      </c>
      <c r="I171" s="77"/>
    </row>
    <row r="172" spans="1:9">
      <c r="A172" s="805"/>
      <c r="B172" s="805"/>
      <c r="C172" s="805"/>
      <c r="D172" s="805"/>
      <c r="E172" s="805"/>
      <c r="F172" s="805"/>
      <c r="G172" s="805"/>
      <c r="H172" s="805"/>
      <c r="I172" s="805"/>
    </row>
    <row r="173" spans="1:9">
      <c r="A173" s="76" t="s">
        <v>43</v>
      </c>
      <c r="F173" s="75"/>
      <c r="I173" s="77"/>
    </row>
    <row r="174" spans="1:9" ht="14.65" thickBot="1">
      <c r="A174" s="76"/>
      <c r="B174" s="76"/>
      <c r="C174" s="76"/>
      <c r="D174" s="76"/>
      <c r="E174" s="76"/>
      <c r="F174" s="75"/>
      <c r="G174" s="78"/>
      <c r="H174" s="78" t="s">
        <v>44</v>
      </c>
      <c r="I174" s="78" t="s">
        <v>45</v>
      </c>
    </row>
    <row r="175" spans="1:9">
      <c r="A175" s="79" t="s">
        <v>46</v>
      </c>
      <c r="B175" s="80"/>
      <c r="C175" s="80"/>
      <c r="D175" s="80"/>
      <c r="E175" s="80"/>
      <c r="F175" s="81"/>
      <c r="G175" s="82"/>
      <c r="H175" s="83" t="s">
        <v>47</v>
      </c>
      <c r="I175" s="84"/>
    </row>
    <row r="176" spans="1:9">
      <c r="A176" s="85" t="s">
        <v>48</v>
      </c>
      <c r="B176" s="86"/>
      <c r="C176" s="86"/>
      <c r="D176" s="86"/>
      <c r="E176" s="86"/>
      <c r="F176" s="87"/>
      <c r="G176" s="88"/>
      <c r="H176" s="89"/>
      <c r="I176" s="90" t="s">
        <v>49</v>
      </c>
    </row>
    <row r="177" spans="1:9">
      <c r="A177" s="85" t="s">
        <v>50</v>
      </c>
      <c r="B177" s="86"/>
      <c r="C177" s="86"/>
      <c r="D177" s="86"/>
      <c r="E177" s="86"/>
      <c r="F177" s="87"/>
      <c r="G177" s="88"/>
      <c r="H177" s="91"/>
      <c r="I177" s="90" t="s">
        <v>49</v>
      </c>
    </row>
    <row r="178" spans="1:9">
      <c r="A178" s="85" t="s">
        <v>51</v>
      </c>
      <c r="B178" s="86"/>
      <c r="C178" s="86"/>
      <c r="D178" s="86"/>
      <c r="E178" s="86"/>
      <c r="F178" s="87"/>
      <c r="G178" s="88"/>
      <c r="H178" s="92" t="s">
        <v>47</v>
      </c>
      <c r="I178" s="93"/>
    </row>
    <row r="179" spans="1:9">
      <c r="A179" s="85" t="s">
        <v>52</v>
      </c>
      <c r="B179" s="86"/>
      <c r="C179" s="86"/>
      <c r="D179" s="86"/>
      <c r="E179" s="86"/>
      <c r="F179" s="87"/>
      <c r="G179" s="88"/>
      <c r="H179" s="92" t="s">
        <v>47</v>
      </c>
      <c r="I179" s="90"/>
    </row>
    <row r="180" spans="1:9">
      <c r="A180" s="85" t="s">
        <v>53</v>
      </c>
      <c r="B180" s="86"/>
      <c r="C180" s="86"/>
      <c r="D180" s="86"/>
      <c r="E180" s="86"/>
      <c r="F180" s="87"/>
      <c r="G180" s="88"/>
      <c r="H180" s="92" t="s">
        <v>47</v>
      </c>
      <c r="I180" s="90"/>
    </row>
    <row r="181" spans="1:9">
      <c r="A181" s="85" t="s">
        <v>54</v>
      </c>
      <c r="B181" s="86"/>
      <c r="C181" s="86"/>
      <c r="D181" s="86"/>
      <c r="E181" s="86"/>
      <c r="F181" s="87"/>
      <c r="G181" s="88"/>
      <c r="H181" s="92" t="s">
        <v>47</v>
      </c>
      <c r="I181" s="93"/>
    </row>
    <row r="182" spans="1:9">
      <c r="A182" s="85" t="s">
        <v>55</v>
      </c>
      <c r="B182" s="86"/>
      <c r="C182" s="86"/>
      <c r="D182" s="86"/>
      <c r="E182" s="86"/>
      <c r="F182" s="87"/>
      <c r="G182" s="88"/>
      <c r="H182" s="92" t="s">
        <v>47</v>
      </c>
      <c r="I182" s="90"/>
    </row>
    <row r="183" spans="1:9">
      <c r="A183" s="85" t="s">
        <v>56</v>
      </c>
      <c r="B183" s="86"/>
      <c r="C183" s="86"/>
      <c r="D183" s="86"/>
      <c r="E183" s="86"/>
      <c r="F183" s="87"/>
      <c r="G183" s="88"/>
      <c r="H183" s="94"/>
      <c r="I183" s="90" t="s">
        <v>49</v>
      </c>
    </row>
    <row r="184" spans="1:9">
      <c r="A184" s="85" t="s">
        <v>57</v>
      </c>
      <c r="B184" s="86"/>
      <c r="C184" s="86"/>
      <c r="D184" s="86"/>
      <c r="E184" s="86"/>
      <c r="F184" s="87"/>
      <c r="G184" s="88"/>
      <c r="H184" s="94"/>
      <c r="I184" s="90" t="s">
        <v>49</v>
      </c>
    </row>
    <row r="185" spans="1:9">
      <c r="A185" s="85" t="s">
        <v>58</v>
      </c>
      <c r="B185" s="86"/>
      <c r="C185" s="86"/>
      <c r="D185" s="86"/>
      <c r="E185" s="86"/>
      <c r="F185" s="87"/>
      <c r="G185" s="88"/>
      <c r="H185" s="92" t="s">
        <v>47</v>
      </c>
      <c r="I185" s="93"/>
    </row>
    <row r="186" spans="1:9">
      <c r="A186" s="85" t="s">
        <v>59</v>
      </c>
      <c r="B186" s="86"/>
      <c r="C186" s="86"/>
      <c r="D186" s="86"/>
      <c r="E186" s="86"/>
      <c r="F186" s="87"/>
      <c r="G186" s="88"/>
      <c r="H186" s="92" t="s">
        <v>47</v>
      </c>
      <c r="I186" s="90"/>
    </row>
    <row r="187" spans="1:9">
      <c r="A187" s="85" t="s">
        <v>60</v>
      </c>
      <c r="B187" s="86"/>
      <c r="C187" s="86"/>
      <c r="D187" s="86"/>
      <c r="E187" s="86"/>
      <c r="F187" s="87"/>
      <c r="G187" s="88"/>
      <c r="H187" s="92" t="s">
        <v>47</v>
      </c>
      <c r="I187" s="90"/>
    </row>
    <row r="188" spans="1:9">
      <c r="A188" s="85" t="s">
        <v>61</v>
      </c>
      <c r="B188" s="86"/>
      <c r="C188" s="86"/>
      <c r="D188" s="86"/>
      <c r="E188" s="86"/>
      <c r="F188" s="87"/>
      <c r="G188" s="88"/>
      <c r="H188" s="95"/>
      <c r="I188" s="90" t="s">
        <v>49</v>
      </c>
    </row>
    <row r="189" spans="1:9">
      <c r="A189" s="85" t="s">
        <v>62</v>
      </c>
      <c r="B189" s="86"/>
      <c r="C189" s="86"/>
      <c r="D189" s="86"/>
      <c r="E189" s="86"/>
      <c r="F189" s="87"/>
      <c r="G189" s="88"/>
      <c r="H189" s="95"/>
      <c r="I189" s="90" t="s">
        <v>49</v>
      </c>
    </row>
    <row r="190" spans="1:9">
      <c r="A190" s="85" t="s">
        <v>63</v>
      </c>
      <c r="B190" s="86"/>
      <c r="C190" s="86"/>
      <c r="D190" s="86"/>
      <c r="E190" s="86"/>
      <c r="F190" s="87"/>
      <c r="G190" s="88"/>
      <c r="H190" s="95"/>
      <c r="I190" s="90" t="s">
        <v>49</v>
      </c>
    </row>
    <row r="191" spans="1:9">
      <c r="A191" s="85" t="s">
        <v>64</v>
      </c>
      <c r="B191" s="86"/>
      <c r="C191" s="86"/>
      <c r="D191" s="86"/>
      <c r="E191" s="86"/>
      <c r="F191" s="87"/>
      <c r="G191" s="88"/>
      <c r="H191" s="95"/>
      <c r="I191" s="90" t="s">
        <v>49</v>
      </c>
    </row>
    <row r="192" spans="1:9">
      <c r="A192" s="85" t="s">
        <v>65</v>
      </c>
      <c r="B192" s="86"/>
      <c r="C192" s="86"/>
      <c r="D192" s="86"/>
      <c r="E192" s="86"/>
      <c r="F192" s="87"/>
      <c r="G192" s="88"/>
      <c r="H192" s="92" t="s">
        <v>47</v>
      </c>
      <c r="I192" s="93"/>
    </row>
    <row r="193" spans="1:9">
      <c r="A193" s="85" t="s">
        <v>66</v>
      </c>
      <c r="B193" s="86"/>
      <c r="C193" s="86"/>
      <c r="D193" s="86"/>
      <c r="E193" s="86"/>
      <c r="F193" s="87"/>
      <c r="G193" s="88"/>
      <c r="H193" s="92" t="s">
        <v>47</v>
      </c>
      <c r="I193" s="93"/>
    </row>
    <row r="194" spans="1:9">
      <c r="A194" s="85" t="s">
        <v>67</v>
      </c>
      <c r="B194" s="86"/>
      <c r="C194" s="86"/>
      <c r="D194" s="86"/>
      <c r="E194" s="86"/>
      <c r="F194" s="87"/>
      <c r="G194" s="88"/>
      <c r="H194" s="92" t="s">
        <v>47</v>
      </c>
      <c r="I194" s="93"/>
    </row>
    <row r="195" spans="1:9">
      <c r="A195" s="85" t="s">
        <v>68</v>
      </c>
      <c r="B195" s="86"/>
      <c r="C195" s="86"/>
      <c r="D195" s="86"/>
      <c r="E195" s="86"/>
      <c r="F195" s="87"/>
      <c r="G195" s="88"/>
      <c r="H195" s="94"/>
      <c r="I195" s="90" t="s">
        <v>49</v>
      </c>
    </row>
    <row r="196" spans="1:9">
      <c r="A196" s="85" t="s">
        <v>69</v>
      </c>
      <c r="B196" s="86"/>
      <c r="C196" s="86"/>
      <c r="D196" s="86"/>
      <c r="E196" s="86"/>
      <c r="F196" s="87"/>
      <c r="G196" s="88"/>
      <c r="H196" s="92" t="s">
        <v>47</v>
      </c>
      <c r="I196" s="93"/>
    </row>
    <row r="197" spans="1:9">
      <c r="A197" s="85" t="s">
        <v>70</v>
      </c>
      <c r="B197" s="86"/>
      <c r="C197" s="86"/>
      <c r="D197" s="86"/>
      <c r="E197" s="86"/>
      <c r="F197" s="87"/>
      <c r="G197" s="88"/>
      <c r="H197" s="94"/>
      <c r="I197" s="90" t="s">
        <v>49</v>
      </c>
    </row>
    <row r="198" spans="1:9">
      <c r="A198" s="85" t="s">
        <v>71</v>
      </c>
      <c r="B198" s="86"/>
      <c r="C198" s="86"/>
      <c r="D198" s="86"/>
      <c r="E198" s="86"/>
      <c r="F198" s="87"/>
      <c r="G198" s="88"/>
      <c r="H198" s="94"/>
      <c r="I198" s="90" t="s">
        <v>49</v>
      </c>
    </row>
    <row r="199" spans="1:9">
      <c r="A199" s="85" t="s">
        <v>72</v>
      </c>
      <c r="B199" s="86"/>
      <c r="C199" s="86"/>
      <c r="D199" s="86"/>
      <c r="E199" s="86"/>
      <c r="F199" s="87"/>
      <c r="G199" s="88"/>
      <c r="H199" s="94"/>
      <c r="I199" s="90" t="s">
        <v>49</v>
      </c>
    </row>
    <row r="200" spans="1:9">
      <c r="A200" s="85" t="s">
        <v>73</v>
      </c>
      <c r="B200" s="86"/>
      <c r="C200" s="86"/>
      <c r="D200" s="86"/>
      <c r="E200" s="86"/>
      <c r="F200" s="87"/>
      <c r="G200" s="88"/>
      <c r="H200" s="92" t="s">
        <v>47</v>
      </c>
      <c r="I200" s="93"/>
    </row>
    <row r="201" spans="1:9">
      <c r="A201" s="85" t="s">
        <v>74</v>
      </c>
      <c r="B201" s="86"/>
      <c r="C201" s="86"/>
      <c r="D201" s="86"/>
      <c r="E201" s="86"/>
      <c r="F201" s="87"/>
      <c r="G201" s="88"/>
      <c r="H201" s="94"/>
      <c r="I201" s="90" t="s">
        <v>49</v>
      </c>
    </row>
    <row r="202" spans="1:9">
      <c r="A202" s="85" t="s">
        <v>75</v>
      </c>
      <c r="B202" s="86"/>
      <c r="C202" s="86"/>
      <c r="D202" s="86"/>
      <c r="E202" s="86"/>
      <c r="F202" s="87"/>
      <c r="G202" s="88"/>
      <c r="H202" s="94"/>
      <c r="I202" s="90" t="s">
        <v>49</v>
      </c>
    </row>
    <row r="203" spans="1:9">
      <c r="A203" s="85" t="s">
        <v>76</v>
      </c>
      <c r="B203" s="86"/>
      <c r="C203" s="86"/>
      <c r="D203" s="86"/>
      <c r="E203" s="86"/>
      <c r="F203" s="87"/>
      <c r="G203" s="88"/>
      <c r="H203" s="92"/>
      <c r="I203" s="90" t="s">
        <v>49</v>
      </c>
    </row>
    <row r="204" spans="1:9">
      <c r="A204" s="96" t="s">
        <v>77</v>
      </c>
      <c r="B204" s="97"/>
      <c r="C204" s="97"/>
      <c r="D204" s="97"/>
      <c r="E204" s="97"/>
      <c r="F204" s="98"/>
      <c r="G204" s="99"/>
      <c r="H204" s="94"/>
      <c r="I204" s="90" t="s">
        <v>49</v>
      </c>
    </row>
    <row r="205" spans="1:9" ht="14.65" thickBot="1">
      <c r="A205" s="100" t="s">
        <v>78</v>
      </c>
      <c r="B205" s="101"/>
      <c r="C205" s="101"/>
      <c r="D205" s="101"/>
      <c r="E205" s="101"/>
      <c r="F205" s="102"/>
      <c r="G205" s="103"/>
      <c r="H205" s="104"/>
      <c r="I205" s="105" t="s">
        <v>49</v>
      </c>
    </row>
    <row r="206" spans="1:9">
      <c r="A206" s="97"/>
      <c r="B206" s="97"/>
      <c r="C206" s="97"/>
      <c r="D206" s="97"/>
      <c r="E206" s="97"/>
      <c r="F206" s="98"/>
      <c r="G206" s="98"/>
      <c r="H206" s="77"/>
      <c r="I206" s="106"/>
    </row>
    <row r="207" spans="1:9" ht="14.65" thickBot="1">
      <c r="A207" s="97"/>
      <c r="B207" s="97"/>
      <c r="C207" s="97"/>
      <c r="D207" s="97"/>
      <c r="E207" s="97"/>
      <c r="F207" s="98"/>
      <c r="G207" s="98"/>
      <c r="H207" s="78" t="s">
        <v>44</v>
      </c>
      <c r="I207" s="78" t="s">
        <v>45</v>
      </c>
    </row>
    <row r="208" spans="1:9">
      <c r="A208" s="79" t="s">
        <v>79</v>
      </c>
      <c r="B208" s="80"/>
      <c r="C208" s="80"/>
      <c r="D208" s="80"/>
      <c r="E208" s="80"/>
      <c r="F208" s="81"/>
      <c r="G208" s="107"/>
      <c r="H208" s="92" t="s">
        <v>47</v>
      </c>
      <c r="I208" s="90"/>
    </row>
    <row r="209" spans="1:9">
      <c r="A209" s="85" t="s">
        <v>80</v>
      </c>
      <c r="B209" s="86"/>
      <c r="C209" s="86"/>
      <c r="D209" s="86"/>
      <c r="E209" s="86"/>
      <c r="F209" s="87"/>
      <c r="G209" s="88"/>
      <c r="H209" s="92"/>
      <c r="I209" s="90" t="s">
        <v>49</v>
      </c>
    </row>
    <row r="210" spans="1:9">
      <c r="A210" s="85" t="s">
        <v>81</v>
      </c>
      <c r="B210" s="86"/>
      <c r="C210" s="86"/>
      <c r="D210" s="86"/>
      <c r="E210" s="86"/>
      <c r="F210" s="87"/>
      <c r="G210" s="88"/>
      <c r="H210" s="94"/>
      <c r="I210" s="90" t="s">
        <v>49</v>
      </c>
    </row>
    <row r="211" spans="1:9">
      <c r="A211" s="85" t="s">
        <v>82</v>
      </c>
      <c r="B211" s="86"/>
      <c r="C211" s="86"/>
      <c r="D211" s="86"/>
      <c r="E211" s="86"/>
      <c r="F211" s="87"/>
      <c r="G211" s="88"/>
      <c r="H211" s="92"/>
      <c r="I211" s="90" t="s">
        <v>49</v>
      </c>
    </row>
    <row r="212" spans="1:9">
      <c r="A212" s="85" t="s">
        <v>83</v>
      </c>
      <c r="B212" s="86"/>
      <c r="C212" s="86"/>
      <c r="D212" s="86"/>
      <c r="E212" s="86"/>
      <c r="F212" s="87"/>
      <c r="G212" s="88"/>
      <c r="H212" s="92" t="s">
        <v>47</v>
      </c>
      <c r="I212" s="108"/>
    </row>
    <row r="213" spans="1:9">
      <c r="A213" s="85" t="s">
        <v>84</v>
      </c>
      <c r="B213" s="86"/>
      <c r="C213" s="86"/>
      <c r="D213" s="86"/>
      <c r="E213" s="86"/>
      <c r="F213" s="87"/>
      <c r="G213" s="88"/>
      <c r="H213" s="94"/>
      <c r="I213" s="90" t="s">
        <v>49</v>
      </c>
    </row>
    <row r="214" spans="1:9">
      <c r="A214" s="85" t="s">
        <v>85</v>
      </c>
      <c r="B214" s="86"/>
      <c r="C214" s="86"/>
      <c r="D214" s="86"/>
      <c r="E214" s="86"/>
      <c r="F214" s="87"/>
      <c r="G214" s="88"/>
      <c r="H214" s="94"/>
      <c r="I214" s="90" t="s">
        <v>49</v>
      </c>
    </row>
    <row r="215" spans="1:9">
      <c r="A215" s="85" t="s">
        <v>86</v>
      </c>
      <c r="B215" s="86"/>
      <c r="C215" s="86"/>
      <c r="D215" s="86"/>
      <c r="E215" s="86"/>
      <c r="F215" s="87"/>
      <c r="G215" s="88"/>
      <c r="H215" s="94"/>
      <c r="I215" s="90" t="s">
        <v>49</v>
      </c>
    </row>
    <row r="216" spans="1:9">
      <c r="A216" s="85" t="s">
        <v>87</v>
      </c>
      <c r="B216" s="86"/>
      <c r="C216" s="86"/>
      <c r="D216" s="86"/>
      <c r="E216" s="86"/>
      <c r="F216" s="87"/>
      <c r="G216" s="88"/>
      <c r="H216" s="92" t="s">
        <v>47</v>
      </c>
      <c r="I216" s="108"/>
    </row>
    <row r="217" spans="1:9">
      <c r="A217" s="85" t="s">
        <v>88</v>
      </c>
      <c r="B217" s="86"/>
      <c r="C217" s="86"/>
      <c r="D217" s="86"/>
      <c r="E217" s="86"/>
      <c r="F217" s="87"/>
      <c r="G217" s="88"/>
      <c r="H217" s="95"/>
      <c r="I217" s="90" t="s">
        <v>49</v>
      </c>
    </row>
    <row r="218" spans="1:9">
      <c r="A218" s="85" t="s">
        <v>89</v>
      </c>
      <c r="B218" s="86"/>
      <c r="C218" s="86"/>
      <c r="D218" s="86"/>
      <c r="E218" s="86"/>
      <c r="F218" s="87"/>
      <c r="G218" s="88"/>
      <c r="H218" s="92"/>
      <c r="I218" s="90" t="s">
        <v>49</v>
      </c>
    </row>
    <row r="219" spans="1:9">
      <c r="A219" s="85" t="s">
        <v>90</v>
      </c>
      <c r="B219" s="86"/>
      <c r="C219" s="86"/>
      <c r="D219" s="86"/>
      <c r="E219" s="86"/>
      <c r="F219" s="87"/>
      <c r="G219" s="88"/>
      <c r="H219" s="95"/>
      <c r="I219" s="90" t="s">
        <v>49</v>
      </c>
    </row>
    <row r="220" spans="1:9">
      <c r="A220" s="85" t="s">
        <v>91</v>
      </c>
      <c r="B220" s="86"/>
      <c r="C220" s="86"/>
      <c r="D220" s="86"/>
      <c r="E220" s="86"/>
      <c r="F220" s="87"/>
      <c r="G220" s="88"/>
      <c r="H220" s="95"/>
      <c r="I220" s="90" t="s">
        <v>49</v>
      </c>
    </row>
    <row r="221" spans="1:9">
      <c r="A221" s="85" t="s">
        <v>92</v>
      </c>
      <c r="B221" s="86"/>
      <c r="C221" s="86"/>
      <c r="D221" s="86"/>
      <c r="E221" s="86"/>
      <c r="F221" s="87"/>
      <c r="G221" s="88"/>
      <c r="H221" s="94"/>
      <c r="I221" s="90" t="s">
        <v>49</v>
      </c>
    </row>
    <row r="222" spans="1:9">
      <c r="A222" s="85" t="s">
        <v>93</v>
      </c>
      <c r="B222" s="86"/>
      <c r="C222" s="86"/>
      <c r="D222" s="86"/>
      <c r="E222" s="86"/>
      <c r="F222" s="87"/>
      <c r="G222" s="88"/>
      <c r="H222" s="92" t="s">
        <v>47</v>
      </c>
      <c r="I222" s="93"/>
    </row>
    <row r="223" spans="1:9">
      <c r="A223" s="85" t="s">
        <v>94</v>
      </c>
      <c r="B223" s="86"/>
      <c r="C223" s="86"/>
      <c r="D223" s="86"/>
      <c r="E223" s="86"/>
      <c r="F223" s="87"/>
      <c r="G223" s="88"/>
      <c r="H223" s="95"/>
      <c r="I223" s="90" t="s">
        <v>49</v>
      </c>
    </row>
    <row r="224" spans="1:9">
      <c r="A224" s="85" t="s">
        <v>95</v>
      </c>
      <c r="B224" s="86"/>
      <c r="C224" s="86"/>
      <c r="D224" s="86"/>
      <c r="E224" s="86"/>
      <c r="F224" s="87"/>
      <c r="G224" s="88"/>
      <c r="H224" s="94"/>
      <c r="I224" s="90" t="s">
        <v>49</v>
      </c>
    </row>
    <row r="225" spans="1:9">
      <c r="A225" s="85" t="s">
        <v>96</v>
      </c>
      <c r="B225" s="86"/>
      <c r="C225" s="86"/>
      <c r="D225" s="86"/>
      <c r="E225" s="86"/>
      <c r="F225" s="87"/>
      <c r="G225" s="88"/>
      <c r="H225" s="92" t="s">
        <v>47</v>
      </c>
      <c r="I225" s="90"/>
    </row>
    <row r="226" spans="1:9">
      <c r="A226" s="85" t="s">
        <v>97</v>
      </c>
      <c r="B226" s="86"/>
      <c r="C226" s="86"/>
      <c r="D226" s="86"/>
      <c r="E226" s="86"/>
      <c r="F226" s="87"/>
      <c r="G226" s="88"/>
      <c r="H226" s="95"/>
      <c r="I226" s="90" t="s">
        <v>49</v>
      </c>
    </row>
    <row r="227" spans="1:9">
      <c r="A227" s="85" t="s">
        <v>98</v>
      </c>
      <c r="B227" s="86"/>
      <c r="C227" s="86"/>
      <c r="D227" s="86"/>
      <c r="E227" s="86"/>
      <c r="F227" s="87"/>
      <c r="G227" s="88"/>
      <c r="H227" s="92" t="s">
        <v>47</v>
      </c>
      <c r="I227" s="90"/>
    </row>
    <row r="228" spans="1:9">
      <c r="A228" s="85" t="s">
        <v>99</v>
      </c>
      <c r="B228" s="86"/>
      <c r="C228" s="86"/>
      <c r="D228" s="86"/>
      <c r="E228" s="86"/>
      <c r="F228" s="87"/>
      <c r="G228" s="88"/>
      <c r="H228" s="92"/>
      <c r="I228" s="90" t="s">
        <v>49</v>
      </c>
    </row>
    <row r="229" spans="1:9">
      <c r="A229" s="85" t="s">
        <v>100</v>
      </c>
      <c r="B229" s="86"/>
      <c r="C229" s="86"/>
      <c r="D229" s="86"/>
      <c r="E229" s="86"/>
      <c r="F229" s="87"/>
      <c r="G229" s="88"/>
      <c r="H229" s="95"/>
      <c r="I229" s="90" t="s">
        <v>49</v>
      </c>
    </row>
    <row r="230" spans="1:9">
      <c r="A230" s="85" t="s">
        <v>101</v>
      </c>
      <c r="B230" s="86"/>
      <c r="C230" s="86"/>
      <c r="D230" s="86"/>
      <c r="E230" s="86"/>
      <c r="F230" s="87"/>
      <c r="G230" s="88"/>
      <c r="H230" s="95"/>
      <c r="I230" s="90" t="s">
        <v>49</v>
      </c>
    </row>
    <row r="231" spans="1:9">
      <c r="A231" s="85" t="s">
        <v>102</v>
      </c>
      <c r="B231" s="86"/>
      <c r="C231" s="86"/>
      <c r="D231" s="86"/>
      <c r="E231" s="86"/>
      <c r="F231" s="87"/>
      <c r="G231" s="88"/>
      <c r="H231" s="95"/>
      <c r="I231" s="90" t="s">
        <v>49</v>
      </c>
    </row>
    <row r="232" spans="1:9">
      <c r="A232" s="85" t="s">
        <v>103</v>
      </c>
      <c r="B232" s="86"/>
      <c r="C232" s="86"/>
      <c r="D232" s="86"/>
      <c r="E232" s="86"/>
      <c r="F232" s="87"/>
      <c r="G232" s="88"/>
      <c r="H232" s="95"/>
      <c r="I232" s="90" t="s">
        <v>49</v>
      </c>
    </row>
    <row r="233" spans="1:9">
      <c r="A233" s="85" t="s">
        <v>104</v>
      </c>
      <c r="B233" s="86"/>
      <c r="C233" s="86"/>
      <c r="D233" s="86"/>
      <c r="E233" s="86"/>
      <c r="F233" s="87"/>
      <c r="G233" s="88"/>
      <c r="H233" s="95"/>
      <c r="I233" s="90" t="s">
        <v>49</v>
      </c>
    </row>
    <row r="234" spans="1:9" ht="14.65" thickBot="1">
      <c r="A234" s="109"/>
      <c r="B234" s="110"/>
      <c r="C234" s="110"/>
      <c r="D234" s="110"/>
      <c r="E234" s="110"/>
      <c r="F234" s="110"/>
      <c r="G234" s="111"/>
      <c r="H234" s="112"/>
      <c r="I234" s="113"/>
    </row>
    <row r="236" spans="1:9" ht="60" customHeight="1">
      <c r="A236" s="806" t="s">
        <v>105</v>
      </c>
      <c r="B236" s="807"/>
      <c r="C236" s="807"/>
      <c r="D236" s="807"/>
      <c r="E236" s="807"/>
      <c r="F236" s="807"/>
      <c r="G236" s="807"/>
      <c r="H236" s="807"/>
      <c r="I236" s="807"/>
    </row>
    <row r="237" spans="1:9" ht="60.75" customHeight="1">
      <c r="A237" s="806" t="s">
        <v>106</v>
      </c>
      <c r="B237" s="806"/>
      <c r="C237" s="806"/>
      <c r="D237" s="806"/>
      <c r="E237" s="806"/>
      <c r="F237" s="806"/>
      <c r="G237" s="806"/>
      <c r="H237" s="806"/>
      <c r="I237" s="806"/>
    </row>
    <row r="238" spans="1:9" ht="34.15" customHeight="1">
      <c r="A238" s="806" t="s">
        <v>107</v>
      </c>
      <c r="B238" s="807"/>
      <c r="C238" s="807"/>
      <c r="D238" s="807"/>
      <c r="E238" s="807"/>
      <c r="F238" s="807"/>
      <c r="G238" s="807"/>
      <c r="H238" s="807"/>
      <c r="I238" s="807"/>
    </row>
    <row r="239" spans="1:9">
      <c r="A239" s="114"/>
      <c r="B239" s="114"/>
      <c r="C239" s="114"/>
      <c r="D239" s="114"/>
      <c r="E239" s="114"/>
      <c r="F239" s="114"/>
      <c r="G239" s="114"/>
      <c r="H239" s="114"/>
      <c r="I239" s="114"/>
    </row>
    <row r="240" spans="1:9" ht="15" customHeight="1">
      <c r="A240" s="809" t="s">
        <v>108</v>
      </c>
      <c r="B240" s="809"/>
      <c r="C240" s="809"/>
      <c r="D240" s="809"/>
      <c r="E240" s="809"/>
      <c r="F240" s="809"/>
      <c r="G240" s="809"/>
      <c r="H240" s="809"/>
      <c r="I240" s="809"/>
    </row>
    <row r="241" spans="1:9" ht="93.75" customHeight="1">
      <c r="A241" s="807" t="s">
        <v>109</v>
      </c>
      <c r="B241" s="807"/>
      <c r="C241" s="807"/>
      <c r="D241" s="807"/>
      <c r="E241" s="807"/>
      <c r="F241" s="807"/>
      <c r="G241" s="807"/>
      <c r="H241" s="807"/>
      <c r="I241" s="807"/>
    </row>
    <row r="242" spans="1:9" ht="114" customHeight="1">
      <c r="A242" s="807" t="s">
        <v>110</v>
      </c>
      <c r="B242" s="807"/>
      <c r="C242" s="807"/>
      <c r="D242" s="807"/>
      <c r="E242" s="807"/>
      <c r="F242" s="807"/>
      <c r="G242" s="807"/>
      <c r="H242" s="807"/>
      <c r="I242" s="807"/>
    </row>
    <row r="243" spans="1:9" ht="144" customHeight="1">
      <c r="A243" s="807" t="s">
        <v>111</v>
      </c>
      <c r="B243" s="807"/>
      <c r="C243" s="807"/>
      <c r="D243" s="807"/>
      <c r="E243" s="807"/>
      <c r="F243" s="807"/>
      <c r="G243" s="807"/>
      <c r="H243" s="807"/>
      <c r="I243" s="807"/>
    </row>
    <row r="244" spans="1:9">
      <c r="A244" s="114"/>
      <c r="B244" s="114"/>
      <c r="C244" s="114"/>
      <c r="D244" s="114"/>
      <c r="E244" s="114"/>
      <c r="F244" s="114"/>
      <c r="G244" s="114"/>
      <c r="H244" s="114"/>
      <c r="I244" s="114"/>
    </row>
    <row r="245" spans="1:9" ht="15" customHeight="1">
      <c r="A245" s="809" t="s">
        <v>112</v>
      </c>
      <c r="B245" s="809"/>
      <c r="C245" s="809"/>
      <c r="D245" s="809"/>
      <c r="E245" s="809"/>
      <c r="F245" s="809"/>
      <c r="G245" s="809"/>
      <c r="H245" s="809"/>
      <c r="I245" s="809"/>
    </row>
    <row r="246" spans="1:9" ht="187.5" customHeight="1">
      <c r="A246" s="807" t="s">
        <v>113</v>
      </c>
      <c r="B246" s="807"/>
      <c r="C246" s="807"/>
      <c r="D246" s="807"/>
      <c r="E246" s="807"/>
      <c r="F246" s="807"/>
      <c r="G246" s="807"/>
      <c r="H246" s="807"/>
      <c r="I246" s="807"/>
    </row>
    <row r="247" spans="1:9">
      <c r="A247" s="114"/>
      <c r="B247" s="114"/>
      <c r="C247" s="114"/>
      <c r="D247" s="114"/>
      <c r="E247" s="114"/>
      <c r="F247" s="114"/>
      <c r="G247" s="114"/>
      <c r="H247" s="114"/>
      <c r="I247" s="114"/>
    </row>
    <row r="248" spans="1:9">
      <c r="A248" s="62" t="s">
        <v>114</v>
      </c>
    </row>
    <row r="249" spans="1:9">
      <c r="A249" s="643" t="s">
        <v>0</v>
      </c>
      <c r="H249" s="115" t="s">
        <v>115</v>
      </c>
    </row>
    <row r="250" spans="1:9">
      <c r="A250" s="644" t="s">
        <v>2</v>
      </c>
    </row>
    <row r="251" spans="1:9">
      <c r="A251" t="s">
        <v>116</v>
      </c>
    </row>
    <row r="254" spans="1:9">
      <c r="A254" s="62" t="s">
        <v>117</v>
      </c>
      <c r="H254" s="62" t="s">
        <v>118</v>
      </c>
    </row>
  </sheetData>
  <mergeCells count="24">
    <mergeCell ref="A246:I246"/>
    <mergeCell ref="A238:I238"/>
    <mergeCell ref="A240:I240"/>
    <mergeCell ref="A241:I241"/>
    <mergeCell ref="A242:I242"/>
    <mergeCell ref="A243:I243"/>
    <mergeCell ref="A245:I245"/>
    <mergeCell ref="H158:I158"/>
    <mergeCell ref="A160:I160"/>
    <mergeCell ref="A172:I172"/>
    <mergeCell ref="A236:I236"/>
    <mergeCell ref="A237:I237"/>
    <mergeCell ref="F170:I170"/>
    <mergeCell ref="A17:I17"/>
    <mergeCell ref="A18:I18"/>
    <mergeCell ref="A22:A23"/>
    <mergeCell ref="B22:B23"/>
    <mergeCell ref="E22:E23"/>
    <mergeCell ref="F22:F23"/>
    <mergeCell ref="G22:G23"/>
    <mergeCell ref="H22:H23"/>
    <mergeCell ref="I22:I23"/>
    <mergeCell ref="C22:C23"/>
    <mergeCell ref="D22:D23"/>
  </mergeCells>
  <pageMargins left="0.7" right="0.7" top="0.75" bottom="0.75" header="0.3" footer="0.3"/>
  <pageSetup paperSize="9" scale="76" fitToHeight="0" orientation="portrait" r:id="rId1"/>
  <rowBreaks count="4" manualBreakCount="4">
    <brk id="39" max="8" man="1"/>
    <brk id="159" max="6" man="1"/>
    <brk id="206" max="6" man="1"/>
    <brk id="243" max="6" man="1"/>
  </rowBreaks>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pageSetUpPr fitToPage="1"/>
  </sheetPr>
  <dimension ref="A1:BW157"/>
  <sheetViews>
    <sheetView tabSelected="1" topLeftCell="A3" zoomScale="109" zoomScaleNormal="110" workbookViewId="0">
      <pane xSplit="3" topLeftCell="BD1" activePane="topRight" state="frozen"/>
      <selection pane="topRight" activeCell="BG5" sqref="BG5:BH10"/>
      <selection activeCell="A22" sqref="A22"/>
    </sheetView>
  </sheetViews>
  <sheetFormatPr defaultColWidth="9.140625" defaultRowHeight="12.75" outlineLevelCol="1"/>
  <cols>
    <col min="1" max="1" width="4" style="1" customWidth="1"/>
    <col min="2" max="2" width="12.85546875" style="1" bestFit="1" customWidth="1"/>
    <col min="3" max="3" width="41" style="13" customWidth="1"/>
    <col min="4" max="4" width="16.140625" style="1" customWidth="1"/>
    <col min="5" max="5" width="16.140625" style="1" hidden="1" customWidth="1"/>
    <col min="6" max="6" width="16.140625" style="1" customWidth="1"/>
    <col min="7" max="7" width="10.42578125" style="1" bestFit="1" customWidth="1"/>
    <col min="8" max="8" width="3.85546875" style="1" bestFit="1" customWidth="1"/>
    <col min="9" max="9" width="12" style="1" bestFit="1" customWidth="1"/>
    <col min="10" max="10" width="12.5703125" style="1" customWidth="1" outlineLevel="1"/>
    <col min="11" max="13" width="9.85546875" style="1" customWidth="1" outlineLevel="1"/>
    <col min="14" max="14" width="12.140625" style="1" customWidth="1" outlineLevel="1"/>
    <col min="15" max="15" width="12.85546875" style="1" customWidth="1" outlineLevel="1"/>
    <col min="16" max="17" width="9.85546875" style="1" customWidth="1" outlineLevel="1"/>
    <col min="18" max="18" width="11.42578125" style="1" customWidth="1" outlineLevel="1"/>
    <col min="19" max="19" width="12" style="1" customWidth="1" outlineLevel="1"/>
    <col min="20" max="23" width="11.42578125" style="1" customWidth="1" outlineLevel="1"/>
    <col min="24" max="24" width="12.85546875" style="1" customWidth="1" outlineLevel="1"/>
    <col min="25" max="27" width="9.85546875" style="1" customWidth="1" outlineLevel="1"/>
    <col min="28" max="31" width="13.5703125" style="1" customWidth="1" outlineLevel="1"/>
    <col min="32" max="35" width="9.85546875" style="1" customWidth="1" outlineLevel="1"/>
    <col min="36" max="39" width="11.140625" style="1" customWidth="1" outlineLevel="1"/>
    <col min="40" max="40" width="9.85546875" style="1" customWidth="1" outlineLevel="1"/>
    <col min="41" max="41" width="12" style="1" customWidth="1" outlineLevel="1"/>
    <col min="42" max="42" width="9" style="1" customWidth="1" outlineLevel="1"/>
    <col min="43" max="43" width="9.85546875" style="1" customWidth="1" outlineLevel="1"/>
    <col min="44" max="45" width="10.42578125" style="1" customWidth="1" outlineLevel="1"/>
    <col min="46" max="47" width="12.140625" style="1" customWidth="1" outlineLevel="1"/>
    <col min="48" max="48" width="9" style="1" customWidth="1" outlineLevel="1"/>
    <col min="49" max="49" width="9.85546875" style="1" customWidth="1" outlineLevel="1"/>
    <col min="50" max="51" width="8.5703125" style="1" customWidth="1" outlineLevel="1"/>
    <col min="52" max="52" width="9" style="1" customWidth="1" outlineLevel="1"/>
    <col min="53" max="53" width="12.85546875" style="1" customWidth="1" outlineLevel="1"/>
    <col min="54" max="54" width="11.42578125" style="1" customWidth="1" outlineLevel="1"/>
    <col min="55" max="55" width="11" style="1" customWidth="1" outlineLevel="1"/>
    <col min="56" max="56" width="22.7109375" style="1" customWidth="1" outlineLevel="1"/>
    <col min="57" max="58" width="9" style="1" customWidth="1" outlineLevel="1"/>
    <col min="59" max="64" width="9.85546875" style="1" customWidth="1" outlineLevel="1"/>
    <col min="65" max="65" width="5.85546875" style="5" customWidth="1" outlineLevel="1"/>
    <col min="66" max="67" width="9.85546875" style="15" customWidth="1" outlineLevel="1"/>
    <col min="68" max="68" width="6" style="5" customWidth="1" outlineLevel="1"/>
    <col min="69" max="69" width="9" style="17" customWidth="1" outlineLevel="1"/>
    <col min="70" max="70" width="9.85546875" style="17" customWidth="1" outlineLevel="1"/>
    <col min="71" max="71" width="12.28515625" style="1" bestFit="1" customWidth="1"/>
    <col min="72" max="72" width="12.85546875" style="1" bestFit="1" customWidth="1"/>
    <col min="73" max="73" width="13.85546875" style="1" bestFit="1" customWidth="1"/>
    <col min="74" max="74" width="23.28515625" style="1" customWidth="1"/>
    <col min="75" max="75" width="2.42578125" style="1" customWidth="1"/>
    <col min="76" max="76" width="25.42578125" style="1" bestFit="1" customWidth="1"/>
    <col min="77" max="77" width="9.140625" style="1" customWidth="1"/>
    <col min="78" max="79" width="9.85546875" style="1" customWidth="1"/>
    <col min="80" max="80" width="18.85546875" style="1" customWidth="1"/>
    <col min="81" max="81" width="1.85546875" style="1" customWidth="1"/>
    <col min="82" max="83" width="9.85546875" style="1" bestFit="1" customWidth="1"/>
    <col min="84" max="16384" width="9.140625" style="1"/>
  </cols>
  <sheetData>
    <row r="1" spans="1:75" s="8" customFormat="1" ht="13.15" thickBot="1">
      <c r="B1" s="11"/>
      <c r="C1" s="12"/>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c r="AH1" s="11"/>
      <c r="AI1" s="11"/>
      <c r="AJ1" s="11"/>
      <c r="AK1" s="11"/>
      <c r="AL1" s="11"/>
      <c r="AM1" s="11"/>
      <c r="AN1" s="11"/>
      <c r="AO1" s="11"/>
      <c r="AP1" s="11"/>
      <c r="AQ1" s="11"/>
      <c r="AR1" s="11"/>
      <c r="AS1" s="11"/>
      <c r="AT1" s="11"/>
      <c r="AU1" s="11"/>
      <c r="AV1" s="11"/>
      <c r="AW1" s="11"/>
      <c r="AX1" s="11"/>
      <c r="AY1" s="11"/>
      <c r="AZ1" s="11"/>
      <c r="BA1" s="11"/>
      <c r="BB1" s="11"/>
      <c r="BC1" s="11"/>
      <c r="BD1" s="11"/>
      <c r="BE1" s="11"/>
      <c r="BF1" s="11"/>
      <c r="BG1" s="11"/>
      <c r="BH1" s="11"/>
      <c r="BI1" s="11"/>
      <c r="BJ1" s="11"/>
      <c r="BK1" s="11"/>
      <c r="BL1" s="11"/>
      <c r="BM1" s="11"/>
      <c r="BN1" s="14"/>
      <c r="BO1" s="14"/>
      <c r="BP1" s="11"/>
      <c r="BQ1" s="16"/>
      <c r="BR1" s="16"/>
      <c r="BS1" s="11"/>
      <c r="BT1" s="11"/>
      <c r="BU1" s="11"/>
      <c r="BV1" s="11"/>
      <c r="BW1" s="11"/>
    </row>
    <row r="2" spans="1:75" ht="12" thickBot="1">
      <c r="B2" s="19"/>
      <c r="C2" s="20" t="s">
        <v>119</v>
      </c>
      <c r="D2" s="21"/>
      <c r="E2" s="21"/>
      <c r="F2" s="21"/>
      <c r="G2" s="21"/>
      <c r="H2" s="21"/>
      <c r="I2" s="21"/>
      <c r="J2" s="21"/>
      <c r="K2" s="21"/>
      <c r="L2" s="21"/>
      <c r="M2" s="21"/>
      <c r="N2" s="21"/>
      <c r="O2" s="21"/>
      <c r="P2" s="21"/>
      <c r="Q2" s="21"/>
      <c r="R2" s="21"/>
      <c r="S2" s="21"/>
      <c r="T2" s="21"/>
      <c r="U2" s="21"/>
      <c r="V2" s="21"/>
      <c r="W2" s="21"/>
      <c r="X2" s="21"/>
      <c r="Y2" s="21"/>
      <c r="Z2" s="21"/>
      <c r="AA2" s="21"/>
      <c r="AB2" s="21"/>
      <c r="AC2" s="21"/>
      <c r="AD2" s="21"/>
      <c r="AE2" s="21"/>
      <c r="AF2" s="21"/>
      <c r="AG2" s="21"/>
      <c r="AH2" s="21"/>
      <c r="AI2" s="21"/>
      <c r="AJ2" s="21"/>
      <c r="AK2" s="21"/>
      <c r="AL2" s="21"/>
      <c r="AM2" s="21"/>
      <c r="AN2" s="21"/>
      <c r="AO2" s="21"/>
      <c r="AP2" s="21"/>
      <c r="AQ2" s="21"/>
      <c r="AR2" s="21"/>
      <c r="AS2" s="21"/>
      <c r="AT2" s="21"/>
      <c r="AU2" s="21"/>
      <c r="AV2" s="21"/>
      <c r="AW2" s="21"/>
      <c r="AX2" s="21"/>
      <c r="AY2" s="21"/>
      <c r="AZ2" s="21"/>
      <c r="BA2" s="21"/>
      <c r="BB2" s="21"/>
      <c r="BC2" s="21"/>
      <c r="BD2" s="21"/>
      <c r="BE2" s="21"/>
      <c r="BF2" s="21"/>
      <c r="BG2" s="21"/>
      <c r="BH2" s="21"/>
      <c r="BI2" s="21"/>
      <c r="BJ2" s="21"/>
      <c r="BK2" s="21"/>
      <c r="BL2" s="21"/>
      <c r="BM2" s="22"/>
      <c r="BN2" s="23"/>
      <c r="BO2" s="23"/>
      <c r="BP2" s="22"/>
      <c r="BQ2" s="24"/>
      <c r="BR2" s="24"/>
      <c r="BS2" s="21"/>
      <c r="BT2" s="25"/>
      <c r="BU2" s="9" t="s">
        <v>120</v>
      </c>
      <c r="BV2" s="6"/>
    </row>
    <row r="3" spans="1:75" ht="39.75" customHeight="1">
      <c r="B3" s="26"/>
      <c r="C3" s="652" t="s">
        <v>121</v>
      </c>
      <c r="D3" s="761" t="s">
        <v>122</v>
      </c>
      <c r="E3" s="762"/>
      <c r="F3" s="763"/>
      <c r="G3" s="27" t="s">
        <v>123</v>
      </c>
      <c r="H3" s="26"/>
      <c r="I3" s="27" t="s">
        <v>123</v>
      </c>
      <c r="J3" s="26"/>
      <c r="K3" s="26"/>
      <c r="L3" s="26"/>
      <c r="M3" s="26"/>
      <c r="N3" s="26"/>
      <c r="O3" s="26"/>
      <c r="P3" s="26"/>
      <c r="Q3" s="26"/>
      <c r="R3" s="26"/>
      <c r="S3" s="26"/>
      <c r="T3" s="26"/>
      <c r="U3" s="26"/>
      <c r="V3" s="26"/>
      <c r="W3" s="26"/>
      <c r="X3" s="26"/>
      <c r="Y3" s="26"/>
      <c r="Z3" s="26"/>
      <c r="AA3" s="26"/>
      <c r="AB3" s="26"/>
      <c r="AC3" s="26"/>
      <c r="AD3" s="26"/>
      <c r="AE3" s="26"/>
      <c r="AF3" s="26"/>
      <c r="AG3" s="26"/>
      <c r="AH3" s="26"/>
      <c r="AI3" s="26"/>
      <c r="AJ3" s="26"/>
      <c r="AK3" s="26"/>
      <c r="AL3" s="26"/>
      <c r="AM3" s="26"/>
      <c r="AN3" s="26"/>
      <c r="AO3" s="26"/>
      <c r="AP3" s="26"/>
      <c r="AQ3" s="26"/>
      <c r="AR3" s="26"/>
      <c r="AS3" s="26"/>
      <c r="AT3" s="26"/>
      <c r="AU3" s="26"/>
      <c r="AV3" s="26"/>
      <c r="AW3" s="26"/>
      <c r="AX3" s="26"/>
      <c r="AY3" s="26"/>
      <c r="AZ3" s="26"/>
      <c r="BA3" s="26"/>
      <c r="BB3" s="770" t="s">
        <v>124</v>
      </c>
      <c r="BC3" s="770" t="s">
        <v>125</v>
      </c>
      <c r="BD3" s="770" t="s">
        <v>126</v>
      </c>
      <c r="BE3" s="767" t="s">
        <v>127</v>
      </c>
      <c r="BF3" s="768"/>
      <c r="BG3" s="768"/>
      <c r="BH3" s="768"/>
      <c r="BI3" s="768"/>
      <c r="BJ3" s="768"/>
      <c r="BK3" s="768"/>
      <c r="BL3" s="769"/>
      <c r="BM3" s="784" t="s">
        <v>128</v>
      </c>
      <c r="BN3" s="785"/>
      <c r="BO3" s="786"/>
      <c r="BP3" s="764" t="s">
        <v>129</v>
      </c>
      <c r="BQ3" s="765"/>
      <c r="BR3" s="766"/>
      <c r="BS3" s="770" t="s">
        <v>130</v>
      </c>
      <c r="BT3" s="770" t="s">
        <v>131</v>
      </c>
      <c r="BU3" s="788" t="s">
        <v>132</v>
      </c>
      <c r="BV3" s="2"/>
    </row>
    <row r="4" spans="1:75" s="18" customFormat="1" ht="63">
      <c r="B4" s="28" t="s">
        <v>133</v>
      </c>
      <c r="C4" s="29"/>
      <c r="D4" s="30" t="s">
        <v>134</v>
      </c>
      <c r="E4" s="28" t="s">
        <v>135</v>
      </c>
      <c r="F4" s="31" t="s">
        <v>136</v>
      </c>
      <c r="G4" s="32" t="s">
        <v>137</v>
      </c>
      <c r="H4" s="28" t="s">
        <v>138</v>
      </c>
      <c r="I4" s="32" t="s">
        <v>139</v>
      </c>
      <c r="J4" s="669" t="s">
        <v>140</v>
      </c>
      <c r="K4" s="28" t="s">
        <v>141</v>
      </c>
      <c r="L4" s="28" t="s">
        <v>142</v>
      </c>
      <c r="M4" s="28" t="s">
        <v>143</v>
      </c>
      <c r="N4" s="33" t="s">
        <v>144</v>
      </c>
      <c r="O4" s="669" t="s">
        <v>145</v>
      </c>
      <c r="P4" s="33" t="s">
        <v>146</v>
      </c>
      <c r="Q4" s="28" t="s">
        <v>147</v>
      </c>
      <c r="R4" s="33" t="s">
        <v>148</v>
      </c>
      <c r="S4" s="33" t="s">
        <v>149</v>
      </c>
      <c r="T4" s="33" t="s">
        <v>150</v>
      </c>
      <c r="U4" s="28" t="s">
        <v>147</v>
      </c>
      <c r="V4" s="33" t="s">
        <v>151</v>
      </c>
      <c r="W4" s="33" t="s">
        <v>152</v>
      </c>
      <c r="X4" s="33" t="s">
        <v>153</v>
      </c>
      <c r="Y4" s="28" t="s">
        <v>141</v>
      </c>
      <c r="Z4" s="28" t="s">
        <v>142</v>
      </c>
      <c r="AA4" s="28" t="s">
        <v>143</v>
      </c>
      <c r="AB4" s="33" t="s">
        <v>154</v>
      </c>
      <c r="AC4" s="33" t="s">
        <v>155</v>
      </c>
      <c r="AD4" s="33" t="s">
        <v>156</v>
      </c>
      <c r="AE4" s="33" t="s">
        <v>157</v>
      </c>
      <c r="AF4" s="669" t="s">
        <v>158</v>
      </c>
      <c r="AG4" s="669" t="s">
        <v>159</v>
      </c>
      <c r="AH4" s="669" t="s">
        <v>160</v>
      </c>
      <c r="AI4" s="669" t="s">
        <v>161</v>
      </c>
      <c r="AJ4" s="33" t="s">
        <v>162</v>
      </c>
      <c r="AK4" s="33" t="s">
        <v>163</v>
      </c>
      <c r="AL4" s="33" t="s">
        <v>164</v>
      </c>
      <c r="AM4" s="33" t="s">
        <v>165</v>
      </c>
      <c r="AN4" s="33" t="s">
        <v>166</v>
      </c>
      <c r="AO4" s="33" t="s">
        <v>167</v>
      </c>
      <c r="AP4" s="33" t="s">
        <v>168</v>
      </c>
      <c r="AQ4" s="33" t="s">
        <v>169</v>
      </c>
      <c r="AR4" s="33" t="s">
        <v>170</v>
      </c>
      <c r="AS4" s="33" t="s">
        <v>171</v>
      </c>
      <c r="AT4" s="33" t="s">
        <v>172</v>
      </c>
      <c r="AU4" s="33" t="s">
        <v>173</v>
      </c>
      <c r="AV4" s="33" t="s">
        <v>174</v>
      </c>
      <c r="AW4" s="33" t="s">
        <v>175</v>
      </c>
      <c r="AX4" s="33" t="s">
        <v>176</v>
      </c>
      <c r="AY4" s="33" t="s">
        <v>177</v>
      </c>
      <c r="AZ4" s="33" t="s">
        <v>178</v>
      </c>
      <c r="BA4" s="33" t="s">
        <v>179</v>
      </c>
      <c r="BB4" s="771"/>
      <c r="BC4" s="771"/>
      <c r="BD4" s="771"/>
      <c r="BE4" s="33" t="s">
        <v>180</v>
      </c>
      <c r="BF4" s="33" t="s">
        <v>181</v>
      </c>
      <c r="BG4" s="34" t="s">
        <v>182</v>
      </c>
      <c r="BH4" s="34" t="s">
        <v>183</v>
      </c>
      <c r="BI4" s="34" t="s">
        <v>184</v>
      </c>
      <c r="BJ4" s="34" t="s">
        <v>185</v>
      </c>
      <c r="BK4" s="34" t="s">
        <v>186</v>
      </c>
      <c r="BL4" s="34" t="s">
        <v>187</v>
      </c>
      <c r="BM4" s="35" t="s">
        <v>188</v>
      </c>
      <c r="BN4" s="36" t="s">
        <v>189</v>
      </c>
      <c r="BO4" s="36" t="s">
        <v>189</v>
      </c>
      <c r="BP4" s="35" t="s">
        <v>188</v>
      </c>
      <c r="BQ4" s="37" t="s">
        <v>189</v>
      </c>
      <c r="BR4" s="37" t="s">
        <v>189</v>
      </c>
      <c r="BS4" s="787"/>
      <c r="BT4" s="787"/>
      <c r="BU4" s="789"/>
      <c r="BV4" s="781" t="s">
        <v>190</v>
      </c>
    </row>
    <row r="5" spans="1:75" ht="12.75" customHeight="1">
      <c r="B5" s="133" t="s">
        <v>191</v>
      </c>
      <c r="C5" s="134" t="s">
        <v>192</v>
      </c>
      <c r="D5" s="40" t="s">
        <v>193</v>
      </c>
      <c r="E5" s="41"/>
      <c r="F5" s="42" t="s">
        <v>193</v>
      </c>
      <c r="G5" s="43" t="s">
        <v>194</v>
      </c>
      <c r="H5" s="41"/>
      <c r="I5" s="43" t="s">
        <v>194</v>
      </c>
      <c r="J5" s="38"/>
      <c r="K5" s="41">
        <v>1</v>
      </c>
      <c r="L5" s="41">
        <v>1</v>
      </c>
      <c r="M5" s="41">
        <v>1</v>
      </c>
      <c r="N5" s="38"/>
      <c r="O5" s="38"/>
      <c r="P5" s="38"/>
      <c r="Q5" s="41">
        <v>1</v>
      </c>
      <c r="R5" s="38"/>
      <c r="S5" s="38"/>
      <c r="T5" s="38">
        <v>650</v>
      </c>
      <c r="U5" s="41">
        <v>1</v>
      </c>
      <c r="V5" s="38"/>
      <c r="W5" s="38"/>
      <c r="X5" s="38">
        <v>22</v>
      </c>
      <c r="Y5" s="41">
        <v>1</v>
      </c>
      <c r="Z5" s="41">
        <v>1</v>
      </c>
      <c r="AA5" s="41">
        <v>1</v>
      </c>
      <c r="AB5" s="38"/>
      <c r="AC5" s="38"/>
      <c r="AD5" s="38">
        <v>15</v>
      </c>
      <c r="AE5" s="38"/>
      <c r="AF5" s="41">
        <v>0</v>
      </c>
      <c r="AG5" s="41"/>
      <c r="AH5" s="41">
        <f>428*0.8</f>
        <v>342.40000000000003</v>
      </c>
      <c r="AI5" s="41"/>
      <c r="AJ5" s="41"/>
      <c r="AK5" s="41"/>
      <c r="AL5" s="41">
        <v>60</v>
      </c>
      <c r="AM5" s="41"/>
      <c r="AN5" s="41">
        <v>135</v>
      </c>
      <c r="AO5" s="41"/>
      <c r="AP5" s="41"/>
      <c r="AQ5" s="41"/>
      <c r="AR5" s="41">
        <v>35</v>
      </c>
      <c r="AS5" s="41"/>
      <c r="AT5" s="41">
        <v>0</v>
      </c>
      <c r="AU5" s="41"/>
      <c r="AV5" s="41">
        <v>132.5</v>
      </c>
      <c r="AW5" s="41"/>
      <c r="AX5" s="41"/>
      <c r="AY5" s="41"/>
      <c r="AZ5" s="41">
        <v>360</v>
      </c>
      <c r="BA5" s="41"/>
      <c r="BB5" s="43"/>
      <c r="BC5" s="41"/>
      <c r="BD5" s="41"/>
      <c r="BE5" s="772">
        <v>1.2E-2</v>
      </c>
      <c r="BF5" s="773"/>
      <c r="BG5" s="772">
        <v>1.4999999999999999E-2</v>
      </c>
      <c r="BH5" s="773"/>
      <c r="BI5" s="772">
        <v>5.0000000000000001E-3</v>
      </c>
      <c r="BJ5" s="773"/>
      <c r="BK5" s="772">
        <v>0.01</v>
      </c>
      <c r="BL5" s="773"/>
      <c r="BM5" s="772">
        <v>0</v>
      </c>
      <c r="BN5" s="778"/>
      <c r="BO5" s="773"/>
      <c r="BP5" s="772">
        <v>0.32</v>
      </c>
      <c r="BQ5" s="778"/>
      <c r="BR5" s="773"/>
      <c r="BS5" s="787"/>
      <c r="BT5" s="787"/>
      <c r="BU5" s="789"/>
      <c r="BV5" s="782"/>
    </row>
    <row r="6" spans="1:75" ht="12.75" customHeight="1">
      <c r="B6" s="133" t="s">
        <v>195</v>
      </c>
      <c r="C6" s="135">
        <v>45908</v>
      </c>
      <c r="D6" s="40"/>
      <c r="E6" s="41"/>
      <c r="F6" s="42"/>
      <c r="G6" s="43"/>
      <c r="H6" s="41"/>
      <c r="I6" s="43"/>
      <c r="J6" s="38"/>
      <c r="K6" s="41"/>
      <c r="L6" s="41"/>
      <c r="M6" s="41"/>
      <c r="N6" s="38"/>
      <c r="O6" s="38"/>
      <c r="P6" s="38">
        <v>18</v>
      </c>
      <c r="Q6" s="41"/>
      <c r="R6" s="38"/>
      <c r="S6" s="38"/>
      <c r="T6" s="38">
        <v>1930</v>
      </c>
      <c r="U6" s="41"/>
      <c r="V6" s="38"/>
      <c r="W6" s="38"/>
      <c r="X6" s="38"/>
      <c r="Y6" s="41"/>
      <c r="Z6" s="41"/>
      <c r="AA6" s="41"/>
      <c r="AB6" s="38"/>
      <c r="AC6" s="38"/>
      <c r="AD6" s="38">
        <v>28</v>
      </c>
      <c r="AE6" s="38"/>
      <c r="AF6" s="41"/>
      <c r="AG6" s="41"/>
      <c r="AH6" s="41">
        <f>1210*0.8</f>
        <v>968</v>
      </c>
      <c r="AI6" s="41"/>
      <c r="AJ6" s="41"/>
      <c r="AK6" s="41"/>
      <c r="AL6" s="41"/>
      <c r="AM6" s="41"/>
      <c r="AN6" s="41">
        <v>135</v>
      </c>
      <c r="AO6" s="41"/>
      <c r="AP6" s="41">
        <v>0</v>
      </c>
      <c r="AQ6" s="41"/>
      <c r="AR6" s="41">
        <v>45</v>
      </c>
      <c r="AS6" s="41"/>
      <c r="AT6" s="41">
        <v>0</v>
      </c>
      <c r="AU6" s="41"/>
      <c r="AV6" s="41">
        <v>23000</v>
      </c>
      <c r="AW6" s="41"/>
      <c r="AX6" s="41"/>
      <c r="AY6" s="41"/>
      <c r="AZ6" s="41">
        <v>90</v>
      </c>
      <c r="BA6" s="41"/>
      <c r="BB6" s="43"/>
      <c r="BC6" s="41"/>
      <c r="BD6" s="41"/>
      <c r="BE6" s="774"/>
      <c r="BF6" s="775"/>
      <c r="BG6" s="774"/>
      <c r="BH6" s="775"/>
      <c r="BI6" s="774"/>
      <c r="BJ6" s="775"/>
      <c r="BK6" s="774"/>
      <c r="BL6" s="775"/>
      <c r="BM6" s="774"/>
      <c r="BN6" s="779"/>
      <c r="BO6" s="775"/>
      <c r="BP6" s="774"/>
      <c r="BQ6" s="779"/>
      <c r="BR6" s="775"/>
      <c r="BS6" s="787"/>
      <c r="BT6" s="787"/>
      <c r="BU6" s="789"/>
      <c r="BV6" s="782"/>
    </row>
    <row r="7" spans="1:75" ht="12.75" customHeight="1">
      <c r="B7" s="133" t="s">
        <v>196</v>
      </c>
      <c r="C7" s="136" t="s">
        <v>197</v>
      </c>
      <c r="D7" s="40"/>
      <c r="E7" s="41"/>
      <c r="F7" s="42"/>
      <c r="G7" s="43"/>
      <c r="H7" s="41"/>
      <c r="I7" s="43"/>
      <c r="J7" s="38"/>
      <c r="K7" s="41"/>
      <c r="L7" s="41"/>
      <c r="M7" s="41"/>
      <c r="N7" s="38"/>
      <c r="O7" s="38"/>
      <c r="P7" s="38">
        <v>3.9</v>
      </c>
      <c r="Q7" s="41"/>
      <c r="R7" s="38"/>
      <c r="S7" s="38"/>
      <c r="T7" s="38"/>
      <c r="U7" s="41"/>
      <c r="V7" s="38"/>
      <c r="W7" s="38"/>
      <c r="X7" s="38"/>
      <c r="Y7" s="41"/>
      <c r="Z7" s="41"/>
      <c r="AA7" s="41"/>
      <c r="AB7" s="38"/>
      <c r="AC7" s="38"/>
      <c r="AD7" s="38">
        <v>0</v>
      </c>
      <c r="AE7" s="38"/>
      <c r="AF7" s="41"/>
      <c r="AG7" s="41"/>
      <c r="AH7" s="41">
        <v>0</v>
      </c>
      <c r="AI7" s="41"/>
      <c r="AJ7" s="41"/>
      <c r="AK7" s="41"/>
      <c r="AL7" s="41"/>
      <c r="AM7" s="41"/>
      <c r="AN7" s="41">
        <f>AN5*2</f>
        <v>270</v>
      </c>
      <c r="AO7" s="41"/>
      <c r="AP7" s="41"/>
      <c r="AQ7" s="41"/>
      <c r="AR7" s="41"/>
      <c r="AS7" s="41"/>
      <c r="AT7" s="41">
        <v>0</v>
      </c>
      <c r="AU7" s="41"/>
      <c r="AV7" s="41">
        <v>234</v>
      </c>
      <c r="AW7" s="41"/>
      <c r="AX7" s="41"/>
      <c r="AY7" s="41"/>
      <c r="AZ7" s="41">
        <f>AZ5*AZ6</f>
        <v>32400</v>
      </c>
      <c r="BA7" s="41"/>
      <c r="BB7" s="43"/>
      <c r="BC7" s="41"/>
      <c r="BD7" s="41"/>
      <c r="BE7" s="774"/>
      <c r="BF7" s="775"/>
      <c r="BG7" s="774"/>
      <c r="BH7" s="775"/>
      <c r="BI7" s="774"/>
      <c r="BJ7" s="775"/>
      <c r="BK7" s="774"/>
      <c r="BL7" s="775"/>
      <c r="BM7" s="774"/>
      <c r="BN7" s="779"/>
      <c r="BO7" s="775"/>
      <c r="BP7" s="774"/>
      <c r="BQ7" s="779"/>
      <c r="BR7" s="775"/>
      <c r="BS7" s="787"/>
      <c r="BT7" s="787"/>
      <c r="BU7" s="789"/>
      <c r="BV7" s="782"/>
    </row>
    <row r="8" spans="1:75" ht="12.75" customHeight="1">
      <c r="B8" s="133" t="s">
        <v>198</v>
      </c>
      <c r="C8" s="134" t="s">
        <v>199</v>
      </c>
      <c r="D8" s="40"/>
      <c r="E8" s="41"/>
      <c r="F8" s="42"/>
      <c r="G8" s="43"/>
      <c r="H8" s="41"/>
      <c r="I8" s="43"/>
      <c r="J8" s="38"/>
      <c r="K8" s="41"/>
      <c r="L8" s="41"/>
      <c r="M8" s="41"/>
      <c r="N8" s="38"/>
      <c r="O8" s="38"/>
      <c r="P8" s="38"/>
      <c r="Q8" s="41"/>
      <c r="R8" s="38"/>
      <c r="S8" s="38"/>
      <c r="T8" s="38"/>
      <c r="U8" s="41"/>
      <c r="V8" s="38"/>
      <c r="W8" s="38"/>
      <c r="X8" s="38"/>
      <c r="Y8" s="41"/>
      <c r="Z8" s="41"/>
      <c r="AA8" s="41"/>
      <c r="AB8" s="38"/>
      <c r="AC8" s="38"/>
      <c r="AD8" s="38"/>
      <c r="AE8" s="38"/>
      <c r="AF8" s="41"/>
      <c r="AG8" s="41"/>
      <c r="AH8" s="41">
        <v>0</v>
      </c>
      <c r="AI8" s="41"/>
      <c r="AJ8" s="41"/>
      <c r="AK8" s="41"/>
      <c r="AL8" s="41"/>
      <c r="AM8" s="41"/>
      <c r="AN8" s="41">
        <v>595</v>
      </c>
      <c r="AO8" s="41"/>
      <c r="AP8" s="41"/>
      <c r="AQ8" s="41"/>
      <c r="AR8" s="41"/>
      <c r="AS8" s="41"/>
      <c r="AT8" s="41">
        <v>0</v>
      </c>
      <c r="AU8" s="41"/>
      <c r="AV8" s="41">
        <v>1286</v>
      </c>
      <c r="AW8" s="41"/>
      <c r="AX8" s="41"/>
      <c r="AY8" s="41"/>
      <c r="AZ8" s="707">
        <f>AZ7/I157*0</f>
        <v>0</v>
      </c>
      <c r="BA8" s="41"/>
      <c r="BB8" s="43"/>
      <c r="BC8" s="41"/>
      <c r="BD8" s="41"/>
      <c r="BE8" s="774"/>
      <c r="BF8" s="775"/>
      <c r="BG8" s="774"/>
      <c r="BH8" s="775"/>
      <c r="BI8" s="774"/>
      <c r="BJ8" s="775"/>
      <c r="BK8" s="774"/>
      <c r="BL8" s="775"/>
      <c r="BM8" s="774"/>
      <c r="BN8" s="779"/>
      <c r="BO8" s="775"/>
      <c r="BP8" s="774"/>
      <c r="BQ8" s="779"/>
      <c r="BR8" s="775"/>
      <c r="BS8" s="787"/>
      <c r="BT8" s="787"/>
      <c r="BU8" s="789"/>
      <c r="BV8" s="782"/>
    </row>
    <row r="9" spans="1:75" ht="12.75" customHeight="1">
      <c r="B9" s="133" t="s">
        <v>200</v>
      </c>
      <c r="C9" s="134" t="s">
        <v>201</v>
      </c>
      <c r="D9" s="40"/>
      <c r="E9" s="41"/>
      <c r="F9" s="42"/>
      <c r="G9" s="43"/>
      <c r="H9" s="41"/>
      <c r="I9" s="43"/>
      <c r="J9" s="38"/>
      <c r="K9" s="41"/>
      <c r="L9" s="41"/>
      <c r="M9" s="41"/>
      <c r="N9" s="38"/>
      <c r="O9" s="38"/>
      <c r="P9" s="38"/>
      <c r="Q9" s="41"/>
      <c r="R9" s="38"/>
      <c r="S9" s="38"/>
      <c r="T9" s="38"/>
      <c r="U9" s="41"/>
      <c r="V9" s="38"/>
      <c r="W9" s="38"/>
      <c r="X9" s="38"/>
      <c r="Y9" s="41"/>
      <c r="Z9" s="41"/>
      <c r="AA9" s="41"/>
      <c r="AB9" s="38"/>
      <c r="AC9" s="38"/>
      <c r="AD9" s="38"/>
      <c r="AE9" s="38"/>
      <c r="AF9" s="41"/>
      <c r="AG9" s="41"/>
      <c r="AH9" s="41"/>
      <c r="AI9" s="41"/>
      <c r="AJ9" s="41"/>
      <c r="AK9" s="41"/>
      <c r="AL9" s="41"/>
      <c r="AM9" s="41"/>
      <c r="AN9" s="41"/>
      <c r="AO9" s="41"/>
      <c r="AP9" s="41"/>
      <c r="AQ9" s="41"/>
      <c r="AR9" s="41"/>
      <c r="AS9" s="41"/>
      <c r="AT9" s="41"/>
      <c r="AU9" s="41"/>
      <c r="AV9" s="41"/>
      <c r="AW9" s="41"/>
      <c r="AX9" s="41"/>
      <c r="AY9" s="41"/>
      <c r="AZ9" s="41"/>
      <c r="BA9" s="41"/>
      <c r="BB9" s="43"/>
      <c r="BC9" s="41"/>
      <c r="BD9" s="41"/>
      <c r="BE9" s="774"/>
      <c r="BF9" s="775"/>
      <c r="BG9" s="774"/>
      <c r="BH9" s="775"/>
      <c r="BI9" s="774"/>
      <c r="BJ9" s="775"/>
      <c r="BK9" s="774"/>
      <c r="BL9" s="775"/>
      <c r="BM9" s="774"/>
      <c r="BN9" s="779"/>
      <c r="BO9" s="775"/>
      <c r="BP9" s="774"/>
      <c r="BQ9" s="779"/>
      <c r="BR9" s="775"/>
      <c r="BS9" s="787"/>
      <c r="BT9" s="787"/>
      <c r="BU9" s="789"/>
      <c r="BV9" s="782"/>
    </row>
    <row r="10" spans="1:75" ht="12.75" customHeight="1">
      <c r="B10" s="38"/>
      <c r="C10" s="39"/>
      <c r="D10" s="40"/>
      <c r="E10" s="41"/>
      <c r="F10" s="42"/>
      <c r="G10" s="43"/>
      <c r="H10" s="41"/>
      <c r="I10" s="43"/>
      <c r="J10" s="38"/>
      <c r="K10" s="41"/>
      <c r="L10" s="41"/>
      <c r="M10" s="41"/>
      <c r="N10" s="38"/>
      <c r="O10" s="38"/>
      <c r="P10" s="38"/>
      <c r="Q10" s="41"/>
      <c r="R10" s="38"/>
      <c r="S10" s="38"/>
      <c r="T10" s="38"/>
      <c r="U10" s="41"/>
      <c r="V10" s="38"/>
      <c r="W10" s="38"/>
      <c r="X10" s="38"/>
      <c r="Y10" s="41"/>
      <c r="Z10" s="41"/>
      <c r="AA10" s="41"/>
      <c r="AB10" s="38"/>
      <c r="AC10" s="38"/>
      <c r="AD10" s="38"/>
      <c r="AE10" s="38"/>
      <c r="AF10" s="41"/>
      <c r="AG10" s="41"/>
      <c r="AH10" s="41"/>
      <c r="AI10" s="41"/>
      <c r="AJ10" s="41"/>
      <c r="AK10" s="41"/>
      <c r="AL10" s="41"/>
      <c r="AM10" s="41"/>
      <c r="AN10" s="41"/>
      <c r="AO10" s="41"/>
      <c r="AP10" s="41"/>
      <c r="AQ10" s="41"/>
      <c r="AR10" s="41"/>
      <c r="AS10" s="41"/>
      <c r="AT10" s="41"/>
      <c r="AU10" s="41"/>
      <c r="AV10" s="41"/>
      <c r="AW10" s="41"/>
      <c r="AX10" s="41"/>
      <c r="AY10" s="41"/>
      <c r="AZ10" s="41"/>
      <c r="BA10" s="41"/>
      <c r="BB10" s="43"/>
      <c r="BC10" s="41"/>
      <c r="BD10" s="41"/>
      <c r="BE10" s="776"/>
      <c r="BF10" s="777"/>
      <c r="BG10" s="776"/>
      <c r="BH10" s="777"/>
      <c r="BI10" s="776"/>
      <c r="BJ10" s="777"/>
      <c r="BK10" s="776"/>
      <c r="BL10" s="777"/>
      <c r="BM10" s="776"/>
      <c r="BN10" s="780"/>
      <c r="BO10" s="777"/>
      <c r="BP10" s="776"/>
      <c r="BQ10" s="780"/>
      <c r="BR10" s="777"/>
      <c r="BS10" s="771"/>
      <c r="BT10" s="771"/>
      <c r="BU10" s="790"/>
      <c r="BV10" s="783"/>
    </row>
    <row r="11" spans="1:75" s="137" customFormat="1" ht="15.4">
      <c r="B11" s="138" t="s">
        <v>202</v>
      </c>
      <c r="C11" s="139" t="s">
        <v>203</v>
      </c>
      <c r="D11" s="140"/>
      <c r="E11" s="138"/>
      <c r="F11" s="141"/>
      <c r="G11" s="142"/>
      <c r="H11" s="138"/>
      <c r="I11" s="142"/>
      <c r="J11" s="143"/>
      <c r="K11" s="143"/>
      <c r="L11" s="143"/>
      <c r="M11" s="143"/>
      <c r="N11" s="143"/>
      <c r="O11" s="143"/>
      <c r="P11" s="143"/>
      <c r="Q11" s="143"/>
      <c r="R11" s="143"/>
      <c r="S11" s="143"/>
      <c r="T11" s="143"/>
      <c r="U11" s="143"/>
      <c r="V11" s="143"/>
      <c r="W11" s="143"/>
      <c r="X11" s="143"/>
      <c r="Y11" s="143"/>
      <c r="Z11" s="143"/>
      <c r="AA11" s="143"/>
      <c r="AB11" s="143"/>
      <c r="AC11" s="143"/>
      <c r="AD11" s="143"/>
      <c r="AE11" s="143"/>
      <c r="AF11" s="143"/>
      <c r="AG11" s="143"/>
      <c r="AH11" s="144"/>
      <c r="AI11" s="143"/>
      <c r="AJ11" s="143"/>
      <c r="AK11" s="143"/>
      <c r="AL11" s="143"/>
      <c r="AM11" s="143"/>
      <c r="AN11" s="143"/>
      <c r="AO11" s="143"/>
      <c r="AP11" s="143"/>
      <c r="AQ11" s="143"/>
      <c r="AR11" s="143"/>
      <c r="AS11" s="143"/>
      <c r="AT11" s="143"/>
      <c r="AU11" s="143"/>
      <c r="AV11" s="143"/>
      <c r="AW11" s="143"/>
      <c r="AX11" s="143"/>
      <c r="AY11" s="143"/>
      <c r="AZ11" s="143"/>
      <c r="BA11" s="143"/>
      <c r="BB11" s="145"/>
      <c r="BC11" s="146"/>
      <c r="BD11" s="147"/>
      <c r="BE11" s="143"/>
      <c r="BF11" s="143"/>
      <c r="BG11" s="148"/>
      <c r="BH11" s="148"/>
      <c r="BI11" s="148"/>
      <c r="BJ11" s="148"/>
      <c r="BK11" s="148"/>
      <c r="BL11" s="148"/>
      <c r="BM11" s="149"/>
      <c r="BN11" s="150" t="s">
        <v>204</v>
      </c>
      <c r="BO11" s="150" t="s">
        <v>205</v>
      </c>
      <c r="BP11" s="149"/>
      <c r="BQ11" s="151" t="s">
        <v>204</v>
      </c>
      <c r="BR11" s="151" t="s">
        <v>205</v>
      </c>
      <c r="BS11" s="152"/>
      <c r="BT11" s="153"/>
      <c r="BU11" s="154"/>
      <c r="BV11" s="155"/>
    </row>
    <row r="12" spans="1:75" ht="11.65">
      <c r="A12" s="646"/>
      <c r="B12" s="61"/>
      <c r="C12" s="668" t="s">
        <v>206</v>
      </c>
      <c r="D12" s="44"/>
      <c r="E12" s="7"/>
      <c r="F12" s="45"/>
      <c r="G12" s="46">
        <f t="shared" ref="G12" si="0">(D12*F12)/1000000</f>
        <v>0</v>
      </c>
      <c r="H12" s="7"/>
      <c r="I12" s="46">
        <f t="shared" ref="I12" si="1">G12*H12</f>
        <v>0</v>
      </c>
      <c r="J12" s="47">
        <v>0</v>
      </c>
      <c r="K12" s="47">
        <f>J12*$K$5</f>
        <v>0</v>
      </c>
      <c r="L12" s="47">
        <f>K12*$L$5</f>
        <v>0</v>
      </c>
      <c r="M12" s="47">
        <f>L12*$M$5</f>
        <v>0</v>
      </c>
      <c r="N12" s="47">
        <f t="shared" ref="N12" si="2">M12</f>
        <v>0</v>
      </c>
      <c r="O12" s="47">
        <f t="shared" ref="O12" si="3">N12*H12</f>
        <v>0</v>
      </c>
      <c r="P12" s="47">
        <v>0</v>
      </c>
      <c r="Q12" s="47">
        <f>P12*$Q$5</f>
        <v>0</v>
      </c>
      <c r="R12" s="47">
        <v>0</v>
      </c>
      <c r="S12" s="47">
        <f t="shared" ref="S12" si="4">R12*H12</f>
        <v>0</v>
      </c>
      <c r="T12" s="47">
        <v>0</v>
      </c>
      <c r="U12" s="47">
        <f t="shared" ref="U12" si="5">T12*$U$5</f>
        <v>0</v>
      </c>
      <c r="V12" s="47">
        <v>0</v>
      </c>
      <c r="W12" s="47">
        <f t="shared" ref="W12" si="6">V12*H12</f>
        <v>0</v>
      </c>
      <c r="X12" s="47">
        <v>0</v>
      </c>
      <c r="Y12" s="47">
        <f>X12*$Y$5</f>
        <v>0</v>
      </c>
      <c r="Z12" s="47">
        <f>Y12*$Z$5</f>
        <v>0</v>
      </c>
      <c r="AA12" s="47">
        <f>Z12*$AA$5</f>
        <v>0</v>
      </c>
      <c r="AB12" s="47">
        <f t="shared" ref="AB12" si="7">AA12</f>
        <v>0</v>
      </c>
      <c r="AC12" s="47">
        <f t="shared" ref="AC12" si="8">AB12*H12</f>
        <v>0</v>
      </c>
      <c r="AD12" s="47">
        <v>0</v>
      </c>
      <c r="AE12" s="47">
        <f t="shared" ref="AE12" si="9">AD12*H12</f>
        <v>0</v>
      </c>
      <c r="AF12" s="47">
        <v>0</v>
      </c>
      <c r="AG12" s="47">
        <f t="shared" ref="AG12" si="10">AF12*H12</f>
        <v>0</v>
      </c>
      <c r="AH12" s="47">
        <v>0</v>
      </c>
      <c r="AI12" s="47">
        <f t="shared" ref="AI12" si="11">AH12*H12</f>
        <v>0</v>
      </c>
      <c r="AJ12" s="47">
        <v>0</v>
      </c>
      <c r="AK12" s="47">
        <f t="shared" ref="AK12" si="12">AJ12*H12</f>
        <v>0</v>
      </c>
      <c r="AL12" s="47">
        <v>0</v>
      </c>
      <c r="AM12" s="47">
        <f t="shared" ref="AM12" si="13">AL12*H12</f>
        <v>0</v>
      </c>
      <c r="AN12" s="47">
        <v>0</v>
      </c>
      <c r="AO12" s="47">
        <f t="shared" ref="AO12" si="14">AN12*H12</f>
        <v>0</v>
      </c>
      <c r="AP12" s="47">
        <v>0</v>
      </c>
      <c r="AQ12" s="47">
        <f t="shared" ref="AQ12" si="15">AP12*H12</f>
        <v>0</v>
      </c>
      <c r="AR12" s="47">
        <v>0</v>
      </c>
      <c r="AS12" s="47">
        <f t="shared" ref="AS12" si="16">AR12*H12</f>
        <v>0</v>
      </c>
      <c r="AT12" s="47">
        <v>0</v>
      </c>
      <c r="AU12" s="47">
        <f t="shared" ref="AU12" si="17">AT12*H12</f>
        <v>0</v>
      </c>
      <c r="AV12" s="47">
        <v>0</v>
      </c>
      <c r="AW12" s="47">
        <f>AV12*H12</f>
        <v>0</v>
      </c>
      <c r="AX12" s="47">
        <v>0</v>
      </c>
      <c r="AY12" s="47">
        <f t="shared" ref="AY12" si="18">AX12*H12</f>
        <v>0</v>
      </c>
      <c r="AZ12" s="47">
        <v>0</v>
      </c>
      <c r="BA12" s="47">
        <f>AZ12*H12</f>
        <v>0</v>
      </c>
      <c r="BB12" s="48">
        <f>N12+R12+V12+AB12+AD12+AF12+AH12+AJ12+AL12+AN12+AP12+AR12+AT12+AV12+AX12+AZ12</f>
        <v>0</v>
      </c>
      <c r="BC12" s="49">
        <f>O12+S12+W12+AC12+AE12+AG12+AI12+AK12+AM12+AO12+AQ12+AS12+AU12+AW12+AY12+BA12</f>
        <v>0</v>
      </c>
      <c r="BD12" s="7" t="e">
        <f>BC12/I12</f>
        <v>#DIV/0!</v>
      </c>
      <c r="BE12" s="47">
        <f>BB12*$BE$5</f>
        <v>0</v>
      </c>
      <c r="BF12" s="47">
        <f>BC12*$BE$5</f>
        <v>0</v>
      </c>
      <c r="BG12" s="50">
        <f>BB12*$BG$5</f>
        <v>0</v>
      </c>
      <c r="BH12" s="50">
        <f>BC12*$BG$5</f>
        <v>0</v>
      </c>
      <c r="BI12" s="50">
        <f>BB12*$BI$5</f>
        <v>0</v>
      </c>
      <c r="BJ12" s="50">
        <f>BC12*$BI$5</f>
        <v>0</v>
      </c>
      <c r="BK12" s="50">
        <f>BB12*$BK$5</f>
        <v>0</v>
      </c>
      <c r="BL12" s="50">
        <f>BC12*$BK$5</f>
        <v>0</v>
      </c>
      <c r="BM12" s="51">
        <f>$BM$5</f>
        <v>0</v>
      </c>
      <c r="BN12" s="52">
        <f>BB12*BM12</f>
        <v>0</v>
      </c>
      <c r="BO12" s="52">
        <f>BC12*BM$12</f>
        <v>0</v>
      </c>
      <c r="BP12" s="51">
        <f>$BP$5</f>
        <v>0.32</v>
      </c>
      <c r="BQ12" s="53">
        <f>BB12*$BP12</f>
        <v>0</v>
      </c>
      <c r="BR12" s="53">
        <f>BC12*BP12</f>
        <v>0</v>
      </c>
      <c r="BS12" s="54">
        <f>BB12+BE12+BG12+BI12+BK12+BN12+BQ12</f>
        <v>0</v>
      </c>
      <c r="BT12" s="55">
        <f>BC12+BF12+BH12+BJ12+BL12+BO12+BR12</f>
        <v>0</v>
      </c>
      <c r="BU12" s="10" t="e">
        <f>BT12/I12</f>
        <v>#DIV/0!</v>
      </c>
      <c r="BV12" s="3"/>
    </row>
    <row r="13" spans="1:75" ht="19.899999999999999" customHeight="1">
      <c r="A13" s="646"/>
      <c r="B13" s="666" t="s">
        <v>207</v>
      </c>
      <c r="C13" s="666" t="s">
        <v>208</v>
      </c>
      <c r="D13" s="45">
        <v>1100</v>
      </c>
      <c r="E13" s="45"/>
      <c r="F13" s="45">
        <v>1970</v>
      </c>
      <c r="G13" s="46">
        <f t="shared" ref="G13" si="19">(D13*F13)/1000000</f>
        <v>2.1669999999999998</v>
      </c>
      <c r="H13" s="667">
        <v>10</v>
      </c>
      <c r="I13" s="46">
        <f t="shared" ref="I13" si="20">G13*H13</f>
        <v>21.669999999999998</v>
      </c>
      <c r="J13" s="47"/>
      <c r="K13" s="47">
        <f>J13*$K$5</f>
        <v>0</v>
      </c>
      <c r="L13" s="47">
        <f>K13*$L$5</f>
        <v>0</v>
      </c>
      <c r="M13" s="47">
        <f>L13*$M$5</f>
        <v>0</v>
      </c>
      <c r="N13" s="47">
        <f t="shared" ref="N13" si="21">M13</f>
        <v>0</v>
      </c>
      <c r="O13" s="47">
        <f t="shared" ref="O13" si="22">N13*H13</f>
        <v>0</v>
      </c>
      <c r="P13" s="47">
        <v>0</v>
      </c>
      <c r="Q13" s="47">
        <f>P13*$Q$5</f>
        <v>0</v>
      </c>
      <c r="R13" s="47">
        <v>0</v>
      </c>
      <c r="S13" s="47">
        <f t="shared" ref="S13" si="23">R13*H13</f>
        <v>0</v>
      </c>
      <c r="T13" s="47">
        <f>$T$5</f>
        <v>650</v>
      </c>
      <c r="U13" s="47">
        <f t="shared" ref="U13" si="24">T13*$U$5</f>
        <v>650</v>
      </c>
      <c r="V13" s="47">
        <f>U13</f>
        <v>650</v>
      </c>
      <c r="W13" s="47">
        <f t="shared" ref="W13" si="25">V13*H13</f>
        <v>6500</v>
      </c>
      <c r="X13" s="47">
        <f>($X$5*2*(D13+F13))/1000</f>
        <v>135.08000000000001</v>
      </c>
      <c r="Y13" s="47">
        <f>X13*$Y$5</f>
        <v>135.08000000000001</v>
      </c>
      <c r="Z13" s="47">
        <f>Y13*$Z$5</f>
        <v>135.08000000000001</v>
      </c>
      <c r="AA13" s="47">
        <f>Z13*$AA$5</f>
        <v>135.08000000000001</v>
      </c>
      <c r="AB13" s="47">
        <f t="shared" ref="AB13" si="26">AA13</f>
        <v>135.08000000000001</v>
      </c>
      <c r="AC13" s="47">
        <f t="shared" ref="AC13" si="27">AB13*H13</f>
        <v>1350.8000000000002</v>
      </c>
      <c r="AD13" s="47">
        <f>$AD$5*G13</f>
        <v>32.504999999999995</v>
      </c>
      <c r="AE13" s="47">
        <f t="shared" ref="AE13" si="28">AD13*H13</f>
        <v>325.04999999999995</v>
      </c>
      <c r="AF13" s="47">
        <v>710</v>
      </c>
      <c r="AG13" s="47">
        <f t="shared" ref="AG13" si="29">AF13*H13</f>
        <v>7100</v>
      </c>
      <c r="AH13" s="47">
        <v>0</v>
      </c>
      <c r="AI13" s="47">
        <f t="shared" ref="AI13" si="30">AH13*H13</f>
        <v>0</v>
      </c>
      <c r="AJ13" s="47">
        <v>0</v>
      </c>
      <c r="AK13" s="47">
        <f t="shared" ref="AK13" si="31">AJ13*H13</f>
        <v>0</v>
      </c>
      <c r="AL13" s="47">
        <f>$AL$5</f>
        <v>60</v>
      </c>
      <c r="AM13" s="47">
        <f t="shared" ref="AM13" si="32">AL13*H13</f>
        <v>600</v>
      </c>
      <c r="AN13" s="47">
        <f>$AN$5*G13</f>
        <v>292.54499999999996</v>
      </c>
      <c r="AO13" s="47">
        <f t="shared" ref="AO13" si="33">AN13*H13</f>
        <v>2925.45</v>
      </c>
      <c r="AP13" s="47">
        <v>0</v>
      </c>
      <c r="AQ13" s="47">
        <f t="shared" ref="AQ13" si="34">AP13*H13</f>
        <v>0</v>
      </c>
      <c r="AR13" s="47">
        <f>($AR$5*2*(D13+F13))/1000</f>
        <v>214.9</v>
      </c>
      <c r="AS13" s="47">
        <f t="shared" ref="AS13" si="35">AR13*H13</f>
        <v>2149</v>
      </c>
      <c r="AT13" s="47">
        <v>880</v>
      </c>
      <c r="AU13" s="47">
        <f t="shared" ref="AU13" si="36">AT13*H13</f>
        <v>8800</v>
      </c>
      <c r="AV13" s="47">
        <f>$AV$5*G13</f>
        <v>287.1275</v>
      </c>
      <c r="AW13" s="47">
        <f>AV13*H13</f>
        <v>2871.2750000000001</v>
      </c>
      <c r="AX13" s="47">
        <v>0</v>
      </c>
      <c r="AY13" s="47">
        <f t="shared" ref="AY13" si="37">AX13*H13</f>
        <v>0</v>
      </c>
      <c r="AZ13" s="47">
        <f>$AZ$8*G13</f>
        <v>0</v>
      </c>
      <c r="BA13" s="47">
        <f>AZ13*H13</f>
        <v>0</v>
      </c>
      <c r="BB13" s="48">
        <f>N13+R13+V13+AB13+AD13+AF13+AH13+AJ13+AL13+AN13+AP13+AR13+AT13+AV13+AX13+AZ13</f>
        <v>3262.1575000000003</v>
      </c>
      <c r="BC13" s="49">
        <f>O13+S13+W13+AC13+AE13+AG13+AI13+AK13+AM13+AO13+AQ13+AS13+AU13+AW13+AY13+BA13</f>
        <v>32621.575000000001</v>
      </c>
      <c r="BD13" s="7">
        <f>BC13/I13</f>
        <v>1505.3795569912322</v>
      </c>
      <c r="BE13" s="47">
        <f>BB13*$BE$5</f>
        <v>39.145890000000001</v>
      </c>
      <c r="BF13" s="47">
        <f>BC13*$BE$5</f>
        <v>391.45890000000003</v>
      </c>
      <c r="BG13" s="50">
        <f>BB13*$BG$5</f>
        <v>48.932362500000004</v>
      </c>
      <c r="BH13" s="50">
        <f>BC13*$BG$5</f>
        <v>489.32362499999999</v>
      </c>
      <c r="BI13" s="50">
        <f>BB13*$BI$5</f>
        <v>16.3107875</v>
      </c>
      <c r="BJ13" s="50">
        <f>BC13*$BI$5</f>
        <v>163.10787500000001</v>
      </c>
      <c r="BK13" s="50">
        <f>BB13*$BK$5</f>
        <v>32.621575</v>
      </c>
      <c r="BL13" s="50">
        <f>BC13*$BK$5</f>
        <v>326.21575000000001</v>
      </c>
      <c r="BM13" s="51">
        <f>$BM$5</f>
        <v>0</v>
      </c>
      <c r="BN13" s="52">
        <f>BB13*BM13</f>
        <v>0</v>
      </c>
      <c r="BO13" s="52">
        <f>BC13*BM$12</f>
        <v>0</v>
      </c>
      <c r="BP13" s="51">
        <f>$BP$5</f>
        <v>0.32</v>
      </c>
      <c r="BQ13" s="53">
        <f>BB13*$BP13</f>
        <v>1043.8904</v>
      </c>
      <c r="BR13" s="53">
        <f>BC13*BP13</f>
        <v>10438.904</v>
      </c>
      <c r="BS13" s="54">
        <f>BB13+BE13+BG13+BI13+BK13+BN13+BQ13</f>
        <v>4443.0585150000006</v>
      </c>
      <c r="BT13" s="55">
        <f>BC13+BF13+BH13+BJ13+BL13+BO13+BR13</f>
        <v>44430.585150000006</v>
      </c>
      <c r="BU13" s="10">
        <f>BT13/I13</f>
        <v>2050.3269566220588</v>
      </c>
      <c r="BV13" s="3"/>
    </row>
    <row r="14" spans="1:75" ht="19.899999999999999" customHeight="1">
      <c r="A14" s="646"/>
      <c r="B14" s="666" t="s">
        <v>209</v>
      </c>
      <c r="C14" s="666" t="s">
        <v>208</v>
      </c>
      <c r="D14" s="45">
        <v>1100</v>
      </c>
      <c r="E14" s="45"/>
      <c r="F14" s="45">
        <v>1970</v>
      </c>
      <c r="G14" s="46">
        <f t="shared" ref="G14:G77" si="38">(D14*F14)/1000000</f>
        <v>2.1669999999999998</v>
      </c>
      <c r="H14" s="667">
        <v>1</v>
      </c>
      <c r="I14" s="46">
        <f t="shared" ref="I14:I77" si="39">G14*H14</f>
        <v>2.1669999999999998</v>
      </c>
      <c r="J14" s="47"/>
      <c r="K14" s="47">
        <f t="shared" ref="K14:K77" si="40">J14*$K$5</f>
        <v>0</v>
      </c>
      <c r="L14" s="47">
        <f t="shared" ref="L14:L77" si="41">K14*$L$5</f>
        <v>0</v>
      </c>
      <c r="M14" s="47">
        <f t="shared" ref="M14:M77" si="42">L14*$M$5</f>
        <v>0</v>
      </c>
      <c r="N14" s="47">
        <f t="shared" ref="N14:N77" si="43">M14</f>
        <v>0</v>
      </c>
      <c r="O14" s="47">
        <f t="shared" ref="O14:O77" si="44">N14*H14</f>
        <v>0</v>
      </c>
      <c r="P14" s="47">
        <v>0</v>
      </c>
      <c r="Q14" s="47">
        <f t="shared" ref="Q14:Q77" si="45">P14*$Q$5</f>
        <v>0</v>
      </c>
      <c r="R14" s="47">
        <v>0</v>
      </c>
      <c r="S14" s="47">
        <f t="shared" ref="S14:S77" si="46">R14*H14</f>
        <v>0</v>
      </c>
      <c r="T14" s="47">
        <f t="shared" ref="T14:T15" si="47">$T$5</f>
        <v>650</v>
      </c>
      <c r="U14" s="47">
        <f t="shared" ref="U14:U77" si="48">T14*$U$5</f>
        <v>650</v>
      </c>
      <c r="V14" s="47">
        <f t="shared" ref="V14:V46" si="49">U14</f>
        <v>650</v>
      </c>
      <c r="W14" s="47">
        <f t="shared" ref="W14:W77" si="50">V14*H14</f>
        <v>650</v>
      </c>
      <c r="X14" s="47">
        <f t="shared" ref="X14:X46" si="51">($X$5*2*(D14+F14))/1000</f>
        <v>135.08000000000001</v>
      </c>
      <c r="Y14" s="47">
        <f t="shared" ref="Y14:Y77" si="52">X14*$Y$5</f>
        <v>135.08000000000001</v>
      </c>
      <c r="Z14" s="47">
        <f t="shared" ref="Z14:Z77" si="53">Y14*$Z$5</f>
        <v>135.08000000000001</v>
      </c>
      <c r="AA14" s="47">
        <f t="shared" ref="AA14:AA77" si="54">Z14*$AA$5</f>
        <v>135.08000000000001</v>
      </c>
      <c r="AB14" s="47">
        <f t="shared" ref="AB14:AB77" si="55">AA14</f>
        <v>135.08000000000001</v>
      </c>
      <c r="AC14" s="47">
        <f t="shared" ref="AC14:AC77" si="56">AB14*H14</f>
        <v>135.08000000000001</v>
      </c>
      <c r="AD14" s="47">
        <f t="shared" ref="AD14:AD46" si="57">$AD$5*G14</f>
        <v>32.504999999999995</v>
      </c>
      <c r="AE14" s="47">
        <f t="shared" ref="AE14:AE77" si="58">AD14*H14</f>
        <v>32.504999999999995</v>
      </c>
      <c r="AF14" s="47">
        <v>710</v>
      </c>
      <c r="AG14" s="47">
        <f t="shared" ref="AG14:AG77" si="59">AF14*H14</f>
        <v>710</v>
      </c>
      <c r="AH14" s="47">
        <v>0</v>
      </c>
      <c r="AI14" s="47">
        <f t="shared" ref="AI14:AI77" si="60">AH14*H14</f>
        <v>0</v>
      </c>
      <c r="AJ14" s="47">
        <v>0</v>
      </c>
      <c r="AK14" s="47">
        <f t="shared" ref="AK14:AK77" si="61">AJ14*H14</f>
        <v>0</v>
      </c>
      <c r="AL14" s="47">
        <f t="shared" ref="AL14:AL46" si="62">$AL$5</f>
        <v>60</v>
      </c>
      <c r="AM14" s="47">
        <f t="shared" ref="AM14:AM77" si="63">AL14*H14</f>
        <v>60</v>
      </c>
      <c r="AN14" s="47">
        <f t="shared" ref="AN14:AN15" si="64">$AN$5*G14</f>
        <v>292.54499999999996</v>
      </c>
      <c r="AO14" s="47">
        <f t="shared" ref="AO14:AO77" si="65">AN14*H14</f>
        <v>292.54499999999996</v>
      </c>
      <c r="AP14" s="47">
        <v>0</v>
      </c>
      <c r="AQ14" s="47">
        <f t="shared" ref="AQ14:AQ77" si="66">AP14*H14</f>
        <v>0</v>
      </c>
      <c r="AR14" s="47">
        <f t="shared" ref="AR14:AR46" si="67">($AR$5*2*(D14+F14))/1000</f>
        <v>214.9</v>
      </c>
      <c r="AS14" s="47">
        <f t="shared" ref="AS14:AS77" si="68">AR14*H14</f>
        <v>214.9</v>
      </c>
      <c r="AT14" s="47">
        <v>880</v>
      </c>
      <c r="AU14" s="47">
        <f t="shared" ref="AU14:AU77" si="69">AT14*H14</f>
        <v>880</v>
      </c>
      <c r="AV14" s="47">
        <f t="shared" ref="AV14:AV27" si="70">$AV$5*G14</f>
        <v>287.1275</v>
      </c>
      <c r="AW14" s="47">
        <f t="shared" ref="AW14:AW77" si="71">AV14*H14</f>
        <v>287.1275</v>
      </c>
      <c r="AX14" s="47">
        <v>0</v>
      </c>
      <c r="AY14" s="47">
        <f t="shared" ref="AY14:AY77" si="72">AX14*H14</f>
        <v>0</v>
      </c>
      <c r="AZ14" s="47">
        <f t="shared" ref="AZ14:AZ46" si="73">$AZ$8*G14</f>
        <v>0</v>
      </c>
      <c r="BA14" s="47">
        <f t="shared" ref="BA14:BA77" si="74">AZ14*H14</f>
        <v>0</v>
      </c>
      <c r="BB14" s="48">
        <f t="shared" ref="BB14:BB77" si="75">N14+R14+V14+AB14+AD14+AF14+AH14+AJ14+AL14+AN14+AP14+AR14+AT14+AV14+AX14+AZ14</f>
        <v>3262.1575000000003</v>
      </c>
      <c r="BC14" s="49">
        <f t="shared" ref="BC14:BC77" si="76">O14+S14+W14+AC14+AE14+AG14+AI14+AK14+AM14+AO14+AQ14+AS14+AU14+AW14+AY14+BA14</f>
        <v>3262.1575000000003</v>
      </c>
      <c r="BD14" s="7">
        <f t="shared" ref="BD14:BD77" si="77">BC14/I14</f>
        <v>1505.3795569912324</v>
      </c>
      <c r="BE14" s="47">
        <f t="shared" ref="BE14:BE77" si="78">BB14*$BE$5</f>
        <v>39.145890000000001</v>
      </c>
      <c r="BF14" s="47">
        <f t="shared" ref="BF14:BF77" si="79">BC14*$BE$5</f>
        <v>39.145890000000001</v>
      </c>
      <c r="BG14" s="50">
        <f t="shared" ref="BG14:BG77" si="80">BB14*$BG$5</f>
        <v>48.932362500000004</v>
      </c>
      <c r="BH14" s="50">
        <f t="shared" ref="BH14:BH77" si="81">BC14*$BG$5</f>
        <v>48.932362500000004</v>
      </c>
      <c r="BI14" s="50">
        <f t="shared" ref="BI14:BI77" si="82">BB14*$BI$5</f>
        <v>16.3107875</v>
      </c>
      <c r="BJ14" s="50">
        <f t="shared" ref="BJ14:BJ77" si="83">BC14*$BI$5</f>
        <v>16.3107875</v>
      </c>
      <c r="BK14" s="50">
        <f t="shared" ref="BK14:BK77" si="84">BB14*$BK$5</f>
        <v>32.621575</v>
      </c>
      <c r="BL14" s="50">
        <f t="shared" ref="BL14:BL77" si="85">BC14*$BK$5</f>
        <v>32.621575</v>
      </c>
      <c r="BM14" s="51">
        <f t="shared" ref="BM14:BM77" si="86">$BM$5</f>
        <v>0</v>
      </c>
      <c r="BN14" s="52">
        <f t="shared" ref="BN14:BN77" si="87">BB14*BM14</f>
        <v>0</v>
      </c>
      <c r="BO14" s="52">
        <f t="shared" ref="BO14:BO77" si="88">BC14*BM$12</f>
        <v>0</v>
      </c>
      <c r="BP14" s="51">
        <f t="shared" ref="BP14:BP77" si="89">$BP$5</f>
        <v>0.32</v>
      </c>
      <c r="BQ14" s="53">
        <f t="shared" ref="BQ14:BQ77" si="90">BB14*$BP14</f>
        <v>1043.8904</v>
      </c>
      <c r="BR14" s="53">
        <f t="shared" ref="BR14:BR77" si="91">BC14*BP14</f>
        <v>1043.8904</v>
      </c>
      <c r="BS14" s="54">
        <f t="shared" ref="BS14:BS77" si="92">BB14+BE14+BG14+BI14+BK14+BN14+BQ14</f>
        <v>4443.0585150000006</v>
      </c>
      <c r="BT14" s="55">
        <f t="shared" ref="BT14:BT77" si="93">BC14+BF14+BH14+BJ14+BL14+BO14+BR14</f>
        <v>4443.0585150000006</v>
      </c>
      <c r="BU14" s="10">
        <f t="shared" ref="BU14:BU77" si="94">BT14/I14</f>
        <v>2050.3269566220588</v>
      </c>
      <c r="BV14" s="3"/>
    </row>
    <row r="15" spans="1:75" ht="19.899999999999999" customHeight="1">
      <c r="A15" s="646"/>
      <c r="B15" s="666" t="s">
        <v>210</v>
      </c>
      <c r="C15" s="666" t="s">
        <v>211</v>
      </c>
      <c r="D15" s="45">
        <v>1720</v>
      </c>
      <c r="E15" s="45"/>
      <c r="F15" s="45">
        <v>3710</v>
      </c>
      <c r="G15" s="46">
        <f t="shared" si="38"/>
        <v>6.3811999999999998</v>
      </c>
      <c r="H15" s="667">
        <v>5</v>
      </c>
      <c r="I15" s="46">
        <f t="shared" si="39"/>
        <v>31.905999999999999</v>
      </c>
      <c r="J15" s="47"/>
      <c r="K15" s="47">
        <f t="shared" si="40"/>
        <v>0</v>
      </c>
      <c r="L15" s="47">
        <f t="shared" si="41"/>
        <v>0</v>
      </c>
      <c r="M15" s="47">
        <f t="shared" si="42"/>
        <v>0</v>
      </c>
      <c r="N15" s="47">
        <f t="shared" si="43"/>
        <v>0</v>
      </c>
      <c r="O15" s="47">
        <f t="shared" si="44"/>
        <v>0</v>
      </c>
      <c r="P15" s="47">
        <v>0</v>
      </c>
      <c r="Q15" s="47">
        <f t="shared" si="45"/>
        <v>0</v>
      </c>
      <c r="R15" s="47">
        <v>0</v>
      </c>
      <c r="S15" s="47">
        <f t="shared" si="46"/>
        <v>0</v>
      </c>
      <c r="T15" s="47">
        <f t="shared" si="47"/>
        <v>650</v>
      </c>
      <c r="U15" s="47">
        <f t="shared" si="48"/>
        <v>650</v>
      </c>
      <c r="V15" s="47">
        <f t="shared" si="49"/>
        <v>650</v>
      </c>
      <c r="W15" s="47">
        <f t="shared" si="50"/>
        <v>3250</v>
      </c>
      <c r="X15" s="47">
        <f t="shared" si="51"/>
        <v>238.92</v>
      </c>
      <c r="Y15" s="47">
        <f t="shared" si="52"/>
        <v>238.92</v>
      </c>
      <c r="Z15" s="47">
        <f t="shared" si="53"/>
        <v>238.92</v>
      </c>
      <c r="AA15" s="47">
        <f t="shared" si="54"/>
        <v>238.92</v>
      </c>
      <c r="AB15" s="47">
        <f t="shared" si="55"/>
        <v>238.92</v>
      </c>
      <c r="AC15" s="47">
        <f t="shared" si="56"/>
        <v>1194.5999999999999</v>
      </c>
      <c r="AD15" s="47">
        <f t="shared" si="57"/>
        <v>95.717999999999989</v>
      </c>
      <c r="AE15" s="47">
        <f t="shared" si="58"/>
        <v>478.58999999999992</v>
      </c>
      <c r="AF15" s="47">
        <v>1029</v>
      </c>
      <c r="AG15" s="47">
        <f t="shared" si="59"/>
        <v>5145</v>
      </c>
      <c r="AH15" s="47">
        <v>0</v>
      </c>
      <c r="AI15" s="47">
        <f t="shared" si="60"/>
        <v>0</v>
      </c>
      <c r="AJ15" s="47">
        <v>0</v>
      </c>
      <c r="AK15" s="47">
        <f t="shared" si="61"/>
        <v>0</v>
      </c>
      <c r="AL15" s="47">
        <f t="shared" si="62"/>
        <v>60</v>
      </c>
      <c r="AM15" s="47">
        <f t="shared" si="63"/>
        <v>300</v>
      </c>
      <c r="AN15" s="47">
        <f t="shared" si="64"/>
        <v>861.46199999999999</v>
      </c>
      <c r="AO15" s="47">
        <f t="shared" si="65"/>
        <v>4307.3099999999995</v>
      </c>
      <c r="AP15" s="47">
        <v>0</v>
      </c>
      <c r="AQ15" s="47">
        <f t="shared" si="66"/>
        <v>0</v>
      </c>
      <c r="AR15" s="47">
        <f t="shared" si="67"/>
        <v>380.1</v>
      </c>
      <c r="AS15" s="47">
        <f t="shared" si="68"/>
        <v>1900.5</v>
      </c>
      <c r="AT15" s="47">
        <f>15400/5</f>
        <v>3080</v>
      </c>
      <c r="AU15" s="47">
        <f t="shared" si="69"/>
        <v>15400</v>
      </c>
      <c r="AV15" s="47">
        <f t="shared" si="70"/>
        <v>845.50900000000001</v>
      </c>
      <c r="AW15" s="47">
        <f t="shared" si="71"/>
        <v>4227.5450000000001</v>
      </c>
      <c r="AX15" s="47">
        <v>0</v>
      </c>
      <c r="AY15" s="47">
        <f t="shared" si="72"/>
        <v>0</v>
      </c>
      <c r="AZ15" s="47">
        <f t="shared" si="73"/>
        <v>0</v>
      </c>
      <c r="BA15" s="47">
        <f t="shared" si="74"/>
        <v>0</v>
      </c>
      <c r="BB15" s="48">
        <f t="shared" si="75"/>
        <v>7240.7089999999998</v>
      </c>
      <c r="BC15" s="49">
        <f t="shared" si="76"/>
        <v>36203.544999999998</v>
      </c>
      <c r="BD15" s="7">
        <f t="shared" si="77"/>
        <v>1134.6939447125933</v>
      </c>
      <c r="BE15" s="47">
        <f t="shared" si="78"/>
        <v>86.888508000000002</v>
      </c>
      <c r="BF15" s="47">
        <f t="shared" si="79"/>
        <v>434.44254000000001</v>
      </c>
      <c r="BG15" s="50">
        <f t="shared" si="80"/>
        <v>108.61063499999999</v>
      </c>
      <c r="BH15" s="50">
        <f t="shared" si="81"/>
        <v>543.05317500000001</v>
      </c>
      <c r="BI15" s="50">
        <f t="shared" si="82"/>
        <v>36.203544999999998</v>
      </c>
      <c r="BJ15" s="50">
        <f t="shared" si="83"/>
        <v>181.01772499999998</v>
      </c>
      <c r="BK15" s="50">
        <f t="shared" si="84"/>
        <v>72.407089999999997</v>
      </c>
      <c r="BL15" s="50">
        <f t="shared" si="85"/>
        <v>362.03544999999997</v>
      </c>
      <c r="BM15" s="51">
        <f t="shared" si="86"/>
        <v>0</v>
      </c>
      <c r="BN15" s="52">
        <f t="shared" si="87"/>
        <v>0</v>
      </c>
      <c r="BO15" s="52">
        <f t="shared" si="88"/>
        <v>0</v>
      </c>
      <c r="BP15" s="51">
        <f t="shared" si="89"/>
        <v>0.32</v>
      </c>
      <c r="BQ15" s="53">
        <f t="shared" si="90"/>
        <v>2317.0268799999999</v>
      </c>
      <c r="BR15" s="53">
        <f t="shared" si="91"/>
        <v>11585.134399999999</v>
      </c>
      <c r="BS15" s="54">
        <f t="shared" si="92"/>
        <v>9861.8456580000002</v>
      </c>
      <c r="BT15" s="55">
        <f t="shared" si="93"/>
        <v>49309.228289999999</v>
      </c>
      <c r="BU15" s="10">
        <f t="shared" si="94"/>
        <v>1545.453152698552</v>
      </c>
      <c r="BV15" s="3"/>
    </row>
    <row r="16" spans="1:75" s="686" customFormat="1" ht="72.75" hidden="1" customHeight="1">
      <c r="A16" s="723" t="s">
        <v>212</v>
      </c>
      <c r="B16" s="670" t="s">
        <v>213</v>
      </c>
      <c r="C16" s="670" t="s">
        <v>214</v>
      </c>
      <c r="D16" s="671">
        <v>1200</v>
      </c>
      <c r="E16" s="671"/>
      <c r="F16" s="671">
        <v>3000</v>
      </c>
      <c r="G16" s="672">
        <f t="shared" si="38"/>
        <v>3.6</v>
      </c>
      <c r="H16" s="673">
        <v>3</v>
      </c>
      <c r="I16" s="672">
        <f t="shared" si="39"/>
        <v>10.8</v>
      </c>
      <c r="J16" s="706"/>
      <c r="K16" s="674">
        <f t="shared" si="40"/>
        <v>0</v>
      </c>
      <c r="L16" s="674">
        <f t="shared" si="41"/>
        <v>0</v>
      </c>
      <c r="M16" s="674">
        <f t="shared" si="42"/>
        <v>0</v>
      </c>
      <c r="N16" s="674">
        <f t="shared" si="43"/>
        <v>0</v>
      </c>
      <c r="O16" s="674">
        <f t="shared" si="44"/>
        <v>0</v>
      </c>
      <c r="P16" s="674">
        <v>0</v>
      </c>
      <c r="Q16" s="674">
        <f t="shared" si="45"/>
        <v>0</v>
      </c>
      <c r="R16" s="674">
        <v>0</v>
      </c>
      <c r="S16" s="674">
        <f t="shared" si="46"/>
        <v>0</v>
      </c>
      <c r="T16" s="674"/>
      <c r="U16" s="674">
        <f t="shared" si="48"/>
        <v>0</v>
      </c>
      <c r="V16" s="674">
        <f t="shared" si="49"/>
        <v>0</v>
      </c>
      <c r="W16" s="674">
        <f t="shared" si="50"/>
        <v>0</v>
      </c>
      <c r="X16" s="47">
        <f t="shared" si="51"/>
        <v>184.8</v>
      </c>
      <c r="Y16" s="674">
        <f t="shared" si="52"/>
        <v>184.8</v>
      </c>
      <c r="Z16" s="674">
        <f t="shared" si="53"/>
        <v>184.8</v>
      </c>
      <c r="AA16" s="674">
        <f t="shared" si="54"/>
        <v>184.8</v>
      </c>
      <c r="AB16" s="674">
        <f t="shared" si="55"/>
        <v>184.8</v>
      </c>
      <c r="AC16" s="674">
        <f t="shared" si="56"/>
        <v>554.40000000000009</v>
      </c>
      <c r="AD16" s="47">
        <f>$AD$6*G16</f>
        <v>100.8</v>
      </c>
      <c r="AE16" s="674">
        <f t="shared" si="58"/>
        <v>302.39999999999998</v>
      </c>
      <c r="AF16" s="674">
        <v>1650</v>
      </c>
      <c r="AG16" s="674">
        <f t="shared" si="59"/>
        <v>4950</v>
      </c>
      <c r="AH16" s="674"/>
      <c r="AI16" s="674">
        <f t="shared" si="60"/>
        <v>0</v>
      </c>
      <c r="AJ16" s="706">
        <v>0</v>
      </c>
      <c r="AK16" s="706">
        <f t="shared" si="61"/>
        <v>0</v>
      </c>
      <c r="AL16" s="47">
        <v>0</v>
      </c>
      <c r="AM16" s="674">
        <f t="shared" si="63"/>
        <v>0</v>
      </c>
      <c r="AN16" s="674">
        <f>$AN$8*G16</f>
        <v>2142</v>
      </c>
      <c r="AO16" s="674">
        <f t="shared" si="65"/>
        <v>6426</v>
      </c>
      <c r="AP16" s="674">
        <v>0</v>
      </c>
      <c r="AQ16" s="674">
        <f t="shared" si="66"/>
        <v>0</v>
      </c>
      <c r="AR16" s="674">
        <f>($AR$6*2*(D16+F16))/1000</f>
        <v>378</v>
      </c>
      <c r="AS16" s="674">
        <f t="shared" si="68"/>
        <v>1134</v>
      </c>
      <c r="AT16" s="674">
        <v>735</v>
      </c>
      <c r="AU16" s="674">
        <f t="shared" si="69"/>
        <v>2205</v>
      </c>
      <c r="AV16" s="674">
        <f>AV8</f>
        <v>1286</v>
      </c>
      <c r="AW16" s="674">
        <f>AV16*H16</f>
        <v>3858</v>
      </c>
      <c r="AX16" s="674">
        <v>0</v>
      </c>
      <c r="AY16" s="674">
        <f t="shared" si="72"/>
        <v>0</v>
      </c>
      <c r="AZ16" s="47">
        <f t="shared" si="73"/>
        <v>0</v>
      </c>
      <c r="BA16" s="674">
        <f t="shared" si="74"/>
        <v>0</v>
      </c>
      <c r="BB16" s="675">
        <f t="shared" si="75"/>
        <v>6476.6</v>
      </c>
      <c r="BC16" s="676">
        <f t="shared" si="76"/>
        <v>19429.8</v>
      </c>
      <c r="BD16" s="677">
        <f t="shared" si="77"/>
        <v>1799.0555555555554</v>
      </c>
      <c r="BE16" s="674">
        <f t="shared" si="78"/>
        <v>77.719200000000001</v>
      </c>
      <c r="BF16" s="674">
        <f t="shared" si="79"/>
        <v>233.1576</v>
      </c>
      <c r="BG16" s="678">
        <f t="shared" si="80"/>
        <v>97.149000000000001</v>
      </c>
      <c r="BH16" s="678">
        <f t="shared" si="81"/>
        <v>291.447</v>
      </c>
      <c r="BI16" s="678">
        <f t="shared" si="82"/>
        <v>32.383000000000003</v>
      </c>
      <c r="BJ16" s="678">
        <f t="shared" si="83"/>
        <v>97.149000000000001</v>
      </c>
      <c r="BK16" s="678">
        <f t="shared" si="84"/>
        <v>64.766000000000005</v>
      </c>
      <c r="BL16" s="678">
        <f t="shared" si="85"/>
        <v>194.298</v>
      </c>
      <c r="BM16" s="679">
        <f t="shared" si="86"/>
        <v>0</v>
      </c>
      <c r="BN16" s="680">
        <f t="shared" si="87"/>
        <v>0</v>
      </c>
      <c r="BO16" s="680">
        <f t="shared" si="88"/>
        <v>0</v>
      </c>
      <c r="BP16" s="679">
        <f t="shared" si="89"/>
        <v>0.32</v>
      </c>
      <c r="BQ16" s="681">
        <f t="shared" si="90"/>
        <v>2072.5120000000002</v>
      </c>
      <c r="BR16" s="681">
        <f t="shared" si="91"/>
        <v>6217.5360000000001</v>
      </c>
      <c r="BS16" s="682">
        <f t="shared" si="92"/>
        <v>8821.1291999999994</v>
      </c>
      <c r="BT16" s="683">
        <f t="shared" si="93"/>
        <v>26463.387599999998</v>
      </c>
      <c r="BU16" s="684">
        <f t="shared" si="94"/>
        <v>2450.3136666666664</v>
      </c>
      <c r="BV16" s="685"/>
    </row>
    <row r="17" spans="1:74" ht="19.899999999999999" customHeight="1">
      <c r="A17" s="646"/>
      <c r="B17" s="666" t="s">
        <v>215</v>
      </c>
      <c r="C17" s="670" t="s">
        <v>216</v>
      </c>
      <c r="D17" s="45">
        <v>1200</v>
      </c>
      <c r="E17" s="45"/>
      <c r="F17" s="45">
        <v>3000</v>
      </c>
      <c r="G17" s="46">
        <f t="shared" si="38"/>
        <v>3.6</v>
      </c>
      <c r="H17" s="667">
        <v>1</v>
      </c>
      <c r="I17" s="46">
        <f t="shared" si="39"/>
        <v>3.6</v>
      </c>
      <c r="J17" s="47"/>
      <c r="K17" s="47">
        <f t="shared" si="40"/>
        <v>0</v>
      </c>
      <c r="L17" s="47">
        <f t="shared" si="41"/>
        <v>0</v>
      </c>
      <c r="M17" s="47">
        <f t="shared" si="42"/>
        <v>0</v>
      </c>
      <c r="N17" s="47">
        <f t="shared" si="43"/>
        <v>0</v>
      </c>
      <c r="O17" s="47">
        <f t="shared" si="44"/>
        <v>0</v>
      </c>
      <c r="P17" s="47">
        <v>0</v>
      </c>
      <c r="Q17" s="47">
        <f t="shared" si="45"/>
        <v>0</v>
      </c>
      <c r="R17" s="47">
        <v>0</v>
      </c>
      <c r="S17" s="47">
        <f t="shared" si="46"/>
        <v>0</v>
      </c>
      <c r="T17" s="47">
        <f>$T$5</f>
        <v>650</v>
      </c>
      <c r="U17" s="47">
        <f t="shared" si="48"/>
        <v>650</v>
      </c>
      <c r="V17" s="47">
        <f t="shared" si="49"/>
        <v>650</v>
      </c>
      <c r="W17" s="47">
        <f t="shared" si="50"/>
        <v>650</v>
      </c>
      <c r="X17" s="47">
        <f t="shared" si="51"/>
        <v>184.8</v>
      </c>
      <c r="Y17" s="47">
        <f t="shared" si="52"/>
        <v>184.8</v>
      </c>
      <c r="Z17" s="47">
        <f t="shared" si="53"/>
        <v>184.8</v>
      </c>
      <c r="AA17" s="47">
        <f t="shared" si="54"/>
        <v>184.8</v>
      </c>
      <c r="AB17" s="47">
        <f t="shared" si="55"/>
        <v>184.8</v>
      </c>
      <c r="AC17" s="47">
        <f t="shared" si="56"/>
        <v>184.8</v>
      </c>
      <c r="AD17" s="47">
        <f t="shared" si="57"/>
        <v>54</v>
      </c>
      <c r="AE17" s="47">
        <f t="shared" si="58"/>
        <v>54</v>
      </c>
      <c r="AF17" s="47">
        <v>938</v>
      </c>
      <c r="AG17" s="47">
        <f t="shared" si="59"/>
        <v>938</v>
      </c>
      <c r="AH17" s="47"/>
      <c r="AI17" s="47">
        <f t="shared" si="60"/>
        <v>0</v>
      </c>
      <c r="AJ17" s="47">
        <v>0</v>
      </c>
      <c r="AK17" s="47">
        <f t="shared" si="61"/>
        <v>0</v>
      </c>
      <c r="AL17" s="47">
        <f t="shared" si="62"/>
        <v>60</v>
      </c>
      <c r="AM17" s="47">
        <f t="shared" si="63"/>
        <v>60</v>
      </c>
      <c r="AN17" s="47">
        <f t="shared" ref="AN17:AN20" si="95">$AN$7*G17</f>
        <v>972</v>
      </c>
      <c r="AO17" s="47">
        <f t="shared" si="65"/>
        <v>972</v>
      </c>
      <c r="AP17" s="47">
        <v>0</v>
      </c>
      <c r="AQ17" s="47">
        <f t="shared" si="66"/>
        <v>0</v>
      </c>
      <c r="AR17" s="47">
        <f t="shared" si="67"/>
        <v>294</v>
      </c>
      <c r="AS17" s="47">
        <f t="shared" si="68"/>
        <v>294</v>
      </c>
      <c r="AT17" s="47">
        <v>935</v>
      </c>
      <c r="AU17" s="47">
        <f t="shared" si="69"/>
        <v>935</v>
      </c>
      <c r="AV17" s="47">
        <f t="shared" si="70"/>
        <v>477</v>
      </c>
      <c r="AW17" s="47">
        <f t="shared" si="71"/>
        <v>477</v>
      </c>
      <c r="AX17" s="47">
        <v>0</v>
      </c>
      <c r="AY17" s="47">
        <f t="shared" si="72"/>
        <v>0</v>
      </c>
      <c r="AZ17" s="47">
        <f t="shared" si="73"/>
        <v>0</v>
      </c>
      <c r="BA17" s="47">
        <f t="shared" si="74"/>
        <v>0</v>
      </c>
      <c r="BB17" s="48">
        <f t="shared" si="75"/>
        <v>4564.8</v>
      </c>
      <c r="BC17" s="49">
        <f t="shared" si="76"/>
        <v>4564.8</v>
      </c>
      <c r="BD17" s="7">
        <f t="shared" si="77"/>
        <v>1268</v>
      </c>
      <c r="BE17" s="47">
        <f t="shared" si="78"/>
        <v>54.777600000000007</v>
      </c>
      <c r="BF17" s="47">
        <f t="shared" si="79"/>
        <v>54.777600000000007</v>
      </c>
      <c r="BG17" s="50">
        <f t="shared" si="80"/>
        <v>68.471999999999994</v>
      </c>
      <c r="BH17" s="50">
        <f t="shared" si="81"/>
        <v>68.471999999999994</v>
      </c>
      <c r="BI17" s="50">
        <f t="shared" si="82"/>
        <v>22.824000000000002</v>
      </c>
      <c r="BJ17" s="50">
        <f t="shared" si="83"/>
        <v>22.824000000000002</v>
      </c>
      <c r="BK17" s="50">
        <f t="shared" si="84"/>
        <v>45.648000000000003</v>
      </c>
      <c r="BL17" s="50">
        <f t="shared" si="85"/>
        <v>45.648000000000003</v>
      </c>
      <c r="BM17" s="51">
        <f t="shared" si="86"/>
        <v>0</v>
      </c>
      <c r="BN17" s="52">
        <f t="shared" si="87"/>
        <v>0</v>
      </c>
      <c r="BO17" s="52">
        <f t="shared" si="88"/>
        <v>0</v>
      </c>
      <c r="BP17" s="51">
        <f t="shared" si="89"/>
        <v>0.32</v>
      </c>
      <c r="BQ17" s="53">
        <f t="shared" si="90"/>
        <v>1460.7360000000001</v>
      </c>
      <c r="BR17" s="53">
        <f t="shared" si="91"/>
        <v>1460.7360000000001</v>
      </c>
      <c r="BS17" s="54">
        <f t="shared" si="92"/>
        <v>6217.2575999999999</v>
      </c>
      <c r="BT17" s="55">
        <f t="shared" si="93"/>
        <v>6217.2575999999999</v>
      </c>
      <c r="BU17" s="10">
        <f t="shared" si="94"/>
        <v>1727.0159999999998</v>
      </c>
      <c r="BV17" s="3"/>
    </row>
    <row r="18" spans="1:74" ht="19.899999999999999" customHeight="1">
      <c r="A18" s="646"/>
      <c r="B18" s="666" t="s">
        <v>217</v>
      </c>
      <c r="C18" s="670" t="s">
        <v>218</v>
      </c>
      <c r="D18" s="45">
        <v>1200</v>
      </c>
      <c r="E18" s="45"/>
      <c r="F18" s="45">
        <v>3000</v>
      </c>
      <c r="G18" s="46">
        <f t="shared" si="38"/>
        <v>3.6</v>
      </c>
      <c r="H18" s="667">
        <v>2</v>
      </c>
      <c r="I18" s="46">
        <f t="shared" si="39"/>
        <v>7.2</v>
      </c>
      <c r="J18" s="47"/>
      <c r="K18" s="47">
        <f t="shared" si="40"/>
        <v>0</v>
      </c>
      <c r="L18" s="47">
        <f t="shared" si="41"/>
        <v>0</v>
      </c>
      <c r="M18" s="47">
        <f t="shared" si="42"/>
        <v>0</v>
      </c>
      <c r="N18" s="47">
        <f t="shared" si="43"/>
        <v>0</v>
      </c>
      <c r="O18" s="47">
        <f t="shared" si="44"/>
        <v>0</v>
      </c>
      <c r="P18" s="47">
        <v>0</v>
      </c>
      <c r="Q18" s="47">
        <f t="shared" si="45"/>
        <v>0</v>
      </c>
      <c r="R18" s="47">
        <v>0</v>
      </c>
      <c r="S18" s="47">
        <f t="shared" si="46"/>
        <v>0</v>
      </c>
      <c r="T18" s="47">
        <f t="shared" ref="T18:T20" si="96">$T$5</f>
        <v>650</v>
      </c>
      <c r="U18" s="47">
        <f t="shared" si="48"/>
        <v>650</v>
      </c>
      <c r="V18" s="47">
        <f t="shared" si="49"/>
        <v>650</v>
      </c>
      <c r="W18" s="47">
        <f t="shared" si="50"/>
        <v>1300</v>
      </c>
      <c r="X18" s="47">
        <f t="shared" si="51"/>
        <v>184.8</v>
      </c>
      <c r="Y18" s="47">
        <f t="shared" si="52"/>
        <v>184.8</v>
      </c>
      <c r="Z18" s="47">
        <f t="shared" si="53"/>
        <v>184.8</v>
      </c>
      <c r="AA18" s="47">
        <f t="shared" si="54"/>
        <v>184.8</v>
      </c>
      <c r="AB18" s="47">
        <f t="shared" si="55"/>
        <v>184.8</v>
      </c>
      <c r="AC18" s="47">
        <f t="shared" si="56"/>
        <v>369.6</v>
      </c>
      <c r="AD18" s="47">
        <f t="shared" si="57"/>
        <v>54</v>
      </c>
      <c r="AE18" s="47">
        <f t="shared" si="58"/>
        <v>108</v>
      </c>
      <c r="AF18" s="47">
        <v>938</v>
      </c>
      <c r="AG18" s="47">
        <f t="shared" si="59"/>
        <v>1876</v>
      </c>
      <c r="AH18" s="47"/>
      <c r="AI18" s="47">
        <f t="shared" si="60"/>
        <v>0</v>
      </c>
      <c r="AJ18" s="47">
        <v>0</v>
      </c>
      <c r="AK18" s="47">
        <f t="shared" si="61"/>
        <v>0</v>
      </c>
      <c r="AL18" s="47">
        <f t="shared" si="62"/>
        <v>60</v>
      </c>
      <c r="AM18" s="47">
        <f t="shared" si="63"/>
        <v>120</v>
      </c>
      <c r="AN18" s="47">
        <f t="shared" si="95"/>
        <v>972</v>
      </c>
      <c r="AO18" s="47">
        <f t="shared" si="65"/>
        <v>1944</v>
      </c>
      <c r="AP18" s="47">
        <v>0</v>
      </c>
      <c r="AQ18" s="47">
        <f t="shared" si="66"/>
        <v>0</v>
      </c>
      <c r="AR18" s="47">
        <f t="shared" si="67"/>
        <v>294</v>
      </c>
      <c r="AS18" s="47">
        <f t="shared" si="68"/>
        <v>588</v>
      </c>
      <c r="AT18" s="47">
        <f>1870/2</f>
        <v>935</v>
      </c>
      <c r="AU18" s="47">
        <f t="shared" si="69"/>
        <v>1870</v>
      </c>
      <c r="AV18" s="47">
        <f t="shared" si="70"/>
        <v>477</v>
      </c>
      <c r="AW18" s="47">
        <f t="shared" si="71"/>
        <v>954</v>
      </c>
      <c r="AX18" s="47">
        <v>0</v>
      </c>
      <c r="AY18" s="47">
        <f t="shared" si="72"/>
        <v>0</v>
      </c>
      <c r="AZ18" s="47">
        <f t="shared" si="73"/>
        <v>0</v>
      </c>
      <c r="BA18" s="47">
        <f t="shared" si="74"/>
        <v>0</v>
      </c>
      <c r="BB18" s="48">
        <f t="shared" si="75"/>
        <v>4564.8</v>
      </c>
      <c r="BC18" s="49">
        <f t="shared" si="76"/>
        <v>9129.6</v>
      </c>
      <c r="BD18" s="7">
        <f t="shared" si="77"/>
        <v>1268</v>
      </c>
      <c r="BE18" s="47">
        <f t="shared" si="78"/>
        <v>54.777600000000007</v>
      </c>
      <c r="BF18" s="47">
        <f t="shared" si="79"/>
        <v>109.55520000000001</v>
      </c>
      <c r="BG18" s="50">
        <f t="shared" si="80"/>
        <v>68.471999999999994</v>
      </c>
      <c r="BH18" s="50">
        <f t="shared" si="81"/>
        <v>136.94399999999999</v>
      </c>
      <c r="BI18" s="50">
        <f t="shared" si="82"/>
        <v>22.824000000000002</v>
      </c>
      <c r="BJ18" s="50">
        <f t="shared" si="83"/>
        <v>45.648000000000003</v>
      </c>
      <c r="BK18" s="50">
        <f t="shared" si="84"/>
        <v>45.648000000000003</v>
      </c>
      <c r="BL18" s="50">
        <f t="shared" si="85"/>
        <v>91.296000000000006</v>
      </c>
      <c r="BM18" s="51">
        <f t="shared" si="86"/>
        <v>0</v>
      </c>
      <c r="BN18" s="52">
        <f t="shared" si="87"/>
        <v>0</v>
      </c>
      <c r="BO18" s="52">
        <f t="shared" si="88"/>
        <v>0</v>
      </c>
      <c r="BP18" s="51">
        <f t="shared" si="89"/>
        <v>0.32</v>
      </c>
      <c r="BQ18" s="53">
        <f t="shared" si="90"/>
        <v>1460.7360000000001</v>
      </c>
      <c r="BR18" s="53">
        <f t="shared" si="91"/>
        <v>2921.4720000000002</v>
      </c>
      <c r="BS18" s="54">
        <f t="shared" si="92"/>
        <v>6217.2575999999999</v>
      </c>
      <c r="BT18" s="55">
        <f t="shared" si="93"/>
        <v>12434.5152</v>
      </c>
      <c r="BU18" s="10">
        <f t="shared" si="94"/>
        <v>1727.0159999999998</v>
      </c>
      <c r="BV18" s="3"/>
    </row>
    <row r="19" spans="1:74" ht="19.899999999999999" customHeight="1">
      <c r="A19" s="646"/>
      <c r="B19" s="666" t="s">
        <v>219</v>
      </c>
      <c r="C19" s="670" t="s">
        <v>220</v>
      </c>
      <c r="D19" s="45">
        <v>1300</v>
      </c>
      <c r="E19" s="45"/>
      <c r="F19" s="45">
        <v>3000</v>
      </c>
      <c r="G19" s="46">
        <f t="shared" si="38"/>
        <v>3.9</v>
      </c>
      <c r="H19" s="667">
        <v>1</v>
      </c>
      <c r="I19" s="46">
        <f t="shared" si="39"/>
        <v>3.9</v>
      </c>
      <c r="J19" s="47"/>
      <c r="K19" s="47">
        <f t="shared" si="40"/>
        <v>0</v>
      </c>
      <c r="L19" s="47">
        <f t="shared" si="41"/>
        <v>0</v>
      </c>
      <c r="M19" s="47">
        <f t="shared" si="42"/>
        <v>0</v>
      </c>
      <c r="N19" s="47">
        <f t="shared" si="43"/>
        <v>0</v>
      </c>
      <c r="O19" s="47">
        <f t="shared" si="44"/>
        <v>0</v>
      </c>
      <c r="P19" s="47">
        <v>0</v>
      </c>
      <c r="Q19" s="47">
        <f t="shared" si="45"/>
        <v>0</v>
      </c>
      <c r="R19" s="47">
        <v>0</v>
      </c>
      <c r="S19" s="47">
        <f t="shared" si="46"/>
        <v>0</v>
      </c>
      <c r="T19" s="47">
        <f t="shared" si="96"/>
        <v>650</v>
      </c>
      <c r="U19" s="47">
        <f t="shared" si="48"/>
        <v>650</v>
      </c>
      <c r="V19" s="47">
        <f t="shared" si="49"/>
        <v>650</v>
      </c>
      <c r="W19" s="47">
        <f t="shared" si="50"/>
        <v>650</v>
      </c>
      <c r="X19" s="47">
        <f t="shared" si="51"/>
        <v>189.2</v>
      </c>
      <c r="Y19" s="47">
        <f t="shared" si="52"/>
        <v>189.2</v>
      </c>
      <c r="Z19" s="47">
        <f t="shared" si="53"/>
        <v>189.2</v>
      </c>
      <c r="AA19" s="47">
        <f t="shared" si="54"/>
        <v>189.2</v>
      </c>
      <c r="AB19" s="47">
        <f t="shared" si="55"/>
        <v>189.2</v>
      </c>
      <c r="AC19" s="47">
        <f t="shared" si="56"/>
        <v>189.2</v>
      </c>
      <c r="AD19" s="47">
        <f t="shared" si="57"/>
        <v>58.5</v>
      </c>
      <c r="AE19" s="47">
        <f t="shared" si="58"/>
        <v>58.5</v>
      </c>
      <c r="AF19" s="47">
        <v>1450</v>
      </c>
      <c r="AG19" s="47">
        <f t="shared" si="59"/>
        <v>1450</v>
      </c>
      <c r="AH19" s="47"/>
      <c r="AI19" s="47">
        <f t="shared" si="60"/>
        <v>0</v>
      </c>
      <c r="AJ19" s="47">
        <v>0</v>
      </c>
      <c r="AK19" s="47">
        <f t="shared" si="61"/>
        <v>0</v>
      </c>
      <c r="AL19" s="47">
        <f t="shared" si="62"/>
        <v>60</v>
      </c>
      <c r="AM19" s="47">
        <f t="shared" si="63"/>
        <v>60</v>
      </c>
      <c r="AN19" s="47">
        <f t="shared" si="95"/>
        <v>1053</v>
      </c>
      <c r="AO19" s="47">
        <f t="shared" si="65"/>
        <v>1053</v>
      </c>
      <c r="AP19" s="47">
        <v>0</v>
      </c>
      <c r="AQ19" s="47">
        <f t="shared" si="66"/>
        <v>0</v>
      </c>
      <c r="AR19" s="47">
        <f t="shared" si="67"/>
        <v>301</v>
      </c>
      <c r="AS19" s="47">
        <f t="shared" si="68"/>
        <v>301</v>
      </c>
      <c r="AT19" s="47">
        <v>0</v>
      </c>
      <c r="AU19" s="47">
        <f t="shared" si="69"/>
        <v>0</v>
      </c>
      <c r="AV19" s="47">
        <f t="shared" si="70"/>
        <v>516.75</v>
      </c>
      <c r="AW19" s="47">
        <f t="shared" si="71"/>
        <v>516.75</v>
      </c>
      <c r="AX19" s="47">
        <v>0</v>
      </c>
      <c r="AY19" s="47">
        <f t="shared" si="72"/>
        <v>0</v>
      </c>
      <c r="AZ19" s="47">
        <f t="shared" si="73"/>
        <v>0</v>
      </c>
      <c r="BA19" s="47">
        <f t="shared" si="74"/>
        <v>0</v>
      </c>
      <c r="BB19" s="48">
        <f t="shared" si="75"/>
        <v>4278.45</v>
      </c>
      <c r="BC19" s="49">
        <f t="shared" si="76"/>
        <v>4278.45</v>
      </c>
      <c r="BD19" s="7">
        <f t="shared" si="77"/>
        <v>1097.0384615384614</v>
      </c>
      <c r="BE19" s="47">
        <f t="shared" si="78"/>
        <v>51.3414</v>
      </c>
      <c r="BF19" s="47">
        <f t="shared" si="79"/>
        <v>51.3414</v>
      </c>
      <c r="BG19" s="50">
        <f t="shared" si="80"/>
        <v>64.176749999999998</v>
      </c>
      <c r="BH19" s="50">
        <f t="shared" si="81"/>
        <v>64.176749999999998</v>
      </c>
      <c r="BI19" s="50">
        <f t="shared" si="82"/>
        <v>21.392250000000001</v>
      </c>
      <c r="BJ19" s="50">
        <f t="shared" si="83"/>
        <v>21.392250000000001</v>
      </c>
      <c r="BK19" s="50">
        <f t="shared" si="84"/>
        <v>42.784500000000001</v>
      </c>
      <c r="BL19" s="50">
        <f t="shared" si="85"/>
        <v>42.784500000000001</v>
      </c>
      <c r="BM19" s="51">
        <f t="shared" si="86"/>
        <v>0</v>
      </c>
      <c r="BN19" s="52">
        <f t="shared" si="87"/>
        <v>0</v>
      </c>
      <c r="BO19" s="52">
        <f t="shared" si="88"/>
        <v>0</v>
      </c>
      <c r="BP19" s="51">
        <f t="shared" si="89"/>
        <v>0.32</v>
      </c>
      <c r="BQ19" s="53">
        <f t="shared" si="90"/>
        <v>1369.104</v>
      </c>
      <c r="BR19" s="53">
        <f t="shared" si="91"/>
        <v>1369.104</v>
      </c>
      <c r="BS19" s="54">
        <f t="shared" si="92"/>
        <v>5827.2488999999996</v>
      </c>
      <c r="BT19" s="55">
        <f t="shared" si="93"/>
        <v>5827.2488999999996</v>
      </c>
      <c r="BU19" s="10">
        <f t="shared" si="94"/>
        <v>1494.1663846153845</v>
      </c>
      <c r="BV19" s="3"/>
    </row>
    <row r="20" spans="1:74" ht="19.899999999999999" customHeight="1">
      <c r="A20" s="646"/>
      <c r="B20" s="666" t="s">
        <v>221</v>
      </c>
      <c r="C20" s="666" t="s">
        <v>222</v>
      </c>
      <c r="D20" s="45">
        <v>1300</v>
      </c>
      <c r="E20" s="45"/>
      <c r="F20" s="45">
        <v>3000</v>
      </c>
      <c r="G20" s="46">
        <f t="shared" si="38"/>
        <v>3.9</v>
      </c>
      <c r="H20" s="667">
        <v>1</v>
      </c>
      <c r="I20" s="46">
        <f t="shared" si="39"/>
        <v>3.9</v>
      </c>
      <c r="J20" s="47"/>
      <c r="K20" s="47">
        <f t="shared" si="40"/>
        <v>0</v>
      </c>
      <c r="L20" s="47">
        <f t="shared" si="41"/>
        <v>0</v>
      </c>
      <c r="M20" s="47">
        <f t="shared" si="42"/>
        <v>0</v>
      </c>
      <c r="N20" s="47">
        <f t="shared" si="43"/>
        <v>0</v>
      </c>
      <c r="O20" s="47">
        <f t="shared" si="44"/>
        <v>0</v>
      </c>
      <c r="P20" s="47">
        <v>0</v>
      </c>
      <c r="Q20" s="47">
        <f t="shared" si="45"/>
        <v>0</v>
      </c>
      <c r="R20" s="47">
        <v>0</v>
      </c>
      <c r="S20" s="47">
        <f t="shared" si="46"/>
        <v>0</v>
      </c>
      <c r="T20" s="47">
        <f t="shared" si="96"/>
        <v>650</v>
      </c>
      <c r="U20" s="47">
        <f t="shared" si="48"/>
        <v>650</v>
      </c>
      <c r="V20" s="47">
        <f t="shared" si="49"/>
        <v>650</v>
      </c>
      <c r="W20" s="47">
        <f t="shared" si="50"/>
        <v>650</v>
      </c>
      <c r="X20" s="47">
        <f t="shared" si="51"/>
        <v>189.2</v>
      </c>
      <c r="Y20" s="47">
        <f t="shared" si="52"/>
        <v>189.2</v>
      </c>
      <c r="Z20" s="47">
        <f t="shared" si="53"/>
        <v>189.2</v>
      </c>
      <c r="AA20" s="47">
        <f t="shared" si="54"/>
        <v>189.2</v>
      </c>
      <c r="AB20" s="47">
        <f t="shared" si="55"/>
        <v>189.2</v>
      </c>
      <c r="AC20" s="47">
        <f t="shared" si="56"/>
        <v>189.2</v>
      </c>
      <c r="AD20" s="47">
        <f t="shared" si="57"/>
        <v>58.5</v>
      </c>
      <c r="AE20" s="47">
        <f t="shared" si="58"/>
        <v>58.5</v>
      </c>
      <c r="AF20" s="47">
        <v>1420</v>
      </c>
      <c r="AG20" s="47">
        <f t="shared" si="59"/>
        <v>1420</v>
      </c>
      <c r="AH20" s="47"/>
      <c r="AI20" s="47">
        <f t="shared" si="60"/>
        <v>0</v>
      </c>
      <c r="AJ20" s="47">
        <v>0</v>
      </c>
      <c r="AK20" s="47">
        <f t="shared" si="61"/>
        <v>0</v>
      </c>
      <c r="AL20" s="47">
        <f t="shared" si="62"/>
        <v>60</v>
      </c>
      <c r="AM20" s="47">
        <f t="shared" si="63"/>
        <v>60</v>
      </c>
      <c r="AN20" s="47">
        <f t="shared" si="95"/>
        <v>1053</v>
      </c>
      <c r="AO20" s="47">
        <f t="shared" si="65"/>
        <v>1053</v>
      </c>
      <c r="AP20" s="47">
        <v>0</v>
      </c>
      <c r="AQ20" s="47">
        <f t="shared" si="66"/>
        <v>0</v>
      </c>
      <c r="AR20" s="47">
        <f t="shared" si="67"/>
        <v>301</v>
      </c>
      <c r="AS20" s="47">
        <f t="shared" si="68"/>
        <v>301</v>
      </c>
      <c r="AT20" s="47">
        <v>1650</v>
      </c>
      <c r="AU20" s="47">
        <f t="shared" si="69"/>
        <v>1650</v>
      </c>
      <c r="AV20" s="47">
        <f t="shared" si="70"/>
        <v>516.75</v>
      </c>
      <c r="AW20" s="47">
        <f t="shared" si="71"/>
        <v>516.75</v>
      </c>
      <c r="AX20" s="47">
        <v>0</v>
      </c>
      <c r="AY20" s="47">
        <f t="shared" si="72"/>
        <v>0</v>
      </c>
      <c r="AZ20" s="47">
        <f t="shared" si="73"/>
        <v>0</v>
      </c>
      <c r="BA20" s="47">
        <f t="shared" si="74"/>
        <v>0</v>
      </c>
      <c r="BB20" s="48">
        <f t="shared" si="75"/>
        <v>5898.45</v>
      </c>
      <c r="BC20" s="49">
        <f t="shared" si="76"/>
        <v>5898.45</v>
      </c>
      <c r="BD20" s="7">
        <f t="shared" si="77"/>
        <v>1512.4230769230769</v>
      </c>
      <c r="BE20" s="47">
        <f t="shared" si="78"/>
        <v>70.781400000000005</v>
      </c>
      <c r="BF20" s="47">
        <f t="shared" si="79"/>
        <v>70.781400000000005</v>
      </c>
      <c r="BG20" s="50">
        <f t="shared" si="80"/>
        <v>88.476749999999996</v>
      </c>
      <c r="BH20" s="50">
        <f t="shared" si="81"/>
        <v>88.476749999999996</v>
      </c>
      <c r="BI20" s="50">
        <f t="shared" si="82"/>
        <v>29.492249999999999</v>
      </c>
      <c r="BJ20" s="50">
        <f t="shared" si="83"/>
        <v>29.492249999999999</v>
      </c>
      <c r="BK20" s="50">
        <f t="shared" si="84"/>
        <v>58.984499999999997</v>
      </c>
      <c r="BL20" s="50">
        <f t="shared" si="85"/>
        <v>58.984499999999997</v>
      </c>
      <c r="BM20" s="51">
        <f t="shared" si="86"/>
        <v>0</v>
      </c>
      <c r="BN20" s="52">
        <f t="shared" si="87"/>
        <v>0</v>
      </c>
      <c r="BO20" s="52">
        <f t="shared" si="88"/>
        <v>0</v>
      </c>
      <c r="BP20" s="51">
        <f t="shared" si="89"/>
        <v>0.32</v>
      </c>
      <c r="BQ20" s="53">
        <f t="shared" si="90"/>
        <v>1887.5039999999999</v>
      </c>
      <c r="BR20" s="53">
        <f t="shared" si="91"/>
        <v>1887.5039999999999</v>
      </c>
      <c r="BS20" s="54">
        <f t="shared" si="92"/>
        <v>8033.6888999999992</v>
      </c>
      <c r="BT20" s="55">
        <f t="shared" si="93"/>
        <v>8033.6888999999992</v>
      </c>
      <c r="BU20" s="10">
        <f t="shared" si="94"/>
        <v>2059.9202307692308</v>
      </c>
      <c r="BV20" s="3"/>
    </row>
    <row r="21" spans="1:74" s="686" customFormat="1" ht="74.25" hidden="1" customHeight="1">
      <c r="A21" s="723" t="s">
        <v>212</v>
      </c>
      <c r="B21" s="670" t="s">
        <v>223</v>
      </c>
      <c r="C21" s="670" t="s">
        <v>216</v>
      </c>
      <c r="D21" s="671">
        <v>1600</v>
      </c>
      <c r="E21" s="671"/>
      <c r="F21" s="671">
        <v>3530</v>
      </c>
      <c r="G21" s="672">
        <f t="shared" si="38"/>
        <v>5.6479999999999997</v>
      </c>
      <c r="H21" s="673">
        <v>1</v>
      </c>
      <c r="I21" s="672">
        <f t="shared" si="39"/>
        <v>5.6479999999999997</v>
      </c>
      <c r="J21" s="706"/>
      <c r="K21" s="674">
        <f t="shared" si="40"/>
        <v>0</v>
      </c>
      <c r="L21" s="674">
        <f t="shared" si="41"/>
        <v>0</v>
      </c>
      <c r="M21" s="674">
        <f t="shared" si="42"/>
        <v>0</v>
      </c>
      <c r="N21" s="674">
        <f t="shared" si="43"/>
        <v>0</v>
      </c>
      <c r="O21" s="674">
        <f t="shared" si="44"/>
        <v>0</v>
      </c>
      <c r="P21" s="674">
        <v>0</v>
      </c>
      <c r="Q21" s="674">
        <f t="shared" si="45"/>
        <v>0</v>
      </c>
      <c r="R21" s="674">
        <v>0</v>
      </c>
      <c r="S21" s="674">
        <f t="shared" si="46"/>
        <v>0</v>
      </c>
      <c r="T21" s="674">
        <f>$T$6</f>
        <v>1930</v>
      </c>
      <c r="U21" s="674">
        <f t="shared" si="48"/>
        <v>1930</v>
      </c>
      <c r="V21" s="674">
        <f t="shared" si="49"/>
        <v>1930</v>
      </c>
      <c r="W21" s="674">
        <f t="shared" si="50"/>
        <v>1930</v>
      </c>
      <c r="X21" s="47">
        <f t="shared" si="51"/>
        <v>225.72</v>
      </c>
      <c r="Y21" s="674">
        <f t="shared" si="52"/>
        <v>225.72</v>
      </c>
      <c r="Z21" s="674">
        <f t="shared" si="53"/>
        <v>225.72</v>
      </c>
      <c r="AA21" s="674">
        <f t="shared" si="54"/>
        <v>225.72</v>
      </c>
      <c r="AB21" s="674">
        <f t="shared" si="55"/>
        <v>225.72</v>
      </c>
      <c r="AC21" s="674">
        <f t="shared" si="56"/>
        <v>225.72</v>
      </c>
      <c r="AD21" s="47">
        <f>$AD$6*G21</f>
        <v>158.14400000000001</v>
      </c>
      <c r="AE21" s="674">
        <f t="shared" si="58"/>
        <v>158.14400000000001</v>
      </c>
      <c r="AF21" s="674">
        <f>3438+748</f>
        <v>4186</v>
      </c>
      <c r="AG21" s="674">
        <f t="shared" si="59"/>
        <v>4186</v>
      </c>
      <c r="AH21" s="674"/>
      <c r="AI21" s="674">
        <f t="shared" si="60"/>
        <v>0</v>
      </c>
      <c r="AJ21" s="706">
        <v>0</v>
      </c>
      <c r="AK21" s="706">
        <f t="shared" si="61"/>
        <v>0</v>
      </c>
      <c r="AL21" s="47">
        <f t="shared" si="62"/>
        <v>60</v>
      </c>
      <c r="AM21" s="674">
        <f t="shared" si="63"/>
        <v>60</v>
      </c>
      <c r="AN21" s="674">
        <f>$AN$8*G21</f>
        <v>3360.56</v>
      </c>
      <c r="AO21" s="674">
        <f t="shared" si="65"/>
        <v>3360.56</v>
      </c>
      <c r="AP21" s="674">
        <v>0</v>
      </c>
      <c r="AQ21" s="674">
        <f t="shared" si="66"/>
        <v>0</v>
      </c>
      <c r="AR21" s="674">
        <f>($AR$6*2*(D21+F21))/1000</f>
        <v>461.7</v>
      </c>
      <c r="AS21" s="674">
        <f t="shared" si="68"/>
        <v>461.7</v>
      </c>
      <c r="AT21" s="674">
        <v>3025</v>
      </c>
      <c r="AU21" s="674">
        <f t="shared" si="69"/>
        <v>3025</v>
      </c>
      <c r="AV21" s="674">
        <f>$AV$8</f>
        <v>1286</v>
      </c>
      <c r="AW21" s="674">
        <f>AV21*H21</f>
        <v>1286</v>
      </c>
      <c r="AX21" s="674">
        <v>0</v>
      </c>
      <c r="AY21" s="674">
        <f t="shared" si="72"/>
        <v>0</v>
      </c>
      <c r="AZ21" s="47">
        <f t="shared" si="73"/>
        <v>0</v>
      </c>
      <c r="BA21" s="674">
        <f t="shared" si="74"/>
        <v>0</v>
      </c>
      <c r="BB21" s="675">
        <f t="shared" si="75"/>
        <v>14693.124</v>
      </c>
      <c r="BC21" s="676">
        <f t="shared" si="76"/>
        <v>14693.124</v>
      </c>
      <c r="BD21" s="677">
        <f t="shared" si="77"/>
        <v>2601.4737960339944</v>
      </c>
      <c r="BE21" s="674">
        <f t="shared" si="78"/>
        <v>176.317488</v>
      </c>
      <c r="BF21" s="674">
        <f t="shared" si="79"/>
        <v>176.317488</v>
      </c>
      <c r="BG21" s="678">
        <f t="shared" si="80"/>
        <v>220.39685999999998</v>
      </c>
      <c r="BH21" s="678">
        <f t="shared" si="81"/>
        <v>220.39685999999998</v>
      </c>
      <c r="BI21" s="678">
        <f t="shared" si="82"/>
        <v>73.465620000000001</v>
      </c>
      <c r="BJ21" s="678">
        <f t="shared" si="83"/>
        <v>73.465620000000001</v>
      </c>
      <c r="BK21" s="678">
        <f t="shared" si="84"/>
        <v>146.93124</v>
      </c>
      <c r="BL21" s="678">
        <f t="shared" si="85"/>
        <v>146.93124</v>
      </c>
      <c r="BM21" s="679">
        <f t="shared" si="86"/>
        <v>0</v>
      </c>
      <c r="BN21" s="680">
        <f t="shared" si="87"/>
        <v>0</v>
      </c>
      <c r="BO21" s="680">
        <f t="shared" si="88"/>
        <v>0</v>
      </c>
      <c r="BP21" s="679">
        <f t="shared" si="89"/>
        <v>0.32</v>
      </c>
      <c r="BQ21" s="681">
        <f t="shared" si="90"/>
        <v>4701.7996800000001</v>
      </c>
      <c r="BR21" s="681">
        <f t="shared" si="91"/>
        <v>4701.7996800000001</v>
      </c>
      <c r="BS21" s="682">
        <f t="shared" si="92"/>
        <v>20012.034888000002</v>
      </c>
      <c r="BT21" s="683">
        <f t="shared" si="93"/>
        <v>20012.034888000002</v>
      </c>
      <c r="BU21" s="684">
        <f t="shared" si="94"/>
        <v>3543.207310198301</v>
      </c>
      <c r="BV21" s="685"/>
    </row>
    <row r="22" spans="1:74" s="686" customFormat="1" ht="36.75" hidden="1" customHeight="1">
      <c r="A22" s="723" t="s">
        <v>212</v>
      </c>
      <c r="B22" s="670" t="s">
        <v>224</v>
      </c>
      <c r="C22" s="670" t="s">
        <v>218</v>
      </c>
      <c r="D22" s="671">
        <v>1600</v>
      </c>
      <c r="E22" s="671"/>
      <c r="F22" s="671">
        <v>3530</v>
      </c>
      <c r="G22" s="672">
        <f t="shared" si="38"/>
        <v>5.6479999999999997</v>
      </c>
      <c r="H22" s="673">
        <v>1</v>
      </c>
      <c r="I22" s="672">
        <f t="shared" si="39"/>
        <v>5.6479999999999997</v>
      </c>
      <c r="J22" s="706"/>
      <c r="K22" s="674">
        <f t="shared" si="40"/>
        <v>0</v>
      </c>
      <c r="L22" s="674">
        <f t="shared" si="41"/>
        <v>0</v>
      </c>
      <c r="M22" s="674">
        <f t="shared" si="42"/>
        <v>0</v>
      </c>
      <c r="N22" s="674">
        <f t="shared" si="43"/>
        <v>0</v>
      </c>
      <c r="O22" s="674">
        <f t="shared" si="44"/>
        <v>0</v>
      </c>
      <c r="P22" s="674">
        <v>0</v>
      </c>
      <c r="Q22" s="674">
        <f t="shared" si="45"/>
        <v>0</v>
      </c>
      <c r="R22" s="674">
        <v>0</v>
      </c>
      <c r="S22" s="674">
        <f t="shared" si="46"/>
        <v>0</v>
      </c>
      <c r="T22" s="674">
        <v>0</v>
      </c>
      <c r="U22" s="674">
        <f t="shared" si="48"/>
        <v>0</v>
      </c>
      <c r="V22" s="674">
        <f t="shared" si="49"/>
        <v>0</v>
      </c>
      <c r="W22" s="674">
        <f t="shared" si="50"/>
        <v>0</v>
      </c>
      <c r="X22" s="47">
        <f t="shared" si="51"/>
        <v>225.72</v>
      </c>
      <c r="Y22" s="674">
        <f t="shared" si="52"/>
        <v>225.72</v>
      </c>
      <c r="Z22" s="674">
        <f t="shared" si="53"/>
        <v>225.72</v>
      </c>
      <c r="AA22" s="674">
        <f t="shared" si="54"/>
        <v>225.72</v>
      </c>
      <c r="AB22" s="674">
        <f t="shared" si="55"/>
        <v>225.72</v>
      </c>
      <c r="AC22" s="674">
        <f t="shared" si="56"/>
        <v>225.72</v>
      </c>
      <c r="AD22" s="47">
        <f>$AD$6*G22</f>
        <v>158.14400000000001</v>
      </c>
      <c r="AE22" s="674">
        <f t="shared" si="58"/>
        <v>158.14400000000001</v>
      </c>
      <c r="AF22" s="674">
        <f>1671+1520+818</f>
        <v>4009</v>
      </c>
      <c r="AG22" s="674">
        <f t="shared" si="59"/>
        <v>4009</v>
      </c>
      <c r="AH22" s="674"/>
      <c r="AI22" s="674">
        <f t="shared" si="60"/>
        <v>0</v>
      </c>
      <c r="AJ22" s="706">
        <v>0</v>
      </c>
      <c r="AK22" s="706">
        <f t="shared" si="61"/>
        <v>0</v>
      </c>
      <c r="AL22" s="47">
        <f t="shared" si="62"/>
        <v>60</v>
      </c>
      <c r="AM22" s="674">
        <f t="shared" si="63"/>
        <v>60</v>
      </c>
      <c r="AN22" s="674">
        <f>$AN$8*G22</f>
        <v>3360.56</v>
      </c>
      <c r="AO22" s="674">
        <f t="shared" si="65"/>
        <v>3360.56</v>
      </c>
      <c r="AP22" s="674">
        <v>0</v>
      </c>
      <c r="AQ22" s="674">
        <f t="shared" si="66"/>
        <v>0</v>
      </c>
      <c r="AR22" s="674">
        <f>($AR$6*2*(D22+F22))/1000</f>
        <v>461.7</v>
      </c>
      <c r="AS22" s="674">
        <f t="shared" si="68"/>
        <v>461.7</v>
      </c>
      <c r="AT22" s="674">
        <v>2035</v>
      </c>
      <c r="AU22" s="674">
        <f t="shared" si="69"/>
        <v>2035</v>
      </c>
      <c r="AV22" s="674">
        <f>$AV$8</f>
        <v>1286</v>
      </c>
      <c r="AW22" s="674">
        <f>AV22*H22</f>
        <v>1286</v>
      </c>
      <c r="AX22" s="674">
        <v>0</v>
      </c>
      <c r="AY22" s="674">
        <f t="shared" si="72"/>
        <v>0</v>
      </c>
      <c r="AZ22" s="47">
        <f t="shared" si="73"/>
        <v>0</v>
      </c>
      <c r="BA22" s="674">
        <f t="shared" si="74"/>
        <v>0</v>
      </c>
      <c r="BB22" s="675">
        <f t="shared" si="75"/>
        <v>11596.124</v>
      </c>
      <c r="BC22" s="676">
        <f t="shared" si="76"/>
        <v>11596.124</v>
      </c>
      <c r="BD22" s="677">
        <f t="shared" si="77"/>
        <v>2053.1381019830028</v>
      </c>
      <c r="BE22" s="674">
        <f t="shared" si="78"/>
        <v>139.15348800000001</v>
      </c>
      <c r="BF22" s="674">
        <f t="shared" si="79"/>
        <v>139.15348800000001</v>
      </c>
      <c r="BG22" s="678">
        <f t="shared" si="80"/>
        <v>173.94185999999999</v>
      </c>
      <c r="BH22" s="678">
        <f t="shared" si="81"/>
        <v>173.94185999999999</v>
      </c>
      <c r="BI22" s="678">
        <f t="shared" si="82"/>
        <v>57.980620000000002</v>
      </c>
      <c r="BJ22" s="678">
        <f t="shared" si="83"/>
        <v>57.980620000000002</v>
      </c>
      <c r="BK22" s="678">
        <f t="shared" si="84"/>
        <v>115.96124</v>
      </c>
      <c r="BL22" s="678">
        <f t="shared" si="85"/>
        <v>115.96124</v>
      </c>
      <c r="BM22" s="679">
        <f t="shared" si="86"/>
        <v>0</v>
      </c>
      <c r="BN22" s="680">
        <f t="shared" si="87"/>
        <v>0</v>
      </c>
      <c r="BO22" s="680">
        <f t="shared" si="88"/>
        <v>0</v>
      </c>
      <c r="BP22" s="679">
        <f t="shared" si="89"/>
        <v>0.32</v>
      </c>
      <c r="BQ22" s="681">
        <f t="shared" si="90"/>
        <v>3710.7596800000001</v>
      </c>
      <c r="BR22" s="681">
        <f t="shared" si="91"/>
        <v>3710.7596800000001</v>
      </c>
      <c r="BS22" s="682">
        <f t="shared" si="92"/>
        <v>15793.920888000001</v>
      </c>
      <c r="BT22" s="683">
        <f t="shared" si="93"/>
        <v>15793.920888000001</v>
      </c>
      <c r="BU22" s="684">
        <f t="shared" si="94"/>
        <v>2796.3740949008502</v>
      </c>
      <c r="BV22" s="685"/>
    </row>
    <row r="23" spans="1:74" ht="19.899999999999999" customHeight="1">
      <c r="A23" s="646"/>
      <c r="B23" s="666" t="s">
        <v>225</v>
      </c>
      <c r="C23" s="666" t="s">
        <v>226</v>
      </c>
      <c r="D23" s="45">
        <v>1300</v>
      </c>
      <c r="E23" s="45"/>
      <c r="F23" s="45">
        <v>2950</v>
      </c>
      <c r="G23" s="46">
        <f t="shared" si="38"/>
        <v>3.835</v>
      </c>
      <c r="H23" s="667">
        <v>11</v>
      </c>
      <c r="I23" s="46">
        <f t="shared" si="39"/>
        <v>42.185000000000002</v>
      </c>
      <c r="J23" s="47"/>
      <c r="K23" s="47">
        <f t="shared" si="40"/>
        <v>0</v>
      </c>
      <c r="L23" s="47">
        <f t="shared" si="41"/>
        <v>0</v>
      </c>
      <c r="M23" s="47">
        <f t="shared" si="42"/>
        <v>0</v>
      </c>
      <c r="N23" s="47">
        <f t="shared" si="43"/>
        <v>0</v>
      </c>
      <c r="O23" s="47">
        <f t="shared" si="44"/>
        <v>0</v>
      </c>
      <c r="P23" s="47">
        <v>0</v>
      </c>
      <c r="Q23" s="47">
        <f t="shared" si="45"/>
        <v>0</v>
      </c>
      <c r="R23" s="47">
        <v>0</v>
      </c>
      <c r="S23" s="47">
        <f t="shared" si="46"/>
        <v>0</v>
      </c>
      <c r="T23" s="47">
        <f>$T$5</f>
        <v>650</v>
      </c>
      <c r="U23" s="47">
        <f t="shared" si="48"/>
        <v>650</v>
      </c>
      <c r="V23" s="47">
        <f t="shared" si="49"/>
        <v>650</v>
      </c>
      <c r="W23" s="47">
        <f t="shared" si="50"/>
        <v>7150</v>
      </c>
      <c r="X23" s="47">
        <f t="shared" si="51"/>
        <v>187</v>
      </c>
      <c r="Y23" s="47">
        <f t="shared" si="52"/>
        <v>187</v>
      </c>
      <c r="Z23" s="47">
        <f t="shared" si="53"/>
        <v>187</v>
      </c>
      <c r="AA23" s="47">
        <f t="shared" si="54"/>
        <v>187</v>
      </c>
      <c r="AB23" s="47">
        <f t="shared" si="55"/>
        <v>187</v>
      </c>
      <c r="AC23" s="47">
        <f t="shared" si="56"/>
        <v>2057</v>
      </c>
      <c r="AD23" s="47">
        <f t="shared" si="57"/>
        <v>57.524999999999999</v>
      </c>
      <c r="AE23" s="47">
        <f t="shared" si="58"/>
        <v>632.77499999999998</v>
      </c>
      <c r="AF23" s="47">
        <v>934</v>
      </c>
      <c r="AG23" s="47">
        <f t="shared" si="59"/>
        <v>10274</v>
      </c>
      <c r="AH23" s="47"/>
      <c r="AI23" s="47">
        <f t="shared" si="60"/>
        <v>0</v>
      </c>
      <c r="AJ23" s="47">
        <v>0</v>
      </c>
      <c r="AK23" s="47">
        <f t="shared" si="61"/>
        <v>0</v>
      </c>
      <c r="AL23" s="47">
        <f t="shared" si="62"/>
        <v>60</v>
      </c>
      <c r="AM23" s="47">
        <f t="shared" si="63"/>
        <v>660</v>
      </c>
      <c r="AN23" s="47">
        <f t="shared" ref="AN23:AN27" si="97">$AN$7*G23</f>
        <v>1035.45</v>
      </c>
      <c r="AO23" s="47">
        <f t="shared" si="65"/>
        <v>11389.95</v>
      </c>
      <c r="AP23" s="47">
        <v>0</v>
      </c>
      <c r="AQ23" s="47">
        <f t="shared" si="66"/>
        <v>0</v>
      </c>
      <c r="AR23" s="47">
        <f t="shared" si="67"/>
        <v>297.5</v>
      </c>
      <c r="AS23" s="47">
        <f t="shared" si="68"/>
        <v>3272.5</v>
      </c>
      <c r="AT23" s="47">
        <f>10285/10</f>
        <v>1028.5</v>
      </c>
      <c r="AU23" s="47">
        <f t="shared" si="69"/>
        <v>11313.5</v>
      </c>
      <c r="AV23" s="47">
        <f t="shared" si="70"/>
        <v>508.13749999999999</v>
      </c>
      <c r="AW23" s="47">
        <f t="shared" si="71"/>
        <v>5589.5124999999998</v>
      </c>
      <c r="AX23" s="47">
        <v>0</v>
      </c>
      <c r="AY23" s="47">
        <f t="shared" si="72"/>
        <v>0</v>
      </c>
      <c r="AZ23" s="47">
        <f t="shared" si="73"/>
        <v>0</v>
      </c>
      <c r="BA23" s="47">
        <f t="shared" si="74"/>
        <v>0</v>
      </c>
      <c r="BB23" s="48">
        <f t="shared" si="75"/>
        <v>4758.1125000000002</v>
      </c>
      <c r="BC23" s="49">
        <f t="shared" si="76"/>
        <v>52339.237500000003</v>
      </c>
      <c r="BD23" s="7">
        <f t="shared" si="77"/>
        <v>1240.7073011734028</v>
      </c>
      <c r="BE23" s="47">
        <f t="shared" si="78"/>
        <v>57.097350000000006</v>
      </c>
      <c r="BF23" s="47">
        <f t="shared" si="79"/>
        <v>628.07085000000006</v>
      </c>
      <c r="BG23" s="50">
        <f t="shared" si="80"/>
        <v>71.371687499999993</v>
      </c>
      <c r="BH23" s="50">
        <f t="shared" si="81"/>
        <v>785.08856249999997</v>
      </c>
      <c r="BI23" s="50">
        <f t="shared" si="82"/>
        <v>23.7905625</v>
      </c>
      <c r="BJ23" s="50">
        <f t="shared" si="83"/>
        <v>261.69618750000001</v>
      </c>
      <c r="BK23" s="50">
        <f t="shared" si="84"/>
        <v>47.581125</v>
      </c>
      <c r="BL23" s="50">
        <f t="shared" si="85"/>
        <v>523.39237500000002</v>
      </c>
      <c r="BM23" s="51">
        <f t="shared" si="86"/>
        <v>0</v>
      </c>
      <c r="BN23" s="52">
        <f t="shared" si="87"/>
        <v>0</v>
      </c>
      <c r="BO23" s="52">
        <f t="shared" si="88"/>
        <v>0</v>
      </c>
      <c r="BP23" s="51">
        <f t="shared" si="89"/>
        <v>0.32</v>
      </c>
      <c r="BQ23" s="53">
        <f t="shared" si="90"/>
        <v>1522.596</v>
      </c>
      <c r="BR23" s="53">
        <f t="shared" si="91"/>
        <v>16748.556</v>
      </c>
      <c r="BS23" s="54">
        <f t="shared" si="92"/>
        <v>6480.5492250000007</v>
      </c>
      <c r="BT23" s="55">
        <f t="shared" si="93"/>
        <v>71286.041475000005</v>
      </c>
      <c r="BU23" s="10">
        <f t="shared" si="94"/>
        <v>1689.8433441981747</v>
      </c>
      <c r="BV23" s="3"/>
    </row>
    <row r="24" spans="1:74" ht="19.899999999999999" customHeight="1">
      <c r="A24" s="646"/>
      <c r="B24" s="666" t="s">
        <v>227</v>
      </c>
      <c r="C24" s="666" t="s">
        <v>228</v>
      </c>
      <c r="D24" s="45">
        <v>1300</v>
      </c>
      <c r="E24" s="45"/>
      <c r="F24" s="45">
        <v>2950</v>
      </c>
      <c r="G24" s="46">
        <f t="shared" si="38"/>
        <v>3.835</v>
      </c>
      <c r="H24" s="667">
        <v>3</v>
      </c>
      <c r="I24" s="46">
        <f t="shared" si="39"/>
        <v>11.504999999999999</v>
      </c>
      <c r="J24" s="47"/>
      <c r="K24" s="47">
        <f t="shared" si="40"/>
        <v>0</v>
      </c>
      <c r="L24" s="47">
        <f t="shared" si="41"/>
        <v>0</v>
      </c>
      <c r="M24" s="47">
        <f t="shared" si="42"/>
        <v>0</v>
      </c>
      <c r="N24" s="47">
        <f t="shared" si="43"/>
        <v>0</v>
      </c>
      <c r="O24" s="47">
        <f t="shared" si="44"/>
        <v>0</v>
      </c>
      <c r="P24" s="47">
        <v>0</v>
      </c>
      <c r="Q24" s="47">
        <f t="shared" si="45"/>
        <v>0</v>
      </c>
      <c r="R24" s="47">
        <v>0</v>
      </c>
      <c r="S24" s="47">
        <f t="shared" si="46"/>
        <v>0</v>
      </c>
      <c r="T24" s="47">
        <f t="shared" ref="T24:T27" si="98">$T$5</f>
        <v>650</v>
      </c>
      <c r="U24" s="47">
        <f t="shared" si="48"/>
        <v>650</v>
      </c>
      <c r="V24" s="47">
        <f t="shared" si="49"/>
        <v>650</v>
      </c>
      <c r="W24" s="47">
        <f t="shared" si="50"/>
        <v>1950</v>
      </c>
      <c r="X24" s="47">
        <f t="shared" si="51"/>
        <v>187</v>
      </c>
      <c r="Y24" s="47">
        <f t="shared" si="52"/>
        <v>187</v>
      </c>
      <c r="Z24" s="47">
        <f t="shared" si="53"/>
        <v>187</v>
      </c>
      <c r="AA24" s="47">
        <f t="shared" si="54"/>
        <v>187</v>
      </c>
      <c r="AB24" s="47">
        <f t="shared" si="55"/>
        <v>187</v>
      </c>
      <c r="AC24" s="47">
        <f t="shared" si="56"/>
        <v>561</v>
      </c>
      <c r="AD24" s="47">
        <f t="shared" si="57"/>
        <v>57.524999999999999</v>
      </c>
      <c r="AE24" s="47">
        <f t="shared" si="58"/>
        <v>172.57499999999999</v>
      </c>
      <c r="AF24" s="47">
        <v>934</v>
      </c>
      <c r="AG24" s="47">
        <f t="shared" si="59"/>
        <v>2802</v>
      </c>
      <c r="AH24" s="47"/>
      <c r="AI24" s="47">
        <f t="shared" si="60"/>
        <v>0</v>
      </c>
      <c r="AJ24" s="47">
        <v>0</v>
      </c>
      <c r="AK24" s="47">
        <f t="shared" si="61"/>
        <v>0</v>
      </c>
      <c r="AL24" s="47">
        <f t="shared" si="62"/>
        <v>60</v>
      </c>
      <c r="AM24" s="47">
        <f t="shared" si="63"/>
        <v>180</v>
      </c>
      <c r="AN24" s="47">
        <f t="shared" si="97"/>
        <v>1035.45</v>
      </c>
      <c r="AO24" s="47">
        <f t="shared" si="65"/>
        <v>3106.3500000000004</v>
      </c>
      <c r="AP24" s="47">
        <v>0</v>
      </c>
      <c r="AQ24" s="47">
        <f t="shared" si="66"/>
        <v>0</v>
      </c>
      <c r="AR24" s="47">
        <f t="shared" si="67"/>
        <v>297.5</v>
      </c>
      <c r="AS24" s="47">
        <f t="shared" si="68"/>
        <v>892.5</v>
      </c>
      <c r="AT24" s="47">
        <f>2805/3</f>
        <v>935</v>
      </c>
      <c r="AU24" s="47">
        <f t="shared" si="69"/>
        <v>2805</v>
      </c>
      <c r="AV24" s="47">
        <f t="shared" si="70"/>
        <v>508.13749999999999</v>
      </c>
      <c r="AW24" s="47">
        <f t="shared" si="71"/>
        <v>1524.4124999999999</v>
      </c>
      <c r="AX24" s="47">
        <v>0</v>
      </c>
      <c r="AY24" s="47">
        <f t="shared" si="72"/>
        <v>0</v>
      </c>
      <c r="AZ24" s="47">
        <f t="shared" si="73"/>
        <v>0</v>
      </c>
      <c r="BA24" s="47">
        <f t="shared" si="74"/>
        <v>0</v>
      </c>
      <c r="BB24" s="48">
        <f t="shared" si="75"/>
        <v>4664.6125000000002</v>
      </c>
      <c r="BC24" s="49">
        <f t="shared" si="76"/>
        <v>13993.8375</v>
      </c>
      <c r="BD24" s="7">
        <f t="shared" si="77"/>
        <v>1216.3265971316819</v>
      </c>
      <c r="BE24" s="47">
        <f t="shared" si="78"/>
        <v>55.975350000000006</v>
      </c>
      <c r="BF24" s="47">
        <f t="shared" si="79"/>
        <v>167.92605</v>
      </c>
      <c r="BG24" s="50">
        <f t="shared" si="80"/>
        <v>69.969187500000004</v>
      </c>
      <c r="BH24" s="50">
        <f t="shared" si="81"/>
        <v>209.90756249999998</v>
      </c>
      <c r="BI24" s="50">
        <f t="shared" si="82"/>
        <v>23.323062500000002</v>
      </c>
      <c r="BJ24" s="50">
        <f t="shared" si="83"/>
        <v>69.969187500000004</v>
      </c>
      <c r="BK24" s="50">
        <f t="shared" si="84"/>
        <v>46.646125000000005</v>
      </c>
      <c r="BL24" s="50">
        <f t="shared" si="85"/>
        <v>139.93837500000001</v>
      </c>
      <c r="BM24" s="51">
        <f t="shared" si="86"/>
        <v>0</v>
      </c>
      <c r="BN24" s="52">
        <f t="shared" si="87"/>
        <v>0</v>
      </c>
      <c r="BO24" s="52">
        <f t="shared" si="88"/>
        <v>0</v>
      </c>
      <c r="BP24" s="51">
        <f t="shared" si="89"/>
        <v>0.32</v>
      </c>
      <c r="BQ24" s="53">
        <f t="shared" si="90"/>
        <v>1492.6760000000002</v>
      </c>
      <c r="BR24" s="53">
        <f t="shared" si="91"/>
        <v>4478.0280000000002</v>
      </c>
      <c r="BS24" s="54">
        <f t="shared" si="92"/>
        <v>6353.202225</v>
      </c>
      <c r="BT24" s="55">
        <f t="shared" si="93"/>
        <v>19059.606675000003</v>
      </c>
      <c r="BU24" s="10">
        <f t="shared" si="94"/>
        <v>1656.6368252933512</v>
      </c>
      <c r="BV24" s="3"/>
    </row>
    <row r="25" spans="1:74" ht="19.899999999999999" customHeight="1">
      <c r="A25" s="646"/>
      <c r="B25" s="666" t="s">
        <v>229</v>
      </c>
      <c r="C25" s="666" t="s">
        <v>230</v>
      </c>
      <c r="D25" s="45">
        <v>1300</v>
      </c>
      <c r="E25" s="45"/>
      <c r="F25" s="45">
        <v>2950</v>
      </c>
      <c r="G25" s="46">
        <f t="shared" si="38"/>
        <v>3.835</v>
      </c>
      <c r="H25" s="667">
        <v>1</v>
      </c>
      <c r="I25" s="46">
        <f t="shared" si="39"/>
        <v>3.835</v>
      </c>
      <c r="J25" s="47"/>
      <c r="K25" s="47">
        <f t="shared" si="40"/>
        <v>0</v>
      </c>
      <c r="L25" s="47">
        <f t="shared" si="41"/>
        <v>0</v>
      </c>
      <c r="M25" s="47">
        <f t="shared" si="42"/>
        <v>0</v>
      </c>
      <c r="N25" s="47">
        <f t="shared" si="43"/>
        <v>0</v>
      </c>
      <c r="O25" s="47">
        <f t="shared" si="44"/>
        <v>0</v>
      </c>
      <c r="P25" s="47">
        <v>0</v>
      </c>
      <c r="Q25" s="47">
        <f t="shared" si="45"/>
        <v>0</v>
      </c>
      <c r="R25" s="47">
        <v>0</v>
      </c>
      <c r="S25" s="47">
        <f t="shared" si="46"/>
        <v>0</v>
      </c>
      <c r="T25" s="47">
        <f t="shared" si="98"/>
        <v>650</v>
      </c>
      <c r="U25" s="47">
        <f t="shared" si="48"/>
        <v>650</v>
      </c>
      <c r="V25" s="47">
        <f t="shared" si="49"/>
        <v>650</v>
      </c>
      <c r="W25" s="47">
        <f t="shared" si="50"/>
        <v>650</v>
      </c>
      <c r="X25" s="47">
        <f t="shared" si="51"/>
        <v>187</v>
      </c>
      <c r="Y25" s="47">
        <f t="shared" si="52"/>
        <v>187</v>
      </c>
      <c r="Z25" s="47">
        <f t="shared" si="53"/>
        <v>187</v>
      </c>
      <c r="AA25" s="47">
        <f t="shared" si="54"/>
        <v>187</v>
      </c>
      <c r="AB25" s="47">
        <f t="shared" si="55"/>
        <v>187</v>
      </c>
      <c r="AC25" s="47">
        <f t="shared" si="56"/>
        <v>187</v>
      </c>
      <c r="AD25" s="47">
        <f t="shared" si="57"/>
        <v>57.524999999999999</v>
      </c>
      <c r="AE25" s="47">
        <f t="shared" si="58"/>
        <v>57.524999999999999</v>
      </c>
      <c r="AF25" s="47">
        <v>934</v>
      </c>
      <c r="AG25" s="47">
        <f t="shared" si="59"/>
        <v>934</v>
      </c>
      <c r="AH25" s="47"/>
      <c r="AI25" s="47">
        <f t="shared" si="60"/>
        <v>0</v>
      </c>
      <c r="AJ25" s="47">
        <v>0</v>
      </c>
      <c r="AK25" s="47">
        <f t="shared" si="61"/>
        <v>0</v>
      </c>
      <c r="AL25" s="47">
        <f t="shared" si="62"/>
        <v>60</v>
      </c>
      <c r="AM25" s="47">
        <f t="shared" si="63"/>
        <v>60</v>
      </c>
      <c r="AN25" s="47">
        <f t="shared" si="97"/>
        <v>1035.45</v>
      </c>
      <c r="AO25" s="47">
        <f t="shared" si="65"/>
        <v>1035.45</v>
      </c>
      <c r="AP25" s="47">
        <v>0</v>
      </c>
      <c r="AQ25" s="47">
        <f t="shared" si="66"/>
        <v>0</v>
      </c>
      <c r="AR25" s="47">
        <f t="shared" si="67"/>
        <v>297.5</v>
      </c>
      <c r="AS25" s="47">
        <f t="shared" si="68"/>
        <v>297.5</v>
      </c>
      <c r="AT25" s="47">
        <v>935</v>
      </c>
      <c r="AU25" s="47">
        <f t="shared" si="69"/>
        <v>935</v>
      </c>
      <c r="AV25" s="47">
        <f t="shared" si="70"/>
        <v>508.13749999999999</v>
      </c>
      <c r="AW25" s="47">
        <f t="shared" si="71"/>
        <v>508.13749999999999</v>
      </c>
      <c r="AX25" s="47">
        <v>0</v>
      </c>
      <c r="AY25" s="47">
        <f t="shared" si="72"/>
        <v>0</v>
      </c>
      <c r="AZ25" s="47">
        <f t="shared" si="73"/>
        <v>0</v>
      </c>
      <c r="BA25" s="47">
        <f t="shared" si="74"/>
        <v>0</v>
      </c>
      <c r="BB25" s="48">
        <f t="shared" si="75"/>
        <v>4664.6125000000002</v>
      </c>
      <c r="BC25" s="49">
        <f t="shared" si="76"/>
        <v>4664.6125000000002</v>
      </c>
      <c r="BD25" s="7">
        <f t="shared" si="77"/>
        <v>1216.3265971316819</v>
      </c>
      <c r="BE25" s="47">
        <f t="shared" si="78"/>
        <v>55.975350000000006</v>
      </c>
      <c r="BF25" s="47">
        <f t="shared" si="79"/>
        <v>55.975350000000006</v>
      </c>
      <c r="BG25" s="50">
        <f t="shared" si="80"/>
        <v>69.969187500000004</v>
      </c>
      <c r="BH25" s="50">
        <f t="shared" si="81"/>
        <v>69.969187500000004</v>
      </c>
      <c r="BI25" s="50">
        <f t="shared" si="82"/>
        <v>23.323062500000002</v>
      </c>
      <c r="BJ25" s="50">
        <f t="shared" si="83"/>
        <v>23.323062500000002</v>
      </c>
      <c r="BK25" s="50">
        <f t="shared" si="84"/>
        <v>46.646125000000005</v>
      </c>
      <c r="BL25" s="50">
        <f t="shared" si="85"/>
        <v>46.646125000000005</v>
      </c>
      <c r="BM25" s="51">
        <f t="shared" si="86"/>
        <v>0</v>
      </c>
      <c r="BN25" s="52">
        <f t="shared" si="87"/>
        <v>0</v>
      </c>
      <c r="BO25" s="52">
        <f t="shared" si="88"/>
        <v>0</v>
      </c>
      <c r="BP25" s="51">
        <f t="shared" si="89"/>
        <v>0.32</v>
      </c>
      <c r="BQ25" s="53">
        <f t="shared" si="90"/>
        <v>1492.6760000000002</v>
      </c>
      <c r="BR25" s="53">
        <f t="shared" si="91"/>
        <v>1492.6760000000002</v>
      </c>
      <c r="BS25" s="54">
        <f t="shared" si="92"/>
        <v>6353.202225</v>
      </c>
      <c r="BT25" s="55">
        <f t="shared" si="93"/>
        <v>6353.202225</v>
      </c>
      <c r="BU25" s="10">
        <f t="shared" si="94"/>
        <v>1656.6368252933507</v>
      </c>
      <c r="BV25" s="3"/>
    </row>
    <row r="26" spans="1:74" ht="19.899999999999999" customHeight="1">
      <c r="A26" s="646"/>
      <c r="B26" s="666" t="s">
        <v>231</v>
      </c>
      <c r="C26" s="666" t="s">
        <v>232</v>
      </c>
      <c r="D26" s="45">
        <v>1200</v>
      </c>
      <c r="E26" s="45"/>
      <c r="F26" s="45">
        <v>1420</v>
      </c>
      <c r="G26" s="46">
        <f t="shared" si="38"/>
        <v>1.704</v>
      </c>
      <c r="H26" s="667">
        <v>3</v>
      </c>
      <c r="I26" s="46">
        <f t="shared" si="39"/>
        <v>5.1120000000000001</v>
      </c>
      <c r="J26" s="47"/>
      <c r="K26" s="47">
        <f t="shared" si="40"/>
        <v>0</v>
      </c>
      <c r="L26" s="47">
        <f t="shared" si="41"/>
        <v>0</v>
      </c>
      <c r="M26" s="47">
        <f t="shared" si="42"/>
        <v>0</v>
      </c>
      <c r="N26" s="47">
        <f t="shared" si="43"/>
        <v>0</v>
      </c>
      <c r="O26" s="47">
        <f t="shared" si="44"/>
        <v>0</v>
      </c>
      <c r="P26" s="47">
        <v>0</v>
      </c>
      <c r="Q26" s="47">
        <f t="shared" si="45"/>
        <v>0</v>
      </c>
      <c r="R26" s="47">
        <v>0</v>
      </c>
      <c r="S26" s="47">
        <f t="shared" si="46"/>
        <v>0</v>
      </c>
      <c r="T26" s="47">
        <f t="shared" si="98"/>
        <v>650</v>
      </c>
      <c r="U26" s="47">
        <f t="shared" si="48"/>
        <v>650</v>
      </c>
      <c r="V26" s="47">
        <f t="shared" si="49"/>
        <v>650</v>
      </c>
      <c r="W26" s="47">
        <f t="shared" si="50"/>
        <v>1950</v>
      </c>
      <c r="X26" s="47">
        <f t="shared" si="51"/>
        <v>115.28</v>
      </c>
      <c r="Y26" s="47">
        <f t="shared" si="52"/>
        <v>115.28</v>
      </c>
      <c r="Z26" s="47">
        <f t="shared" si="53"/>
        <v>115.28</v>
      </c>
      <c r="AA26" s="47">
        <f t="shared" si="54"/>
        <v>115.28</v>
      </c>
      <c r="AB26" s="47">
        <f t="shared" si="55"/>
        <v>115.28</v>
      </c>
      <c r="AC26" s="47">
        <f t="shared" si="56"/>
        <v>345.84000000000003</v>
      </c>
      <c r="AD26" s="47">
        <f t="shared" si="57"/>
        <v>25.56</v>
      </c>
      <c r="AE26" s="47">
        <f t="shared" si="58"/>
        <v>76.679999999999993</v>
      </c>
      <c r="AF26" s="47">
        <v>576</v>
      </c>
      <c r="AG26" s="47">
        <f t="shared" si="59"/>
        <v>1728</v>
      </c>
      <c r="AH26" s="47"/>
      <c r="AI26" s="47">
        <f t="shared" si="60"/>
        <v>0</v>
      </c>
      <c r="AJ26" s="47">
        <v>0</v>
      </c>
      <c r="AK26" s="47">
        <f t="shared" si="61"/>
        <v>0</v>
      </c>
      <c r="AL26" s="47">
        <f t="shared" si="62"/>
        <v>60</v>
      </c>
      <c r="AM26" s="47">
        <f t="shared" si="63"/>
        <v>180</v>
      </c>
      <c r="AN26" s="47">
        <f t="shared" si="97"/>
        <v>460.08</v>
      </c>
      <c r="AO26" s="47">
        <f t="shared" si="65"/>
        <v>1380.24</v>
      </c>
      <c r="AP26" s="47">
        <v>0</v>
      </c>
      <c r="AQ26" s="47">
        <f t="shared" si="66"/>
        <v>0</v>
      </c>
      <c r="AR26" s="47">
        <f t="shared" si="67"/>
        <v>183.4</v>
      </c>
      <c r="AS26" s="47">
        <f t="shared" si="68"/>
        <v>550.20000000000005</v>
      </c>
      <c r="AT26" s="47">
        <f>2475/3</f>
        <v>825</v>
      </c>
      <c r="AU26" s="47">
        <f t="shared" si="69"/>
        <v>2475</v>
      </c>
      <c r="AV26" s="47">
        <f t="shared" si="70"/>
        <v>225.78</v>
      </c>
      <c r="AW26" s="47">
        <f t="shared" si="71"/>
        <v>677.34</v>
      </c>
      <c r="AX26" s="47">
        <v>0</v>
      </c>
      <c r="AY26" s="47">
        <f t="shared" si="72"/>
        <v>0</v>
      </c>
      <c r="AZ26" s="47">
        <f t="shared" si="73"/>
        <v>0</v>
      </c>
      <c r="BA26" s="47">
        <f t="shared" si="74"/>
        <v>0</v>
      </c>
      <c r="BB26" s="48">
        <f t="shared" si="75"/>
        <v>3121.1</v>
      </c>
      <c r="BC26" s="49">
        <f t="shared" si="76"/>
        <v>9363.2999999999993</v>
      </c>
      <c r="BD26" s="7">
        <f t="shared" si="77"/>
        <v>1831.6314553990608</v>
      </c>
      <c r="BE26" s="47">
        <f t="shared" si="78"/>
        <v>37.453200000000002</v>
      </c>
      <c r="BF26" s="47">
        <f t="shared" si="79"/>
        <v>112.3596</v>
      </c>
      <c r="BG26" s="50">
        <f t="shared" si="80"/>
        <v>46.816499999999998</v>
      </c>
      <c r="BH26" s="50">
        <f t="shared" si="81"/>
        <v>140.44949999999997</v>
      </c>
      <c r="BI26" s="50">
        <f t="shared" si="82"/>
        <v>15.605499999999999</v>
      </c>
      <c r="BJ26" s="50">
        <f t="shared" si="83"/>
        <v>46.816499999999998</v>
      </c>
      <c r="BK26" s="50">
        <f t="shared" si="84"/>
        <v>31.210999999999999</v>
      </c>
      <c r="BL26" s="50">
        <f t="shared" si="85"/>
        <v>93.632999999999996</v>
      </c>
      <c r="BM26" s="51">
        <f t="shared" si="86"/>
        <v>0</v>
      </c>
      <c r="BN26" s="52">
        <f t="shared" si="87"/>
        <v>0</v>
      </c>
      <c r="BO26" s="52">
        <f t="shared" si="88"/>
        <v>0</v>
      </c>
      <c r="BP26" s="51">
        <f t="shared" si="89"/>
        <v>0.32</v>
      </c>
      <c r="BQ26" s="53">
        <f t="shared" si="90"/>
        <v>998.75199999999995</v>
      </c>
      <c r="BR26" s="53">
        <f t="shared" si="91"/>
        <v>2996.2559999999999</v>
      </c>
      <c r="BS26" s="54">
        <f t="shared" si="92"/>
        <v>4250.9381999999996</v>
      </c>
      <c r="BT26" s="55">
        <f t="shared" si="93"/>
        <v>12752.8146</v>
      </c>
      <c r="BU26" s="10">
        <f t="shared" si="94"/>
        <v>2494.6820422535211</v>
      </c>
      <c r="BV26" s="3"/>
    </row>
    <row r="27" spans="1:74" ht="19.899999999999999" customHeight="1">
      <c r="A27" s="646"/>
      <c r="B27" s="666" t="s">
        <v>233</v>
      </c>
      <c r="C27" s="666" t="s">
        <v>232</v>
      </c>
      <c r="D27" s="45">
        <v>1200</v>
      </c>
      <c r="E27" s="45"/>
      <c r="F27" s="45">
        <v>1420</v>
      </c>
      <c r="G27" s="46">
        <f t="shared" si="38"/>
        <v>1.704</v>
      </c>
      <c r="H27" s="667">
        <v>2</v>
      </c>
      <c r="I27" s="46">
        <f t="shared" si="39"/>
        <v>3.4079999999999999</v>
      </c>
      <c r="J27" s="47"/>
      <c r="K27" s="47">
        <f t="shared" si="40"/>
        <v>0</v>
      </c>
      <c r="L27" s="47">
        <f t="shared" si="41"/>
        <v>0</v>
      </c>
      <c r="M27" s="47">
        <f t="shared" si="42"/>
        <v>0</v>
      </c>
      <c r="N27" s="47">
        <f t="shared" si="43"/>
        <v>0</v>
      </c>
      <c r="O27" s="47">
        <f t="shared" si="44"/>
        <v>0</v>
      </c>
      <c r="P27" s="47">
        <v>0</v>
      </c>
      <c r="Q27" s="47">
        <f t="shared" si="45"/>
        <v>0</v>
      </c>
      <c r="R27" s="47">
        <v>0</v>
      </c>
      <c r="S27" s="47">
        <f t="shared" si="46"/>
        <v>0</v>
      </c>
      <c r="T27" s="47">
        <f t="shared" si="98"/>
        <v>650</v>
      </c>
      <c r="U27" s="47">
        <f t="shared" si="48"/>
        <v>650</v>
      </c>
      <c r="V27" s="47">
        <f t="shared" si="49"/>
        <v>650</v>
      </c>
      <c r="W27" s="47">
        <f t="shared" si="50"/>
        <v>1300</v>
      </c>
      <c r="X27" s="47">
        <f t="shared" si="51"/>
        <v>115.28</v>
      </c>
      <c r="Y27" s="47">
        <f t="shared" si="52"/>
        <v>115.28</v>
      </c>
      <c r="Z27" s="47">
        <f t="shared" si="53"/>
        <v>115.28</v>
      </c>
      <c r="AA27" s="47">
        <f t="shared" si="54"/>
        <v>115.28</v>
      </c>
      <c r="AB27" s="47">
        <f t="shared" si="55"/>
        <v>115.28</v>
      </c>
      <c r="AC27" s="47">
        <f t="shared" si="56"/>
        <v>230.56</v>
      </c>
      <c r="AD27" s="47">
        <f t="shared" si="57"/>
        <v>25.56</v>
      </c>
      <c r="AE27" s="47">
        <f t="shared" si="58"/>
        <v>51.12</v>
      </c>
      <c r="AF27" s="47">
        <v>576</v>
      </c>
      <c r="AG27" s="47">
        <f t="shared" si="59"/>
        <v>1152</v>
      </c>
      <c r="AH27" s="47"/>
      <c r="AI27" s="47">
        <f t="shared" si="60"/>
        <v>0</v>
      </c>
      <c r="AJ27" s="47">
        <v>0</v>
      </c>
      <c r="AK27" s="47">
        <f t="shared" si="61"/>
        <v>0</v>
      </c>
      <c r="AL27" s="47">
        <f t="shared" si="62"/>
        <v>60</v>
      </c>
      <c r="AM27" s="47">
        <f t="shared" si="63"/>
        <v>120</v>
      </c>
      <c r="AN27" s="47">
        <f t="shared" si="97"/>
        <v>460.08</v>
      </c>
      <c r="AO27" s="47">
        <f t="shared" si="65"/>
        <v>920.16</v>
      </c>
      <c r="AP27" s="47">
        <v>0</v>
      </c>
      <c r="AQ27" s="47">
        <f t="shared" si="66"/>
        <v>0</v>
      </c>
      <c r="AR27" s="47">
        <f t="shared" si="67"/>
        <v>183.4</v>
      </c>
      <c r="AS27" s="47">
        <f t="shared" si="68"/>
        <v>366.8</v>
      </c>
      <c r="AT27" s="47">
        <f>1650/2</f>
        <v>825</v>
      </c>
      <c r="AU27" s="47">
        <f t="shared" si="69"/>
        <v>1650</v>
      </c>
      <c r="AV27" s="47">
        <f t="shared" si="70"/>
        <v>225.78</v>
      </c>
      <c r="AW27" s="47">
        <f t="shared" si="71"/>
        <v>451.56</v>
      </c>
      <c r="AX27" s="47">
        <v>0</v>
      </c>
      <c r="AY27" s="47">
        <f t="shared" si="72"/>
        <v>0</v>
      </c>
      <c r="AZ27" s="47">
        <f t="shared" si="73"/>
        <v>0</v>
      </c>
      <c r="BA27" s="47">
        <f t="shared" si="74"/>
        <v>0</v>
      </c>
      <c r="BB27" s="48">
        <f t="shared" si="75"/>
        <v>3121.1</v>
      </c>
      <c r="BC27" s="49">
        <f t="shared" si="76"/>
        <v>6242.2</v>
      </c>
      <c r="BD27" s="7">
        <f t="shared" si="77"/>
        <v>1831.631455399061</v>
      </c>
      <c r="BE27" s="47">
        <f t="shared" si="78"/>
        <v>37.453200000000002</v>
      </c>
      <c r="BF27" s="47">
        <f t="shared" si="79"/>
        <v>74.906400000000005</v>
      </c>
      <c r="BG27" s="50">
        <f t="shared" si="80"/>
        <v>46.816499999999998</v>
      </c>
      <c r="BH27" s="50">
        <f t="shared" si="81"/>
        <v>93.632999999999996</v>
      </c>
      <c r="BI27" s="50">
        <f t="shared" si="82"/>
        <v>15.605499999999999</v>
      </c>
      <c r="BJ27" s="50">
        <f t="shared" si="83"/>
        <v>31.210999999999999</v>
      </c>
      <c r="BK27" s="50">
        <f t="shared" si="84"/>
        <v>31.210999999999999</v>
      </c>
      <c r="BL27" s="50">
        <f t="shared" si="85"/>
        <v>62.421999999999997</v>
      </c>
      <c r="BM27" s="51">
        <f t="shared" si="86"/>
        <v>0</v>
      </c>
      <c r="BN27" s="52">
        <f t="shared" si="87"/>
        <v>0</v>
      </c>
      <c r="BO27" s="52">
        <f t="shared" si="88"/>
        <v>0</v>
      </c>
      <c r="BP27" s="51">
        <f t="shared" si="89"/>
        <v>0.32</v>
      </c>
      <c r="BQ27" s="53">
        <f t="shared" si="90"/>
        <v>998.75199999999995</v>
      </c>
      <c r="BR27" s="53">
        <f t="shared" si="91"/>
        <v>1997.5039999999999</v>
      </c>
      <c r="BS27" s="54">
        <f t="shared" si="92"/>
        <v>4250.9381999999996</v>
      </c>
      <c r="BT27" s="55">
        <f t="shared" si="93"/>
        <v>8501.8763999999992</v>
      </c>
      <c r="BU27" s="10">
        <f t="shared" si="94"/>
        <v>2494.6820422535211</v>
      </c>
      <c r="BV27" s="3"/>
    </row>
    <row r="28" spans="1:74" s="705" customFormat="1" ht="11.65">
      <c r="A28" s="687"/>
      <c r="B28" s="688"/>
      <c r="C28" s="689" t="s">
        <v>234</v>
      </c>
      <c r="D28" s="690"/>
      <c r="E28" s="691"/>
      <c r="F28" s="692"/>
      <c r="G28" s="693">
        <f t="shared" si="38"/>
        <v>0</v>
      </c>
      <c r="H28" s="691"/>
      <c r="I28" s="693">
        <f t="shared" si="39"/>
        <v>0</v>
      </c>
      <c r="J28" s="694">
        <v>0</v>
      </c>
      <c r="K28" s="694">
        <f t="shared" si="40"/>
        <v>0</v>
      </c>
      <c r="L28" s="694">
        <f t="shared" si="41"/>
        <v>0</v>
      </c>
      <c r="M28" s="694">
        <f t="shared" si="42"/>
        <v>0</v>
      </c>
      <c r="N28" s="694">
        <f t="shared" si="43"/>
        <v>0</v>
      </c>
      <c r="O28" s="694">
        <f t="shared" si="44"/>
        <v>0</v>
      </c>
      <c r="P28" s="694">
        <v>0</v>
      </c>
      <c r="Q28" s="694">
        <f t="shared" si="45"/>
        <v>0</v>
      </c>
      <c r="R28" s="694">
        <v>0</v>
      </c>
      <c r="S28" s="694">
        <f t="shared" si="46"/>
        <v>0</v>
      </c>
      <c r="T28" s="694">
        <v>0</v>
      </c>
      <c r="U28" s="694">
        <f t="shared" si="48"/>
        <v>0</v>
      </c>
      <c r="V28" s="694">
        <f t="shared" si="49"/>
        <v>0</v>
      </c>
      <c r="W28" s="694">
        <f t="shared" si="50"/>
        <v>0</v>
      </c>
      <c r="X28" s="47">
        <f t="shared" si="51"/>
        <v>0</v>
      </c>
      <c r="Y28" s="694">
        <f t="shared" si="52"/>
        <v>0</v>
      </c>
      <c r="Z28" s="694">
        <f t="shared" si="53"/>
        <v>0</v>
      </c>
      <c r="AA28" s="694">
        <f t="shared" si="54"/>
        <v>0</v>
      </c>
      <c r="AB28" s="694">
        <f t="shared" si="55"/>
        <v>0</v>
      </c>
      <c r="AC28" s="694">
        <f t="shared" si="56"/>
        <v>0</v>
      </c>
      <c r="AD28" s="47">
        <f t="shared" si="57"/>
        <v>0</v>
      </c>
      <c r="AE28" s="694">
        <f t="shared" si="58"/>
        <v>0</v>
      </c>
      <c r="AF28" s="694">
        <v>0</v>
      </c>
      <c r="AG28" s="694">
        <f t="shared" si="59"/>
        <v>0</v>
      </c>
      <c r="AH28" s="694"/>
      <c r="AI28" s="694">
        <f t="shared" si="60"/>
        <v>0</v>
      </c>
      <c r="AJ28" s="694">
        <v>0</v>
      </c>
      <c r="AK28" s="694">
        <f t="shared" si="61"/>
        <v>0</v>
      </c>
      <c r="AL28" s="47">
        <f t="shared" si="62"/>
        <v>60</v>
      </c>
      <c r="AM28" s="694">
        <f t="shared" si="63"/>
        <v>0</v>
      </c>
      <c r="AN28" s="694">
        <v>0</v>
      </c>
      <c r="AO28" s="694">
        <f t="shared" si="65"/>
        <v>0</v>
      </c>
      <c r="AP28" s="694">
        <v>0</v>
      </c>
      <c r="AQ28" s="694">
        <f t="shared" si="66"/>
        <v>0</v>
      </c>
      <c r="AR28" s="694">
        <f t="shared" si="67"/>
        <v>0</v>
      </c>
      <c r="AS28" s="694">
        <f t="shared" si="68"/>
        <v>0</v>
      </c>
      <c r="AT28" s="694">
        <v>0</v>
      </c>
      <c r="AU28" s="694">
        <f t="shared" si="69"/>
        <v>0</v>
      </c>
      <c r="AV28" s="694">
        <v>0</v>
      </c>
      <c r="AW28" s="694">
        <f t="shared" si="71"/>
        <v>0</v>
      </c>
      <c r="AX28" s="694">
        <v>0</v>
      </c>
      <c r="AY28" s="694">
        <f t="shared" si="72"/>
        <v>0</v>
      </c>
      <c r="AZ28" s="47">
        <f t="shared" si="73"/>
        <v>0</v>
      </c>
      <c r="BA28" s="694">
        <f t="shared" si="74"/>
        <v>0</v>
      </c>
      <c r="BB28" s="695">
        <f t="shared" si="75"/>
        <v>60</v>
      </c>
      <c r="BC28" s="696">
        <f t="shared" si="76"/>
        <v>0</v>
      </c>
      <c r="BD28" s="691" t="e">
        <f t="shared" si="77"/>
        <v>#DIV/0!</v>
      </c>
      <c r="BE28" s="694">
        <f t="shared" si="78"/>
        <v>0.72</v>
      </c>
      <c r="BF28" s="694">
        <f t="shared" si="79"/>
        <v>0</v>
      </c>
      <c r="BG28" s="697">
        <f t="shared" si="80"/>
        <v>0.89999999999999991</v>
      </c>
      <c r="BH28" s="697">
        <f t="shared" si="81"/>
        <v>0</v>
      </c>
      <c r="BI28" s="697">
        <f t="shared" si="82"/>
        <v>0.3</v>
      </c>
      <c r="BJ28" s="697">
        <f t="shared" si="83"/>
        <v>0</v>
      </c>
      <c r="BK28" s="697">
        <f t="shared" si="84"/>
        <v>0.6</v>
      </c>
      <c r="BL28" s="697">
        <f t="shared" si="85"/>
        <v>0</v>
      </c>
      <c r="BM28" s="698">
        <f t="shared" si="86"/>
        <v>0</v>
      </c>
      <c r="BN28" s="699">
        <f t="shared" si="87"/>
        <v>0</v>
      </c>
      <c r="BO28" s="699">
        <f t="shared" si="88"/>
        <v>0</v>
      </c>
      <c r="BP28" s="698">
        <f t="shared" si="89"/>
        <v>0.32</v>
      </c>
      <c r="BQ28" s="700">
        <f t="shared" si="90"/>
        <v>19.2</v>
      </c>
      <c r="BR28" s="700">
        <f t="shared" si="91"/>
        <v>0</v>
      </c>
      <c r="BS28" s="701">
        <f t="shared" si="92"/>
        <v>81.72</v>
      </c>
      <c r="BT28" s="702">
        <f t="shared" si="93"/>
        <v>0</v>
      </c>
      <c r="BU28" s="703" t="e">
        <f t="shared" si="94"/>
        <v>#DIV/0!</v>
      </c>
      <c r="BV28" s="704"/>
    </row>
    <row r="29" spans="1:74" ht="28.35" customHeight="1">
      <c r="A29" s="646"/>
      <c r="B29" s="666" t="s">
        <v>235</v>
      </c>
      <c r="C29" s="666" t="s">
        <v>236</v>
      </c>
      <c r="D29" s="45">
        <v>3000</v>
      </c>
      <c r="E29" s="45"/>
      <c r="F29" s="45">
        <v>5900</v>
      </c>
      <c r="G29" s="46">
        <f t="shared" si="38"/>
        <v>17.7</v>
      </c>
      <c r="H29" s="667">
        <v>1</v>
      </c>
      <c r="I29" s="46">
        <f t="shared" si="39"/>
        <v>17.7</v>
      </c>
      <c r="J29" s="47">
        <v>0</v>
      </c>
      <c r="K29" s="47">
        <f t="shared" si="40"/>
        <v>0</v>
      </c>
      <c r="L29" s="47">
        <f t="shared" si="41"/>
        <v>0</v>
      </c>
      <c r="M29" s="47">
        <f t="shared" si="42"/>
        <v>0</v>
      </c>
      <c r="N29" s="47">
        <f t="shared" si="43"/>
        <v>0</v>
      </c>
      <c r="O29" s="47">
        <f t="shared" si="44"/>
        <v>0</v>
      </c>
      <c r="P29" s="47">
        <v>0</v>
      </c>
      <c r="Q29" s="47">
        <f t="shared" si="45"/>
        <v>0</v>
      </c>
      <c r="R29" s="47">
        <v>0</v>
      </c>
      <c r="S29" s="47">
        <f t="shared" si="46"/>
        <v>0</v>
      </c>
      <c r="T29" s="47">
        <f>$T$5</f>
        <v>650</v>
      </c>
      <c r="U29" s="47">
        <f t="shared" si="48"/>
        <v>650</v>
      </c>
      <c r="V29" s="47">
        <f t="shared" si="49"/>
        <v>650</v>
      </c>
      <c r="W29" s="47">
        <f t="shared" si="50"/>
        <v>650</v>
      </c>
      <c r="X29" s="47">
        <f t="shared" si="51"/>
        <v>391.6</v>
      </c>
      <c r="Y29" s="47">
        <f t="shared" si="52"/>
        <v>391.6</v>
      </c>
      <c r="Z29" s="47">
        <f t="shared" si="53"/>
        <v>391.6</v>
      </c>
      <c r="AA29" s="47">
        <f t="shared" si="54"/>
        <v>391.6</v>
      </c>
      <c r="AB29" s="47">
        <f t="shared" si="55"/>
        <v>391.6</v>
      </c>
      <c r="AC29" s="47">
        <f t="shared" si="56"/>
        <v>391.6</v>
      </c>
      <c r="AD29" s="47">
        <f t="shared" si="57"/>
        <v>265.5</v>
      </c>
      <c r="AE29" s="47">
        <f t="shared" si="58"/>
        <v>265.5</v>
      </c>
      <c r="AF29" s="47">
        <v>0</v>
      </c>
      <c r="AG29" s="47">
        <f t="shared" si="59"/>
        <v>0</v>
      </c>
      <c r="AH29" s="47">
        <f>$AH$5*G29</f>
        <v>6060.4800000000005</v>
      </c>
      <c r="AI29" s="47">
        <f t="shared" si="60"/>
        <v>6060.4800000000005</v>
      </c>
      <c r="AJ29" s="47">
        <v>6480</v>
      </c>
      <c r="AK29" s="47">
        <f>AJ29*H29</f>
        <v>6480</v>
      </c>
      <c r="AL29" s="47">
        <f t="shared" si="62"/>
        <v>60</v>
      </c>
      <c r="AM29" s="47">
        <f t="shared" si="63"/>
        <v>60</v>
      </c>
      <c r="AN29" s="47">
        <f>$AN$7*G29</f>
        <v>4779</v>
      </c>
      <c r="AO29" s="47">
        <f t="shared" si="65"/>
        <v>4779</v>
      </c>
      <c r="AP29" s="47">
        <v>0</v>
      </c>
      <c r="AQ29" s="47">
        <f t="shared" si="66"/>
        <v>0</v>
      </c>
      <c r="AR29" s="47">
        <f t="shared" si="67"/>
        <v>623</v>
      </c>
      <c r="AS29" s="47">
        <f t="shared" si="68"/>
        <v>623</v>
      </c>
      <c r="AT29" s="47">
        <v>0</v>
      </c>
      <c r="AU29" s="47">
        <f t="shared" si="69"/>
        <v>0</v>
      </c>
      <c r="AV29" s="47">
        <f>$AV$7*G29</f>
        <v>4141.8</v>
      </c>
      <c r="AW29" s="47">
        <f t="shared" si="71"/>
        <v>4141.8</v>
      </c>
      <c r="AX29" s="47">
        <v>0</v>
      </c>
      <c r="AY29" s="47">
        <f t="shared" si="72"/>
        <v>0</v>
      </c>
      <c r="AZ29" s="47">
        <f t="shared" si="73"/>
        <v>0</v>
      </c>
      <c r="BA29" s="47">
        <f t="shared" si="74"/>
        <v>0</v>
      </c>
      <c r="BB29" s="48">
        <f t="shared" si="75"/>
        <v>23451.38</v>
      </c>
      <c r="BC29" s="49">
        <f t="shared" si="76"/>
        <v>23451.38</v>
      </c>
      <c r="BD29" s="7">
        <f t="shared" si="77"/>
        <v>1324.9367231638419</v>
      </c>
      <c r="BE29" s="47">
        <f t="shared" si="78"/>
        <v>281.41656</v>
      </c>
      <c r="BF29" s="47">
        <f t="shared" si="79"/>
        <v>281.41656</v>
      </c>
      <c r="BG29" s="50">
        <f t="shared" si="80"/>
        <v>351.77069999999998</v>
      </c>
      <c r="BH29" s="50">
        <f t="shared" si="81"/>
        <v>351.77069999999998</v>
      </c>
      <c r="BI29" s="50">
        <f t="shared" si="82"/>
        <v>117.2569</v>
      </c>
      <c r="BJ29" s="50">
        <f t="shared" si="83"/>
        <v>117.2569</v>
      </c>
      <c r="BK29" s="50">
        <f t="shared" si="84"/>
        <v>234.5138</v>
      </c>
      <c r="BL29" s="50">
        <f t="shared" si="85"/>
        <v>234.5138</v>
      </c>
      <c r="BM29" s="51">
        <f t="shared" si="86"/>
        <v>0</v>
      </c>
      <c r="BN29" s="52">
        <f t="shared" si="87"/>
        <v>0</v>
      </c>
      <c r="BO29" s="52">
        <f t="shared" si="88"/>
        <v>0</v>
      </c>
      <c r="BP29" s="51">
        <f t="shared" si="89"/>
        <v>0.32</v>
      </c>
      <c r="BQ29" s="53">
        <f t="shared" si="90"/>
        <v>7504.4416000000001</v>
      </c>
      <c r="BR29" s="53">
        <f t="shared" si="91"/>
        <v>7504.4416000000001</v>
      </c>
      <c r="BS29" s="54">
        <f t="shared" si="92"/>
        <v>31940.779560000003</v>
      </c>
      <c r="BT29" s="55">
        <f t="shared" si="93"/>
        <v>31940.779560000003</v>
      </c>
      <c r="BU29" s="10">
        <f t="shared" si="94"/>
        <v>1804.5638169491529</v>
      </c>
      <c r="BV29" s="3"/>
    </row>
    <row r="30" spans="1:74" ht="28.35" customHeight="1">
      <c r="A30" s="646"/>
      <c r="B30" s="666" t="s">
        <v>237</v>
      </c>
      <c r="C30" s="666" t="s">
        <v>238</v>
      </c>
      <c r="D30" s="45">
        <v>3000</v>
      </c>
      <c r="E30" s="45"/>
      <c r="F30" s="45">
        <v>5900</v>
      </c>
      <c r="G30" s="46">
        <f t="shared" si="38"/>
        <v>17.7</v>
      </c>
      <c r="H30" s="667">
        <v>2</v>
      </c>
      <c r="I30" s="46">
        <f t="shared" si="39"/>
        <v>35.4</v>
      </c>
      <c r="J30" s="47">
        <v>0</v>
      </c>
      <c r="K30" s="47">
        <f t="shared" si="40"/>
        <v>0</v>
      </c>
      <c r="L30" s="47">
        <f t="shared" si="41"/>
        <v>0</v>
      </c>
      <c r="M30" s="47">
        <f t="shared" si="42"/>
        <v>0</v>
      </c>
      <c r="N30" s="47">
        <f t="shared" si="43"/>
        <v>0</v>
      </c>
      <c r="O30" s="47">
        <f t="shared" si="44"/>
        <v>0</v>
      </c>
      <c r="P30" s="47">
        <v>0</v>
      </c>
      <c r="Q30" s="47">
        <f t="shared" si="45"/>
        <v>0</v>
      </c>
      <c r="R30" s="47">
        <v>0</v>
      </c>
      <c r="S30" s="47">
        <f t="shared" si="46"/>
        <v>0</v>
      </c>
      <c r="T30" s="47">
        <f t="shared" ref="T30:T36" si="99">$T$5</f>
        <v>650</v>
      </c>
      <c r="U30" s="47">
        <f t="shared" si="48"/>
        <v>650</v>
      </c>
      <c r="V30" s="47">
        <f t="shared" si="49"/>
        <v>650</v>
      </c>
      <c r="W30" s="47">
        <f t="shared" si="50"/>
        <v>1300</v>
      </c>
      <c r="X30" s="47">
        <f t="shared" si="51"/>
        <v>391.6</v>
      </c>
      <c r="Y30" s="47">
        <f t="shared" si="52"/>
        <v>391.6</v>
      </c>
      <c r="Z30" s="47">
        <f t="shared" si="53"/>
        <v>391.6</v>
      </c>
      <c r="AA30" s="47">
        <f t="shared" si="54"/>
        <v>391.6</v>
      </c>
      <c r="AB30" s="47">
        <f t="shared" si="55"/>
        <v>391.6</v>
      </c>
      <c r="AC30" s="47">
        <f t="shared" si="56"/>
        <v>783.2</v>
      </c>
      <c r="AD30" s="47">
        <f t="shared" si="57"/>
        <v>265.5</v>
      </c>
      <c r="AE30" s="47">
        <f t="shared" si="58"/>
        <v>531</v>
      </c>
      <c r="AF30" s="47">
        <v>0</v>
      </c>
      <c r="AG30" s="47">
        <f t="shared" si="59"/>
        <v>0</v>
      </c>
      <c r="AH30" s="47">
        <f t="shared" ref="AH30:AH36" si="100">$AH$5*G30</f>
        <v>6060.4800000000005</v>
      </c>
      <c r="AI30" s="47">
        <f t="shared" si="60"/>
        <v>12120.960000000001</v>
      </c>
      <c r="AJ30" s="47">
        <v>6480</v>
      </c>
      <c r="AK30" s="47">
        <f t="shared" si="61"/>
        <v>12960</v>
      </c>
      <c r="AL30" s="47">
        <f t="shared" si="62"/>
        <v>60</v>
      </c>
      <c r="AM30" s="47">
        <f t="shared" si="63"/>
        <v>120</v>
      </c>
      <c r="AN30" s="47">
        <f t="shared" ref="AN30:AN36" si="101">$AN$7*G30</f>
        <v>4779</v>
      </c>
      <c r="AO30" s="47">
        <f t="shared" si="65"/>
        <v>9558</v>
      </c>
      <c r="AP30" s="47">
        <v>0</v>
      </c>
      <c r="AQ30" s="47">
        <f t="shared" si="66"/>
        <v>0</v>
      </c>
      <c r="AR30" s="47">
        <f t="shared" si="67"/>
        <v>623</v>
      </c>
      <c r="AS30" s="47">
        <f t="shared" si="68"/>
        <v>1246</v>
      </c>
      <c r="AT30" s="47">
        <v>0</v>
      </c>
      <c r="AU30" s="47">
        <f t="shared" si="69"/>
        <v>0</v>
      </c>
      <c r="AV30" s="47">
        <f t="shared" ref="AV30:AV46" si="102">$AV$7*G30</f>
        <v>4141.8</v>
      </c>
      <c r="AW30" s="47">
        <f t="shared" si="71"/>
        <v>8283.6</v>
      </c>
      <c r="AX30" s="47">
        <v>0</v>
      </c>
      <c r="AY30" s="47">
        <f t="shared" si="72"/>
        <v>0</v>
      </c>
      <c r="AZ30" s="47">
        <f t="shared" si="73"/>
        <v>0</v>
      </c>
      <c r="BA30" s="47">
        <f t="shared" si="74"/>
        <v>0</v>
      </c>
      <c r="BB30" s="48">
        <f t="shared" si="75"/>
        <v>23451.38</v>
      </c>
      <c r="BC30" s="49">
        <f t="shared" si="76"/>
        <v>46902.76</v>
      </c>
      <c r="BD30" s="7">
        <f t="shared" si="77"/>
        <v>1324.9367231638419</v>
      </c>
      <c r="BE30" s="47">
        <f t="shared" si="78"/>
        <v>281.41656</v>
      </c>
      <c r="BF30" s="47">
        <f t="shared" si="79"/>
        <v>562.83312000000001</v>
      </c>
      <c r="BG30" s="50">
        <f t="shared" si="80"/>
        <v>351.77069999999998</v>
      </c>
      <c r="BH30" s="50">
        <f t="shared" si="81"/>
        <v>703.54139999999995</v>
      </c>
      <c r="BI30" s="50">
        <f t="shared" si="82"/>
        <v>117.2569</v>
      </c>
      <c r="BJ30" s="50">
        <f t="shared" si="83"/>
        <v>234.5138</v>
      </c>
      <c r="BK30" s="50">
        <f t="shared" si="84"/>
        <v>234.5138</v>
      </c>
      <c r="BL30" s="50">
        <f t="shared" si="85"/>
        <v>469.02760000000001</v>
      </c>
      <c r="BM30" s="51">
        <f t="shared" si="86"/>
        <v>0</v>
      </c>
      <c r="BN30" s="52">
        <f t="shared" si="87"/>
        <v>0</v>
      </c>
      <c r="BO30" s="52">
        <f t="shared" si="88"/>
        <v>0</v>
      </c>
      <c r="BP30" s="51">
        <f t="shared" si="89"/>
        <v>0.32</v>
      </c>
      <c r="BQ30" s="53">
        <f t="shared" si="90"/>
        <v>7504.4416000000001</v>
      </c>
      <c r="BR30" s="53">
        <f t="shared" si="91"/>
        <v>15008.8832</v>
      </c>
      <c r="BS30" s="54">
        <f t="shared" si="92"/>
        <v>31940.779560000003</v>
      </c>
      <c r="BT30" s="55">
        <f t="shared" si="93"/>
        <v>63881.559120000005</v>
      </c>
      <c r="BU30" s="10">
        <f t="shared" si="94"/>
        <v>1804.5638169491529</v>
      </c>
      <c r="BV30" s="3"/>
    </row>
    <row r="31" spans="1:74" ht="28.35" customHeight="1">
      <c r="A31" s="646"/>
      <c r="B31" s="666" t="s">
        <v>239</v>
      </c>
      <c r="C31" s="666" t="s">
        <v>240</v>
      </c>
      <c r="D31" s="45">
        <v>3000</v>
      </c>
      <c r="E31" s="45"/>
      <c r="F31" s="45">
        <v>5900</v>
      </c>
      <c r="G31" s="46">
        <f t="shared" si="38"/>
        <v>17.7</v>
      </c>
      <c r="H31" s="667">
        <v>1</v>
      </c>
      <c r="I31" s="46">
        <f t="shared" si="39"/>
        <v>17.7</v>
      </c>
      <c r="J31" s="47">
        <v>0</v>
      </c>
      <c r="K31" s="47">
        <f t="shared" si="40"/>
        <v>0</v>
      </c>
      <c r="L31" s="47">
        <f t="shared" si="41"/>
        <v>0</v>
      </c>
      <c r="M31" s="47">
        <f t="shared" si="42"/>
        <v>0</v>
      </c>
      <c r="N31" s="47">
        <f t="shared" si="43"/>
        <v>0</v>
      </c>
      <c r="O31" s="47">
        <f t="shared" si="44"/>
        <v>0</v>
      </c>
      <c r="P31" s="47">
        <v>0</v>
      </c>
      <c r="Q31" s="47">
        <f t="shared" si="45"/>
        <v>0</v>
      </c>
      <c r="R31" s="47">
        <v>0</v>
      </c>
      <c r="S31" s="47">
        <f t="shared" si="46"/>
        <v>0</v>
      </c>
      <c r="T31" s="47">
        <f t="shared" si="99"/>
        <v>650</v>
      </c>
      <c r="U31" s="47">
        <f t="shared" si="48"/>
        <v>650</v>
      </c>
      <c r="V31" s="47">
        <f t="shared" si="49"/>
        <v>650</v>
      </c>
      <c r="W31" s="47">
        <f t="shared" si="50"/>
        <v>650</v>
      </c>
      <c r="X31" s="47">
        <f t="shared" si="51"/>
        <v>391.6</v>
      </c>
      <c r="Y31" s="47">
        <f t="shared" si="52"/>
        <v>391.6</v>
      </c>
      <c r="Z31" s="47">
        <f t="shared" si="53"/>
        <v>391.6</v>
      </c>
      <c r="AA31" s="47">
        <f t="shared" si="54"/>
        <v>391.6</v>
      </c>
      <c r="AB31" s="47">
        <f t="shared" si="55"/>
        <v>391.6</v>
      </c>
      <c r="AC31" s="47">
        <f t="shared" si="56"/>
        <v>391.6</v>
      </c>
      <c r="AD31" s="47">
        <f t="shared" si="57"/>
        <v>265.5</v>
      </c>
      <c r="AE31" s="47">
        <f t="shared" si="58"/>
        <v>265.5</v>
      </c>
      <c r="AF31" s="47">
        <v>0</v>
      </c>
      <c r="AG31" s="47">
        <f t="shared" si="59"/>
        <v>0</v>
      </c>
      <c r="AH31" s="47">
        <f t="shared" si="100"/>
        <v>6060.4800000000005</v>
      </c>
      <c r="AI31" s="47">
        <f t="shared" si="60"/>
        <v>6060.4800000000005</v>
      </c>
      <c r="AJ31" s="47">
        <v>6480</v>
      </c>
      <c r="AK31" s="47">
        <f t="shared" si="61"/>
        <v>6480</v>
      </c>
      <c r="AL31" s="47">
        <f t="shared" si="62"/>
        <v>60</v>
      </c>
      <c r="AM31" s="47">
        <f t="shared" si="63"/>
        <v>60</v>
      </c>
      <c r="AN31" s="47">
        <f t="shared" si="101"/>
        <v>4779</v>
      </c>
      <c r="AO31" s="47">
        <f t="shared" si="65"/>
        <v>4779</v>
      </c>
      <c r="AP31" s="47">
        <v>0</v>
      </c>
      <c r="AQ31" s="47">
        <f t="shared" si="66"/>
        <v>0</v>
      </c>
      <c r="AR31" s="47">
        <f t="shared" si="67"/>
        <v>623</v>
      </c>
      <c r="AS31" s="47">
        <f t="shared" si="68"/>
        <v>623</v>
      </c>
      <c r="AT31" s="47">
        <v>0</v>
      </c>
      <c r="AU31" s="47">
        <f t="shared" si="69"/>
        <v>0</v>
      </c>
      <c r="AV31" s="47">
        <f t="shared" si="102"/>
        <v>4141.8</v>
      </c>
      <c r="AW31" s="47">
        <f t="shared" si="71"/>
        <v>4141.8</v>
      </c>
      <c r="AX31" s="47">
        <v>0</v>
      </c>
      <c r="AY31" s="47">
        <f t="shared" si="72"/>
        <v>0</v>
      </c>
      <c r="AZ31" s="47">
        <f t="shared" si="73"/>
        <v>0</v>
      </c>
      <c r="BA31" s="47">
        <f t="shared" si="74"/>
        <v>0</v>
      </c>
      <c r="BB31" s="48">
        <f t="shared" si="75"/>
        <v>23451.38</v>
      </c>
      <c r="BC31" s="49">
        <f t="shared" si="76"/>
        <v>23451.38</v>
      </c>
      <c r="BD31" s="7">
        <f t="shared" si="77"/>
        <v>1324.9367231638419</v>
      </c>
      <c r="BE31" s="47">
        <f t="shared" si="78"/>
        <v>281.41656</v>
      </c>
      <c r="BF31" s="47">
        <f t="shared" si="79"/>
        <v>281.41656</v>
      </c>
      <c r="BG31" s="50">
        <f t="shared" si="80"/>
        <v>351.77069999999998</v>
      </c>
      <c r="BH31" s="50">
        <f t="shared" si="81"/>
        <v>351.77069999999998</v>
      </c>
      <c r="BI31" s="50">
        <f t="shared" si="82"/>
        <v>117.2569</v>
      </c>
      <c r="BJ31" s="50">
        <f t="shared" si="83"/>
        <v>117.2569</v>
      </c>
      <c r="BK31" s="50">
        <f t="shared" si="84"/>
        <v>234.5138</v>
      </c>
      <c r="BL31" s="50">
        <f t="shared" si="85"/>
        <v>234.5138</v>
      </c>
      <c r="BM31" s="51">
        <f t="shared" si="86"/>
        <v>0</v>
      </c>
      <c r="BN31" s="52">
        <f t="shared" si="87"/>
        <v>0</v>
      </c>
      <c r="BO31" s="52">
        <f t="shared" si="88"/>
        <v>0</v>
      </c>
      <c r="BP31" s="51">
        <f t="shared" si="89"/>
        <v>0.32</v>
      </c>
      <c r="BQ31" s="53">
        <f t="shared" si="90"/>
        <v>7504.4416000000001</v>
      </c>
      <c r="BR31" s="53">
        <f t="shared" si="91"/>
        <v>7504.4416000000001</v>
      </c>
      <c r="BS31" s="54">
        <f t="shared" si="92"/>
        <v>31940.779560000003</v>
      </c>
      <c r="BT31" s="55">
        <f t="shared" si="93"/>
        <v>31940.779560000003</v>
      </c>
      <c r="BU31" s="10">
        <f t="shared" si="94"/>
        <v>1804.5638169491529</v>
      </c>
      <c r="BV31" s="3"/>
    </row>
    <row r="32" spans="1:74" ht="28.35" customHeight="1">
      <c r="A32" s="646"/>
      <c r="B32" s="666" t="s">
        <v>241</v>
      </c>
      <c r="C32" s="666" t="s">
        <v>242</v>
      </c>
      <c r="D32" s="45">
        <v>3000</v>
      </c>
      <c r="E32" s="45"/>
      <c r="F32" s="45">
        <v>5900</v>
      </c>
      <c r="G32" s="46">
        <f t="shared" si="38"/>
        <v>17.7</v>
      </c>
      <c r="H32" s="667">
        <v>3</v>
      </c>
      <c r="I32" s="46">
        <f t="shared" si="39"/>
        <v>53.099999999999994</v>
      </c>
      <c r="J32" s="47">
        <v>0</v>
      </c>
      <c r="K32" s="47">
        <f t="shared" si="40"/>
        <v>0</v>
      </c>
      <c r="L32" s="47">
        <f t="shared" si="41"/>
        <v>0</v>
      </c>
      <c r="M32" s="47">
        <f t="shared" si="42"/>
        <v>0</v>
      </c>
      <c r="N32" s="47">
        <f t="shared" si="43"/>
        <v>0</v>
      </c>
      <c r="O32" s="47">
        <f t="shared" si="44"/>
        <v>0</v>
      </c>
      <c r="P32" s="47">
        <v>0</v>
      </c>
      <c r="Q32" s="47">
        <f t="shared" si="45"/>
        <v>0</v>
      </c>
      <c r="R32" s="47">
        <v>0</v>
      </c>
      <c r="S32" s="47">
        <f t="shared" si="46"/>
        <v>0</v>
      </c>
      <c r="T32" s="47">
        <f t="shared" si="99"/>
        <v>650</v>
      </c>
      <c r="U32" s="47">
        <f t="shared" si="48"/>
        <v>650</v>
      </c>
      <c r="V32" s="47">
        <f t="shared" si="49"/>
        <v>650</v>
      </c>
      <c r="W32" s="47">
        <f t="shared" si="50"/>
        <v>1950</v>
      </c>
      <c r="X32" s="47">
        <f t="shared" si="51"/>
        <v>391.6</v>
      </c>
      <c r="Y32" s="47">
        <f t="shared" si="52"/>
        <v>391.6</v>
      </c>
      <c r="Z32" s="47">
        <f t="shared" si="53"/>
        <v>391.6</v>
      </c>
      <c r="AA32" s="47">
        <f t="shared" si="54"/>
        <v>391.6</v>
      </c>
      <c r="AB32" s="47">
        <f t="shared" si="55"/>
        <v>391.6</v>
      </c>
      <c r="AC32" s="47">
        <f t="shared" si="56"/>
        <v>1174.8000000000002</v>
      </c>
      <c r="AD32" s="47">
        <f t="shared" si="57"/>
        <v>265.5</v>
      </c>
      <c r="AE32" s="47">
        <f t="shared" si="58"/>
        <v>796.5</v>
      </c>
      <c r="AF32" s="47">
        <v>0</v>
      </c>
      <c r="AG32" s="47">
        <f t="shared" si="59"/>
        <v>0</v>
      </c>
      <c r="AH32" s="47">
        <f t="shared" si="100"/>
        <v>6060.4800000000005</v>
      </c>
      <c r="AI32" s="47">
        <f t="shared" si="60"/>
        <v>18181.440000000002</v>
      </c>
      <c r="AJ32" s="47">
        <v>5965</v>
      </c>
      <c r="AK32" s="47">
        <f t="shared" si="61"/>
        <v>17895</v>
      </c>
      <c r="AL32" s="47">
        <f t="shared" si="62"/>
        <v>60</v>
      </c>
      <c r="AM32" s="47">
        <f t="shared" si="63"/>
        <v>180</v>
      </c>
      <c r="AN32" s="47">
        <f t="shared" si="101"/>
        <v>4779</v>
      </c>
      <c r="AO32" s="47">
        <f t="shared" si="65"/>
        <v>14337</v>
      </c>
      <c r="AP32" s="47">
        <v>0</v>
      </c>
      <c r="AQ32" s="47">
        <f t="shared" si="66"/>
        <v>0</v>
      </c>
      <c r="AR32" s="47">
        <f t="shared" si="67"/>
        <v>623</v>
      </c>
      <c r="AS32" s="47">
        <f t="shared" si="68"/>
        <v>1869</v>
      </c>
      <c r="AT32" s="47">
        <v>0</v>
      </c>
      <c r="AU32" s="47">
        <f t="shared" si="69"/>
        <v>0</v>
      </c>
      <c r="AV32" s="47">
        <f t="shared" si="102"/>
        <v>4141.8</v>
      </c>
      <c r="AW32" s="47">
        <f t="shared" si="71"/>
        <v>12425.400000000001</v>
      </c>
      <c r="AX32" s="47">
        <v>0</v>
      </c>
      <c r="AY32" s="47">
        <f t="shared" si="72"/>
        <v>0</v>
      </c>
      <c r="AZ32" s="47">
        <f t="shared" si="73"/>
        <v>0</v>
      </c>
      <c r="BA32" s="47">
        <f t="shared" si="74"/>
        <v>0</v>
      </c>
      <c r="BB32" s="48">
        <f t="shared" si="75"/>
        <v>22936.38</v>
      </c>
      <c r="BC32" s="49">
        <f t="shared" si="76"/>
        <v>68809.140000000014</v>
      </c>
      <c r="BD32" s="7">
        <f t="shared" si="77"/>
        <v>1295.840677966102</v>
      </c>
      <c r="BE32" s="47">
        <f t="shared" si="78"/>
        <v>275.23656</v>
      </c>
      <c r="BF32" s="47">
        <f t="shared" si="79"/>
        <v>825.70968000000016</v>
      </c>
      <c r="BG32" s="50">
        <f t="shared" si="80"/>
        <v>344.04570000000001</v>
      </c>
      <c r="BH32" s="50">
        <f t="shared" si="81"/>
        <v>1032.1371000000001</v>
      </c>
      <c r="BI32" s="50">
        <f t="shared" si="82"/>
        <v>114.68190000000001</v>
      </c>
      <c r="BJ32" s="50">
        <f t="shared" si="83"/>
        <v>344.04570000000007</v>
      </c>
      <c r="BK32" s="50">
        <f t="shared" si="84"/>
        <v>229.36380000000003</v>
      </c>
      <c r="BL32" s="50">
        <f t="shared" si="85"/>
        <v>688.09140000000014</v>
      </c>
      <c r="BM32" s="51">
        <f t="shared" si="86"/>
        <v>0</v>
      </c>
      <c r="BN32" s="52">
        <f t="shared" si="87"/>
        <v>0</v>
      </c>
      <c r="BO32" s="52">
        <f t="shared" si="88"/>
        <v>0</v>
      </c>
      <c r="BP32" s="51">
        <f t="shared" si="89"/>
        <v>0.32</v>
      </c>
      <c r="BQ32" s="53">
        <f t="shared" si="90"/>
        <v>7339.6416000000008</v>
      </c>
      <c r="BR32" s="53">
        <f t="shared" si="91"/>
        <v>22018.924800000004</v>
      </c>
      <c r="BS32" s="54">
        <f t="shared" si="92"/>
        <v>31239.349560000002</v>
      </c>
      <c r="BT32" s="55">
        <f t="shared" si="93"/>
        <v>93718.048680000036</v>
      </c>
      <c r="BU32" s="10">
        <f t="shared" si="94"/>
        <v>1764.9350033898313</v>
      </c>
      <c r="BV32" s="3"/>
    </row>
    <row r="33" spans="1:74" ht="28.35" customHeight="1">
      <c r="A33" s="646"/>
      <c r="B33" s="666" t="s">
        <v>243</v>
      </c>
      <c r="C33" s="666" t="s">
        <v>244</v>
      </c>
      <c r="D33" s="45">
        <v>3000</v>
      </c>
      <c r="E33" s="45"/>
      <c r="F33" s="45">
        <v>5900</v>
      </c>
      <c r="G33" s="46">
        <f t="shared" si="38"/>
        <v>17.7</v>
      </c>
      <c r="H33" s="667">
        <v>4</v>
      </c>
      <c r="I33" s="46">
        <f t="shared" si="39"/>
        <v>70.8</v>
      </c>
      <c r="J33" s="47">
        <v>0</v>
      </c>
      <c r="K33" s="47">
        <f t="shared" si="40"/>
        <v>0</v>
      </c>
      <c r="L33" s="47">
        <f t="shared" si="41"/>
        <v>0</v>
      </c>
      <c r="M33" s="47">
        <f t="shared" si="42"/>
        <v>0</v>
      </c>
      <c r="N33" s="47">
        <f t="shared" si="43"/>
        <v>0</v>
      </c>
      <c r="O33" s="47">
        <f t="shared" si="44"/>
        <v>0</v>
      </c>
      <c r="P33" s="47">
        <v>0</v>
      </c>
      <c r="Q33" s="47">
        <f t="shared" si="45"/>
        <v>0</v>
      </c>
      <c r="R33" s="47">
        <v>0</v>
      </c>
      <c r="S33" s="47">
        <f t="shared" si="46"/>
        <v>0</v>
      </c>
      <c r="T33" s="47">
        <f t="shared" si="99"/>
        <v>650</v>
      </c>
      <c r="U33" s="47">
        <f t="shared" si="48"/>
        <v>650</v>
      </c>
      <c r="V33" s="47">
        <f t="shared" si="49"/>
        <v>650</v>
      </c>
      <c r="W33" s="47">
        <f t="shared" si="50"/>
        <v>2600</v>
      </c>
      <c r="X33" s="47">
        <f t="shared" si="51"/>
        <v>391.6</v>
      </c>
      <c r="Y33" s="47">
        <f t="shared" si="52"/>
        <v>391.6</v>
      </c>
      <c r="Z33" s="47">
        <f t="shared" si="53"/>
        <v>391.6</v>
      </c>
      <c r="AA33" s="47">
        <f t="shared" si="54"/>
        <v>391.6</v>
      </c>
      <c r="AB33" s="47">
        <f t="shared" si="55"/>
        <v>391.6</v>
      </c>
      <c r="AC33" s="47">
        <f t="shared" si="56"/>
        <v>1566.4</v>
      </c>
      <c r="AD33" s="47">
        <f t="shared" si="57"/>
        <v>265.5</v>
      </c>
      <c r="AE33" s="47">
        <f t="shared" si="58"/>
        <v>1062</v>
      </c>
      <c r="AF33" s="47">
        <v>0</v>
      </c>
      <c r="AG33" s="47">
        <f t="shared" si="59"/>
        <v>0</v>
      </c>
      <c r="AH33" s="47">
        <f t="shared" si="100"/>
        <v>6060.4800000000005</v>
      </c>
      <c r="AI33" s="47">
        <f t="shared" si="60"/>
        <v>24241.920000000002</v>
      </c>
      <c r="AJ33" s="47">
        <v>5965</v>
      </c>
      <c r="AK33" s="47">
        <f t="shared" si="61"/>
        <v>23860</v>
      </c>
      <c r="AL33" s="47">
        <f t="shared" si="62"/>
        <v>60</v>
      </c>
      <c r="AM33" s="47">
        <f t="shared" si="63"/>
        <v>240</v>
      </c>
      <c r="AN33" s="47">
        <f t="shared" si="101"/>
        <v>4779</v>
      </c>
      <c r="AO33" s="47">
        <f t="shared" si="65"/>
        <v>19116</v>
      </c>
      <c r="AP33" s="47">
        <v>0</v>
      </c>
      <c r="AQ33" s="47">
        <f t="shared" si="66"/>
        <v>0</v>
      </c>
      <c r="AR33" s="47">
        <f t="shared" si="67"/>
        <v>623</v>
      </c>
      <c r="AS33" s="47">
        <f t="shared" si="68"/>
        <v>2492</v>
      </c>
      <c r="AT33" s="47">
        <v>0</v>
      </c>
      <c r="AU33" s="47">
        <f t="shared" si="69"/>
        <v>0</v>
      </c>
      <c r="AV33" s="47">
        <f t="shared" si="102"/>
        <v>4141.8</v>
      </c>
      <c r="AW33" s="47">
        <f t="shared" si="71"/>
        <v>16567.2</v>
      </c>
      <c r="AX33" s="47">
        <v>0</v>
      </c>
      <c r="AY33" s="47">
        <f t="shared" si="72"/>
        <v>0</v>
      </c>
      <c r="AZ33" s="47">
        <f t="shared" si="73"/>
        <v>0</v>
      </c>
      <c r="BA33" s="47">
        <f t="shared" si="74"/>
        <v>0</v>
      </c>
      <c r="BB33" s="48">
        <f t="shared" si="75"/>
        <v>22936.38</v>
      </c>
      <c r="BC33" s="49">
        <f t="shared" si="76"/>
        <v>91745.52</v>
      </c>
      <c r="BD33" s="7">
        <f t="shared" si="77"/>
        <v>1295.8406779661018</v>
      </c>
      <c r="BE33" s="47">
        <f t="shared" si="78"/>
        <v>275.23656</v>
      </c>
      <c r="BF33" s="47">
        <f t="shared" si="79"/>
        <v>1100.94624</v>
      </c>
      <c r="BG33" s="50">
        <f t="shared" si="80"/>
        <v>344.04570000000001</v>
      </c>
      <c r="BH33" s="50">
        <f t="shared" si="81"/>
        <v>1376.1828</v>
      </c>
      <c r="BI33" s="50">
        <f t="shared" si="82"/>
        <v>114.68190000000001</v>
      </c>
      <c r="BJ33" s="50">
        <f t="shared" si="83"/>
        <v>458.72760000000005</v>
      </c>
      <c r="BK33" s="50">
        <f t="shared" si="84"/>
        <v>229.36380000000003</v>
      </c>
      <c r="BL33" s="50">
        <f t="shared" si="85"/>
        <v>917.4552000000001</v>
      </c>
      <c r="BM33" s="51">
        <f t="shared" si="86"/>
        <v>0</v>
      </c>
      <c r="BN33" s="52">
        <f t="shared" si="87"/>
        <v>0</v>
      </c>
      <c r="BO33" s="52">
        <f t="shared" si="88"/>
        <v>0</v>
      </c>
      <c r="BP33" s="51">
        <f t="shared" si="89"/>
        <v>0.32</v>
      </c>
      <c r="BQ33" s="53">
        <f t="shared" si="90"/>
        <v>7339.6416000000008</v>
      </c>
      <c r="BR33" s="53">
        <f t="shared" si="91"/>
        <v>29358.566400000003</v>
      </c>
      <c r="BS33" s="54">
        <f t="shared" si="92"/>
        <v>31239.349560000002</v>
      </c>
      <c r="BT33" s="55">
        <f t="shared" si="93"/>
        <v>124957.39824000001</v>
      </c>
      <c r="BU33" s="10">
        <f t="shared" si="94"/>
        <v>1764.9350033898306</v>
      </c>
      <c r="BV33" s="3"/>
    </row>
    <row r="34" spans="1:74" ht="28.35" customHeight="1">
      <c r="A34" s="646"/>
      <c r="B34" s="666" t="s">
        <v>245</v>
      </c>
      <c r="C34" s="666" t="s">
        <v>242</v>
      </c>
      <c r="D34" s="45">
        <v>3000</v>
      </c>
      <c r="E34" s="45"/>
      <c r="F34" s="45">
        <v>5900</v>
      </c>
      <c r="G34" s="46">
        <f t="shared" si="38"/>
        <v>17.7</v>
      </c>
      <c r="H34" s="667">
        <v>1</v>
      </c>
      <c r="I34" s="46">
        <f t="shared" si="39"/>
        <v>17.7</v>
      </c>
      <c r="J34" s="47">
        <v>0</v>
      </c>
      <c r="K34" s="47">
        <f t="shared" si="40"/>
        <v>0</v>
      </c>
      <c r="L34" s="47">
        <f t="shared" si="41"/>
        <v>0</v>
      </c>
      <c r="M34" s="47">
        <f t="shared" si="42"/>
        <v>0</v>
      </c>
      <c r="N34" s="47">
        <f t="shared" si="43"/>
        <v>0</v>
      </c>
      <c r="O34" s="47">
        <f t="shared" si="44"/>
        <v>0</v>
      </c>
      <c r="P34" s="47">
        <v>0</v>
      </c>
      <c r="Q34" s="47">
        <f t="shared" si="45"/>
        <v>0</v>
      </c>
      <c r="R34" s="47">
        <v>0</v>
      </c>
      <c r="S34" s="47">
        <f t="shared" si="46"/>
        <v>0</v>
      </c>
      <c r="T34" s="47">
        <f t="shared" si="99"/>
        <v>650</v>
      </c>
      <c r="U34" s="47">
        <f t="shared" si="48"/>
        <v>650</v>
      </c>
      <c r="V34" s="47">
        <f t="shared" si="49"/>
        <v>650</v>
      </c>
      <c r="W34" s="47">
        <f t="shared" si="50"/>
        <v>650</v>
      </c>
      <c r="X34" s="47">
        <f t="shared" si="51"/>
        <v>391.6</v>
      </c>
      <c r="Y34" s="47">
        <f t="shared" si="52"/>
        <v>391.6</v>
      </c>
      <c r="Z34" s="47">
        <f t="shared" si="53"/>
        <v>391.6</v>
      </c>
      <c r="AA34" s="47">
        <f t="shared" si="54"/>
        <v>391.6</v>
      </c>
      <c r="AB34" s="47">
        <f t="shared" si="55"/>
        <v>391.6</v>
      </c>
      <c r="AC34" s="47">
        <f t="shared" si="56"/>
        <v>391.6</v>
      </c>
      <c r="AD34" s="47">
        <f t="shared" si="57"/>
        <v>265.5</v>
      </c>
      <c r="AE34" s="47">
        <f t="shared" si="58"/>
        <v>265.5</v>
      </c>
      <c r="AF34" s="47">
        <v>0</v>
      </c>
      <c r="AG34" s="47">
        <f t="shared" si="59"/>
        <v>0</v>
      </c>
      <c r="AH34" s="47">
        <f t="shared" si="100"/>
        <v>6060.4800000000005</v>
      </c>
      <c r="AI34" s="47">
        <f t="shared" si="60"/>
        <v>6060.4800000000005</v>
      </c>
      <c r="AJ34" s="47">
        <v>5965</v>
      </c>
      <c r="AK34" s="47">
        <f t="shared" si="61"/>
        <v>5965</v>
      </c>
      <c r="AL34" s="47">
        <f t="shared" si="62"/>
        <v>60</v>
      </c>
      <c r="AM34" s="47">
        <f t="shared" si="63"/>
        <v>60</v>
      </c>
      <c r="AN34" s="47">
        <f t="shared" si="101"/>
        <v>4779</v>
      </c>
      <c r="AO34" s="47">
        <f t="shared" si="65"/>
        <v>4779</v>
      </c>
      <c r="AP34" s="47">
        <v>0</v>
      </c>
      <c r="AQ34" s="47">
        <f t="shared" si="66"/>
        <v>0</v>
      </c>
      <c r="AR34" s="47">
        <f t="shared" si="67"/>
        <v>623</v>
      </c>
      <c r="AS34" s="47">
        <f t="shared" si="68"/>
        <v>623</v>
      </c>
      <c r="AT34" s="47">
        <v>0</v>
      </c>
      <c r="AU34" s="47">
        <f t="shared" si="69"/>
        <v>0</v>
      </c>
      <c r="AV34" s="47">
        <f t="shared" si="102"/>
        <v>4141.8</v>
      </c>
      <c r="AW34" s="47">
        <f t="shared" si="71"/>
        <v>4141.8</v>
      </c>
      <c r="AX34" s="47">
        <v>0</v>
      </c>
      <c r="AY34" s="47">
        <f t="shared" si="72"/>
        <v>0</v>
      </c>
      <c r="AZ34" s="47">
        <f t="shared" si="73"/>
        <v>0</v>
      </c>
      <c r="BA34" s="47">
        <f t="shared" si="74"/>
        <v>0</v>
      </c>
      <c r="BB34" s="48">
        <f t="shared" si="75"/>
        <v>22936.38</v>
      </c>
      <c r="BC34" s="49">
        <f t="shared" si="76"/>
        <v>22936.38</v>
      </c>
      <c r="BD34" s="7">
        <f t="shared" si="77"/>
        <v>1295.8406779661018</v>
      </c>
      <c r="BE34" s="47">
        <f t="shared" si="78"/>
        <v>275.23656</v>
      </c>
      <c r="BF34" s="47">
        <f t="shared" si="79"/>
        <v>275.23656</v>
      </c>
      <c r="BG34" s="50">
        <f t="shared" si="80"/>
        <v>344.04570000000001</v>
      </c>
      <c r="BH34" s="50">
        <f t="shared" si="81"/>
        <v>344.04570000000001</v>
      </c>
      <c r="BI34" s="50">
        <f t="shared" si="82"/>
        <v>114.68190000000001</v>
      </c>
      <c r="BJ34" s="50">
        <f t="shared" si="83"/>
        <v>114.68190000000001</v>
      </c>
      <c r="BK34" s="50">
        <f t="shared" si="84"/>
        <v>229.36380000000003</v>
      </c>
      <c r="BL34" s="50">
        <f t="shared" si="85"/>
        <v>229.36380000000003</v>
      </c>
      <c r="BM34" s="51">
        <f t="shared" si="86"/>
        <v>0</v>
      </c>
      <c r="BN34" s="52">
        <f t="shared" si="87"/>
        <v>0</v>
      </c>
      <c r="BO34" s="52">
        <f t="shared" si="88"/>
        <v>0</v>
      </c>
      <c r="BP34" s="51">
        <f t="shared" si="89"/>
        <v>0.32</v>
      </c>
      <c r="BQ34" s="53">
        <f t="shared" si="90"/>
        <v>7339.6416000000008</v>
      </c>
      <c r="BR34" s="53">
        <f t="shared" si="91"/>
        <v>7339.6416000000008</v>
      </c>
      <c r="BS34" s="54">
        <f t="shared" si="92"/>
        <v>31239.349560000002</v>
      </c>
      <c r="BT34" s="55">
        <f t="shared" si="93"/>
        <v>31239.349560000002</v>
      </c>
      <c r="BU34" s="10">
        <f t="shared" si="94"/>
        <v>1764.9350033898306</v>
      </c>
      <c r="BV34" s="3"/>
    </row>
    <row r="35" spans="1:74" ht="28.35" customHeight="1">
      <c r="A35" s="646"/>
      <c r="B35" s="666" t="s">
        <v>246</v>
      </c>
      <c r="C35" s="666" t="s">
        <v>247</v>
      </c>
      <c r="D35" s="45">
        <v>3000</v>
      </c>
      <c r="E35" s="45"/>
      <c r="F35" s="45">
        <v>5900</v>
      </c>
      <c r="G35" s="46">
        <f t="shared" si="38"/>
        <v>17.7</v>
      </c>
      <c r="H35" s="667">
        <v>2</v>
      </c>
      <c r="I35" s="46">
        <f t="shared" si="39"/>
        <v>35.4</v>
      </c>
      <c r="J35" s="47">
        <v>0</v>
      </c>
      <c r="K35" s="47">
        <f t="shared" si="40"/>
        <v>0</v>
      </c>
      <c r="L35" s="47">
        <f t="shared" si="41"/>
        <v>0</v>
      </c>
      <c r="M35" s="47">
        <f t="shared" si="42"/>
        <v>0</v>
      </c>
      <c r="N35" s="47">
        <f t="shared" si="43"/>
        <v>0</v>
      </c>
      <c r="O35" s="47">
        <f t="shared" si="44"/>
        <v>0</v>
      </c>
      <c r="P35" s="47">
        <v>0</v>
      </c>
      <c r="Q35" s="47">
        <f t="shared" si="45"/>
        <v>0</v>
      </c>
      <c r="R35" s="47">
        <v>0</v>
      </c>
      <c r="S35" s="47">
        <f t="shared" si="46"/>
        <v>0</v>
      </c>
      <c r="T35" s="47">
        <f t="shared" si="99"/>
        <v>650</v>
      </c>
      <c r="U35" s="47">
        <f t="shared" si="48"/>
        <v>650</v>
      </c>
      <c r="V35" s="47">
        <f t="shared" si="49"/>
        <v>650</v>
      </c>
      <c r="W35" s="47">
        <f t="shared" si="50"/>
        <v>1300</v>
      </c>
      <c r="X35" s="47">
        <f t="shared" si="51"/>
        <v>391.6</v>
      </c>
      <c r="Y35" s="47">
        <f t="shared" si="52"/>
        <v>391.6</v>
      </c>
      <c r="Z35" s="47">
        <f t="shared" si="53"/>
        <v>391.6</v>
      </c>
      <c r="AA35" s="47">
        <f t="shared" si="54"/>
        <v>391.6</v>
      </c>
      <c r="AB35" s="47">
        <f t="shared" si="55"/>
        <v>391.6</v>
      </c>
      <c r="AC35" s="47">
        <f t="shared" si="56"/>
        <v>783.2</v>
      </c>
      <c r="AD35" s="47">
        <f t="shared" si="57"/>
        <v>265.5</v>
      </c>
      <c r="AE35" s="47">
        <f t="shared" si="58"/>
        <v>531</v>
      </c>
      <c r="AF35" s="47">
        <v>0</v>
      </c>
      <c r="AG35" s="47">
        <f t="shared" si="59"/>
        <v>0</v>
      </c>
      <c r="AH35" s="47">
        <f t="shared" si="100"/>
        <v>6060.4800000000005</v>
      </c>
      <c r="AI35" s="47">
        <f t="shared" si="60"/>
        <v>12120.960000000001</v>
      </c>
      <c r="AJ35" s="47">
        <v>6865</v>
      </c>
      <c r="AK35" s="47">
        <f t="shared" si="61"/>
        <v>13730</v>
      </c>
      <c r="AL35" s="47">
        <f>$AL$5+3000</f>
        <v>3060</v>
      </c>
      <c r="AM35" s="47">
        <f t="shared" si="63"/>
        <v>6120</v>
      </c>
      <c r="AN35" s="47">
        <f t="shared" si="101"/>
        <v>4779</v>
      </c>
      <c r="AO35" s="47">
        <f t="shared" si="65"/>
        <v>9558</v>
      </c>
      <c r="AP35" s="47">
        <v>0</v>
      </c>
      <c r="AQ35" s="47">
        <f t="shared" si="66"/>
        <v>0</v>
      </c>
      <c r="AR35" s="47">
        <f t="shared" si="67"/>
        <v>623</v>
      </c>
      <c r="AS35" s="47">
        <f t="shared" si="68"/>
        <v>1246</v>
      </c>
      <c r="AT35" s="47">
        <v>0</v>
      </c>
      <c r="AU35" s="47">
        <f t="shared" si="69"/>
        <v>0</v>
      </c>
      <c r="AV35" s="47">
        <f t="shared" si="102"/>
        <v>4141.8</v>
      </c>
      <c r="AW35" s="47">
        <f t="shared" si="71"/>
        <v>8283.6</v>
      </c>
      <c r="AX35" s="47">
        <v>0</v>
      </c>
      <c r="AY35" s="47">
        <f t="shared" si="72"/>
        <v>0</v>
      </c>
      <c r="AZ35" s="47">
        <f t="shared" si="73"/>
        <v>0</v>
      </c>
      <c r="BA35" s="47">
        <f t="shared" si="74"/>
        <v>0</v>
      </c>
      <c r="BB35" s="48">
        <f t="shared" si="75"/>
        <v>26836.38</v>
      </c>
      <c r="BC35" s="49">
        <f t="shared" si="76"/>
        <v>53672.76</v>
      </c>
      <c r="BD35" s="7">
        <f t="shared" si="77"/>
        <v>1516.1796610169492</v>
      </c>
      <c r="BE35" s="47">
        <f t="shared" si="78"/>
        <v>322.03656000000001</v>
      </c>
      <c r="BF35" s="47">
        <f t="shared" si="79"/>
        <v>644.07312000000002</v>
      </c>
      <c r="BG35" s="50">
        <f t="shared" si="80"/>
        <v>402.54570000000001</v>
      </c>
      <c r="BH35" s="50">
        <f t="shared" si="81"/>
        <v>805.09140000000002</v>
      </c>
      <c r="BI35" s="50">
        <f t="shared" si="82"/>
        <v>134.18190000000001</v>
      </c>
      <c r="BJ35" s="50">
        <f t="shared" si="83"/>
        <v>268.36380000000003</v>
      </c>
      <c r="BK35" s="50">
        <f t="shared" si="84"/>
        <v>268.36380000000003</v>
      </c>
      <c r="BL35" s="50">
        <f t="shared" si="85"/>
        <v>536.72760000000005</v>
      </c>
      <c r="BM35" s="51">
        <f t="shared" si="86"/>
        <v>0</v>
      </c>
      <c r="BN35" s="52">
        <f t="shared" si="87"/>
        <v>0</v>
      </c>
      <c r="BO35" s="52">
        <f t="shared" si="88"/>
        <v>0</v>
      </c>
      <c r="BP35" s="51">
        <f t="shared" si="89"/>
        <v>0.32</v>
      </c>
      <c r="BQ35" s="53">
        <f t="shared" si="90"/>
        <v>8587.6416000000008</v>
      </c>
      <c r="BR35" s="53">
        <f t="shared" si="91"/>
        <v>17175.283200000002</v>
      </c>
      <c r="BS35" s="54">
        <f t="shared" si="92"/>
        <v>36551.149559999998</v>
      </c>
      <c r="BT35" s="55">
        <f t="shared" si="93"/>
        <v>73102.299119999996</v>
      </c>
      <c r="BU35" s="10">
        <f t="shared" si="94"/>
        <v>2065.0366983050849</v>
      </c>
      <c r="BV35" s="3"/>
    </row>
    <row r="36" spans="1:74" ht="28.35" customHeight="1">
      <c r="A36" s="646"/>
      <c r="B36" s="666" t="s">
        <v>248</v>
      </c>
      <c r="C36" s="666" t="s">
        <v>249</v>
      </c>
      <c r="D36" s="45">
        <v>1900</v>
      </c>
      <c r="E36" s="45"/>
      <c r="F36" s="45">
        <v>4500</v>
      </c>
      <c r="G36" s="46">
        <f t="shared" si="38"/>
        <v>8.5500000000000007</v>
      </c>
      <c r="H36" s="667">
        <v>2</v>
      </c>
      <c r="I36" s="46">
        <f t="shared" si="39"/>
        <v>17.100000000000001</v>
      </c>
      <c r="J36" s="47">
        <v>0</v>
      </c>
      <c r="K36" s="47">
        <f t="shared" si="40"/>
        <v>0</v>
      </c>
      <c r="L36" s="47">
        <f t="shared" si="41"/>
        <v>0</v>
      </c>
      <c r="M36" s="47">
        <f t="shared" si="42"/>
        <v>0</v>
      </c>
      <c r="N36" s="47">
        <f t="shared" si="43"/>
        <v>0</v>
      </c>
      <c r="O36" s="47">
        <f t="shared" si="44"/>
        <v>0</v>
      </c>
      <c r="P36" s="47">
        <v>0</v>
      </c>
      <c r="Q36" s="47">
        <f t="shared" si="45"/>
        <v>0</v>
      </c>
      <c r="R36" s="47">
        <v>0</v>
      </c>
      <c r="S36" s="47">
        <f t="shared" si="46"/>
        <v>0</v>
      </c>
      <c r="T36" s="47">
        <f t="shared" si="99"/>
        <v>650</v>
      </c>
      <c r="U36" s="47">
        <f t="shared" si="48"/>
        <v>650</v>
      </c>
      <c r="V36" s="47">
        <f t="shared" si="49"/>
        <v>650</v>
      </c>
      <c r="W36" s="47">
        <f t="shared" si="50"/>
        <v>1300</v>
      </c>
      <c r="X36" s="47">
        <f t="shared" si="51"/>
        <v>281.60000000000002</v>
      </c>
      <c r="Y36" s="47">
        <f t="shared" si="52"/>
        <v>281.60000000000002</v>
      </c>
      <c r="Z36" s="47">
        <f t="shared" si="53"/>
        <v>281.60000000000002</v>
      </c>
      <c r="AA36" s="47">
        <f t="shared" si="54"/>
        <v>281.60000000000002</v>
      </c>
      <c r="AB36" s="47">
        <f t="shared" si="55"/>
        <v>281.60000000000002</v>
      </c>
      <c r="AC36" s="47">
        <f t="shared" si="56"/>
        <v>563.20000000000005</v>
      </c>
      <c r="AD36" s="47">
        <f t="shared" si="57"/>
        <v>128.25</v>
      </c>
      <c r="AE36" s="47">
        <f t="shared" si="58"/>
        <v>256.5</v>
      </c>
      <c r="AF36" s="47">
        <v>0</v>
      </c>
      <c r="AG36" s="47">
        <f t="shared" si="59"/>
        <v>0</v>
      </c>
      <c r="AH36" s="47">
        <f t="shared" si="100"/>
        <v>2927.5200000000004</v>
      </c>
      <c r="AI36" s="47">
        <f t="shared" si="60"/>
        <v>5855.0400000000009</v>
      </c>
      <c r="AJ36" s="47">
        <v>3665</v>
      </c>
      <c r="AK36" s="47">
        <f t="shared" si="61"/>
        <v>7330</v>
      </c>
      <c r="AL36" s="47">
        <f t="shared" si="62"/>
        <v>60</v>
      </c>
      <c r="AM36" s="47">
        <f t="shared" si="63"/>
        <v>120</v>
      </c>
      <c r="AN36" s="47">
        <f t="shared" si="101"/>
        <v>2308.5</v>
      </c>
      <c r="AO36" s="47">
        <f t="shared" si="65"/>
        <v>4617</v>
      </c>
      <c r="AP36" s="47">
        <v>0</v>
      </c>
      <c r="AQ36" s="47">
        <f t="shared" si="66"/>
        <v>0</v>
      </c>
      <c r="AR36" s="47">
        <f t="shared" si="67"/>
        <v>448</v>
      </c>
      <c r="AS36" s="47">
        <f t="shared" si="68"/>
        <v>896</v>
      </c>
      <c r="AT36" s="47">
        <v>0</v>
      </c>
      <c r="AU36" s="47">
        <f t="shared" si="69"/>
        <v>0</v>
      </c>
      <c r="AV36" s="47">
        <f t="shared" si="102"/>
        <v>2000.7000000000003</v>
      </c>
      <c r="AW36" s="47">
        <f t="shared" si="71"/>
        <v>4001.4000000000005</v>
      </c>
      <c r="AX36" s="47">
        <v>0</v>
      </c>
      <c r="AY36" s="47">
        <f t="shared" si="72"/>
        <v>0</v>
      </c>
      <c r="AZ36" s="47">
        <f t="shared" si="73"/>
        <v>0</v>
      </c>
      <c r="BA36" s="47">
        <f t="shared" si="74"/>
        <v>0</v>
      </c>
      <c r="BB36" s="48">
        <f t="shared" si="75"/>
        <v>12469.570000000002</v>
      </c>
      <c r="BC36" s="49">
        <f t="shared" si="76"/>
        <v>24939.140000000003</v>
      </c>
      <c r="BD36" s="7">
        <f t="shared" si="77"/>
        <v>1458.429239766082</v>
      </c>
      <c r="BE36" s="47">
        <f t="shared" si="78"/>
        <v>149.63484000000003</v>
      </c>
      <c r="BF36" s="47">
        <f t="shared" si="79"/>
        <v>299.26968000000005</v>
      </c>
      <c r="BG36" s="50">
        <f t="shared" si="80"/>
        <v>187.04355000000001</v>
      </c>
      <c r="BH36" s="50">
        <f t="shared" si="81"/>
        <v>374.08710000000002</v>
      </c>
      <c r="BI36" s="50">
        <f t="shared" si="82"/>
        <v>62.347850000000008</v>
      </c>
      <c r="BJ36" s="50">
        <f t="shared" si="83"/>
        <v>124.69570000000002</v>
      </c>
      <c r="BK36" s="50">
        <f t="shared" si="84"/>
        <v>124.69570000000002</v>
      </c>
      <c r="BL36" s="50">
        <f t="shared" si="85"/>
        <v>249.39140000000003</v>
      </c>
      <c r="BM36" s="51">
        <f t="shared" si="86"/>
        <v>0</v>
      </c>
      <c r="BN36" s="52">
        <f t="shared" si="87"/>
        <v>0</v>
      </c>
      <c r="BO36" s="52">
        <f t="shared" si="88"/>
        <v>0</v>
      </c>
      <c r="BP36" s="51">
        <f t="shared" si="89"/>
        <v>0.32</v>
      </c>
      <c r="BQ36" s="53">
        <f t="shared" si="90"/>
        <v>3990.2624000000005</v>
      </c>
      <c r="BR36" s="53">
        <f t="shared" si="91"/>
        <v>7980.5248000000011</v>
      </c>
      <c r="BS36" s="54">
        <f t="shared" si="92"/>
        <v>16983.554340000002</v>
      </c>
      <c r="BT36" s="55">
        <f t="shared" si="93"/>
        <v>33967.108680000005</v>
      </c>
      <c r="BU36" s="10">
        <f t="shared" si="94"/>
        <v>1986.3806245614037</v>
      </c>
      <c r="BV36" s="3"/>
    </row>
    <row r="37" spans="1:74" s="686" customFormat="1" ht="28.35" hidden="1" customHeight="1">
      <c r="A37" s="723" t="s">
        <v>212</v>
      </c>
      <c r="B37" s="670" t="s">
        <v>250</v>
      </c>
      <c r="C37" s="670" t="s">
        <v>220</v>
      </c>
      <c r="D37" s="671">
        <v>1900</v>
      </c>
      <c r="E37" s="671"/>
      <c r="F37" s="671">
        <v>4500</v>
      </c>
      <c r="G37" s="672">
        <f t="shared" si="38"/>
        <v>8.5500000000000007</v>
      </c>
      <c r="H37" s="673">
        <v>1</v>
      </c>
      <c r="I37" s="672">
        <f t="shared" si="39"/>
        <v>8.5500000000000007</v>
      </c>
      <c r="J37" s="674"/>
      <c r="K37" s="674">
        <f t="shared" si="40"/>
        <v>0</v>
      </c>
      <c r="L37" s="674">
        <f t="shared" si="41"/>
        <v>0</v>
      </c>
      <c r="M37" s="674">
        <f t="shared" si="42"/>
        <v>0</v>
      </c>
      <c r="N37" s="674">
        <f t="shared" si="43"/>
        <v>0</v>
      </c>
      <c r="O37" s="674">
        <f t="shared" si="44"/>
        <v>0</v>
      </c>
      <c r="P37" s="674">
        <v>0</v>
      </c>
      <c r="Q37" s="674">
        <f t="shared" si="45"/>
        <v>0</v>
      </c>
      <c r="R37" s="674">
        <v>0</v>
      </c>
      <c r="S37" s="674">
        <f t="shared" si="46"/>
        <v>0</v>
      </c>
      <c r="T37" s="674">
        <f t="shared" ref="T37" si="103">$T$6</f>
        <v>1930</v>
      </c>
      <c r="U37" s="674">
        <f t="shared" si="48"/>
        <v>1930</v>
      </c>
      <c r="V37" s="674">
        <f t="shared" si="49"/>
        <v>1930</v>
      </c>
      <c r="W37" s="674">
        <f t="shared" si="50"/>
        <v>1930</v>
      </c>
      <c r="X37" s="47">
        <f t="shared" si="51"/>
        <v>281.60000000000002</v>
      </c>
      <c r="Y37" s="674">
        <f t="shared" si="52"/>
        <v>281.60000000000002</v>
      </c>
      <c r="Z37" s="674">
        <f t="shared" si="53"/>
        <v>281.60000000000002</v>
      </c>
      <c r="AA37" s="674">
        <f t="shared" si="54"/>
        <v>281.60000000000002</v>
      </c>
      <c r="AB37" s="674">
        <f t="shared" si="55"/>
        <v>281.60000000000002</v>
      </c>
      <c r="AC37" s="674">
        <f t="shared" si="56"/>
        <v>281.60000000000002</v>
      </c>
      <c r="AD37" s="47">
        <f>$AD$6*G37</f>
        <v>239.40000000000003</v>
      </c>
      <c r="AE37" s="674">
        <f t="shared" si="58"/>
        <v>239.40000000000003</v>
      </c>
      <c r="AF37" s="674">
        <f>3221+720</f>
        <v>3941</v>
      </c>
      <c r="AG37" s="674">
        <f t="shared" si="59"/>
        <v>3941</v>
      </c>
      <c r="AH37" s="674"/>
      <c r="AI37" s="674">
        <f t="shared" si="60"/>
        <v>0</v>
      </c>
      <c r="AJ37" s="706">
        <v>0</v>
      </c>
      <c r="AK37" s="706">
        <f t="shared" si="61"/>
        <v>0</v>
      </c>
      <c r="AL37" s="47">
        <f t="shared" si="62"/>
        <v>60</v>
      </c>
      <c r="AM37" s="674">
        <f t="shared" si="63"/>
        <v>60</v>
      </c>
      <c r="AN37" s="674">
        <f>$AN$8*G37</f>
        <v>5087.25</v>
      </c>
      <c r="AO37" s="674">
        <f t="shared" si="65"/>
        <v>5087.25</v>
      </c>
      <c r="AP37" s="674">
        <v>0</v>
      </c>
      <c r="AQ37" s="674">
        <f t="shared" si="66"/>
        <v>0</v>
      </c>
      <c r="AR37" s="674">
        <f>($AR$6*2*(D37+F37))/1000</f>
        <v>576</v>
      </c>
      <c r="AS37" s="674">
        <f t="shared" si="68"/>
        <v>576</v>
      </c>
      <c r="AT37" s="674">
        <v>1815</v>
      </c>
      <c r="AU37" s="674">
        <f t="shared" si="69"/>
        <v>1815</v>
      </c>
      <c r="AV37" s="674">
        <f>$AV$8</f>
        <v>1286</v>
      </c>
      <c r="AW37" s="674">
        <f>AV37*H37</f>
        <v>1286</v>
      </c>
      <c r="AX37" s="674">
        <v>0</v>
      </c>
      <c r="AY37" s="674">
        <f t="shared" si="72"/>
        <v>0</v>
      </c>
      <c r="AZ37" s="47">
        <f t="shared" si="73"/>
        <v>0</v>
      </c>
      <c r="BA37" s="674">
        <f t="shared" si="74"/>
        <v>0</v>
      </c>
      <c r="BB37" s="675">
        <f t="shared" si="75"/>
        <v>15216.25</v>
      </c>
      <c r="BC37" s="676">
        <f t="shared" si="76"/>
        <v>15216.25</v>
      </c>
      <c r="BD37" s="677">
        <f t="shared" si="77"/>
        <v>1779.6783625730993</v>
      </c>
      <c r="BE37" s="674">
        <f t="shared" si="78"/>
        <v>182.595</v>
      </c>
      <c r="BF37" s="674">
        <f t="shared" si="79"/>
        <v>182.595</v>
      </c>
      <c r="BG37" s="678">
        <f t="shared" si="80"/>
        <v>228.24375000000001</v>
      </c>
      <c r="BH37" s="678">
        <f t="shared" si="81"/>
        <v>228.24375000000001</v>
      </c>
      <c r="BI37" s="678">
        <f t="shared" si="82"/>
        <v>76.081249999999997</v>
      </c>
      <c r="BJ37" s="678">
        <f t="shared" si="83"/>
        <v>76.081249999999997</v>
      </c>
      <c r="BK37" s="678">
        <f t="shared" si="84"/>
        <v>152.16249999999999</v>
      </c>
      <c r="BL37" s="678">
        <f t="shared" si="85"/>
        <v>152.16249999999999</v>
      </c>
      <c r="BM37" s="679">
        <f t="shared" si="86"/>
        <v>0</v>
      </c>
      <c r="BN37" s="680">
        <f t="shared" si="87"/>
        <v>0</v>
      </c>
      <c r="BO37" s="680">
        <f t="shared" si="88"/>
        <v>0</v>
      </c>
      <c r="BP37" s="679">
        <f t="shared" si="89"/>
        <v>0.32</v>
      </c>
      <c r="BQ37" s="681">
        <f t="shared" si="90"/>
        <v>4869.2</v>
      </c>
      <c r="BR37" s="681">
        <f t="shared" si="91"/>
        <v>4869.2</v>
      </c>
      <c r="BS37" s="682">
        <f t="shared" si="92"/>
        <v>20724.532499999998</v>
      </c>
      <c r="BT37" s="683">
        <f t="shared" si="93"/>
        <v>20724.532499999998</v>
      </c>
      <c r="BU37" s="684">
        <f t="shared" si="94"/>
        <v>2423.9219298245607</v>
      </c>
      <c r="BV37" s="685"/>
    </row>
    <row r="38" spans="1:74" ht="28.35" hidden="1" customHeight="1">
      <c r="A38" s="723" t="s">
        <v>251</v>
      </c>
      <c r="B38" s="666" t="s">
        <v>252</v>
      </c>
      <c r="C38" s="666" t="s">
        <v>253</v>
      </c>
      <c r="D38" s="45">
        <v>1700</v>
      </c>
      <c r="E38" s="45"/>
      <c r="F38" s="45">
        <v>6200</v>
      </c>
      <c r="G38" s="46">
        <f t="shared" si="38"/>
        <v>10.54</v>
      </c>
      <c r="H38" s="667">
        <v>1</v>
      </c>
      <c r="I38" s="46">
        <f t="shared" si="39"/>
        <v>10.54</v>
      </c>
      <c r="J38" s="47">
        <v>0</v>
      </c>
      <c r="K38" s="47">
        <f t="shared" si="40"/>
        <v>0</v>
      </c>
      <c r="L38" s="47">
        <f t="shared" si="41"/>
        <v>0</v>
      </c>
      <c r="M38" s="47">
        <f t="shared" si="42"/>
        <v>0</v>
      </c>
      <c r="N38" s="47">
        <f t="shared" si="43"/>
        <v>0</v>
      </c>
      <c r="O38" s="47">
        <f t="shared" si="44"/>
        <v>0</v>
      </c>
      <c r="P38" s="47">
        <v>0</v>
      </c>
      <c r="Q38" s="47">
        <f t="shared" si="45"/>
        <v>0</v>
      </c>
      <c r="R38" s="47">
        <v>0</v>
      </c>
      <c r="S38" s="47">
        <f t="shared" si="46"/>
        <v>0</v>
      </c>
      <c r="T38" s="47">
        <f>$T$5</f>
        <v>650</v>
      </c>
      <c r="U38" s="47">
        <f t="shared" si="48"/>
        <v>650</v>
      </c>
      <c r="V38" s="47">
        <f t="shared" si="49"/>
        <v>650</v>
      </c>
      <c r="W38" s="47">
        <f t="shared" si="50"/>
        <v>650</v>
      </c>
      <c r="X38" s="47">
        <f t="shared" si="51"/>
        <v>347.6</v>
      </c>
      <c r="Y38" s="47">
        <f t="shared" si="52"/>
        <v>347.6</v>
      </c>
      <c r="Z38" s="47">
        <f t="shared" si="53"/>
        <v>347.6</v>
      </c>
      <c r="AA38" s="47">
        <f t="shared" si="54"/>
        <v>347.6</v>
      </c>
      <c r="AB38" s="47">
        <f t="shared" si="55"/>
        <v>347.6</v>
      </c>
      <c r="AC38" s="47">
        <f t="shared" si="56"/>
        <v>347.6</v>
      </c>
      <c r="AD38" s="47">
        <f t="shared" si="57"/>
        <v>158.1</v>
      </c>
      <c r="AE38" s="47">
        <f t="shared" si="58"/>
        <v>158.1</v>
      </c>
      <c r="AF38" s="47">
        <f>1185+350+163+340</f>
        <v>2038</v>
      </c>
      <c r="AG38" s="47">
        <f t="shared" si="59"/>
        <v>2038</v>
      </c>
      <c r="AH38" s="47">
        <v>0</v>
      </c>
      <c r="AI38" s="47">
        <f t="shared" si="60"/>
        <v>0</v>
      </c>
      <c r="AJ38" s="724">
        <v>0</v>
      </c>
      <c r="AK38" s="724">
        <f t="shared" si="61"/>
        <v>0</v>
      </c>
      <c r="AL38" s="47">
        <f t="shared" si="62"/>
        <v>60</v>
      </c>
      <c r="AM38" s="47">
        <f t="shared" si="63"/>
        <v>60</v>
      </c>
      <c r="AN38" s="47">
        <f>$AN$5*G38</f>
        <v>1422.8999999999999</v>
      </c>
      <c r="AO38" s="47">
        <f t="shared" si="65"/>
        <v>1422.8999999999999</v>
      </c>
      <c r="AP38" s="47">
        <v>0</v>
      </c>
      <c r="AQ38" s="47">
        <f t="shared" si="66"/>
        <v>0</v>
      </c>
      <c r="AR38" s="47">
        <f t="shared" si="67"/>
        <v>553</v>
      </c>
      <c r="AS38" s="47">
        <f t="shared" si="68"/>
        <v>553</v>
      </c>
      <c r="AT38" s="724">
        <v>3000</v>
      </c>
      <c r="AU38" s="47">
        <f t="shared" si="69"/>
        <v>3000</v>
      </c>
      <c r="AV38" s="47">
        <f t="shared" si="102"/>
        <v>2466.3599999999997</v>
      </c>
      <c r="AW38" s="47">
        <f t="shared" si="71"/>
        <v>2466.3599999999997</v>
      </c>
      <c r="AX38" s="47">
        <v>0</v>
      </c>
      <c r="AY38" s="47">
        <f t="shared" si="72"/>
        <v>0</v>
      </c>
      <c r="AZ38" s="47">
        <f t="shared" si="73"/>
        <v>0</v>
      </c>
      <c r="BA38" s="47">
        <f t="shared" si="74"/>
        <v>0</v>
      </c>
      <c r="BB38" s="48">
        <f t="shared" si="75"/>
        <v>10695.96</v>
      </c>
      <c r="BC38" s="49">
        <f t="shared" si="76"/>
        <v>10695.96</v>
      </c>
      <c r="BD38" s="7">
        <f t="shared" si="77"/>
        <v>1014.796963946869</v>
      </c>
      <c r="BE38" s="47">
        <f t="shared" si="78"/>
        <v>128.35151999999999</v>
      </c>
      <c r="BF38" s="47">
        <f t="shared" si="79"/>
        <v>128.35151999999999</v>
      </c>
      <c r="BG38" s="50">
        <f t="shared" si="80"/>
        <v>160.43939999999998</v>
      </c>
      <c r="BH38" s="50">
        <f t="shared" si="81"/>
        <v>160.43939999999998</v>
      </c>
      <c r="BI38" s="50">
        <f t="shared" si="82"/>
        <v>53.479799999999997</v>
      </c>
      <c r="BJ38" s="50">
        <f t="shared" si="83"/>
        <v>53.479799999999997</v>
      </c>
      <c r="BK38" s="50">
        <f t="shared" si="84"/>
        <v>106.95959999999999</v>
      </c>
      <c r="BL38" s="50">
        <f t="shared" si="85"/>
        <v>106.95959999999999</v>
      </c>
      <c r="BM38" s="51">
        <f t="shared" si="86"/>
        <v>0</v>
      </c>
      <c r="BN38" s="52">
        <f t="shared" si="87"/>
        <v>0</v>
      </c>
      <c r="BO38" s="52">
        <f t="shared" si="88"/>
        <v>0</v>
      </c>
      <c r="BP38" s="51">
        <f t="shared" si="89"/>
        <v>0.32</v>
      </c>
      <c r="BQ38" s="53">
        <f t="shared" si="90"/>
        <v>3422.7071999999998</v>
      </c>
      <c r="BR38" s="53">
        <f t="shared" si="91"/>
        <v>3422.7071999999998</v>
      </c>
      <c r="BS38" s="54">
        <f t="shared" si="92"/>
        <v>14567.897519999999</v>
      </c>
      <c r="BT38" s="55">
        <f t="shared" si="93"/>
        <v>14567.897519999999</v>
      </c>
      <c r="BU38" s="10">
        <f t="shared" si="94"/>
        <v>1382.1534648956356</v>
      </c>
      <c r="BV38" s="3"/>
    </row>
    <row r="39" spans="1:74" ht="28.35" hidden="1" customHeight="1">
      <c r="A39" s="723" t="s">
        <v>251</v>
      </c>
      <c r="B39" s="666" t="s">
        <v>254</v>
      </c>
      <c r="C39" s="666" t="s">
        <v>255</v>
      </c>
      <c r="D39" s="45">
        <v>1700</v>
      </c>
      <c r="E39" s="45"/>
      <c r="F39" s="45">
        <v>6200</v>
      </c>
      <c r="G39" s="46">
        <f t="shared" si="38"/>
        <v>10.54</v>
      </c>
      <c r="H39" s="667">
        <v>1</v>
      </c>
      <c r="I39" s="46">
        <f t="shared" si="39"/>
        <v>10.54</v>
      </c>
      <c r="J39" s="47">
        <v>0</v>
      </c>
      <c r="K39" s="47">
        <f t="shared" si="40"/>
        <v>0</v>
      </c>
      <c r="L39" s="47">
        <f t="shared" si="41"/>
        <v>0</v>
      </c>
      <c r="M39" s="47">
        <f t="shared" si="42"/>
        <v>0</v>
      </c>
      <c r="N39" s="47">
        <f t="shared" si="43"/>
        <v>0</v>
      </c>
      <c r="O39" s="47">
        <f t="shared" si="44"/>
        <v>0</v>
      </c>
      <c r="P39" s="47">
        <v>0</v>
      </c>
      <c r="Q39" s="47">
        <f t="shared" si="45"/>
        <v>0</v>
      </c>
      <c r="R39" s="47">
        <v>0</v>
      </c>
      <c r="S39" s="47">
        <f t="shared" si="46"/>
        <v>0</v>
      </c>
      <c r="T39" s="47">
        <f t="shared" ref="T39:T46" si="104">$T$5</f>
        <v>650</v>
      </c>
      <c r="U39" s="47">
        <f t="shared" si="48"/>
        <v>650</v>
      </c>
      <c r="V39" s="47">
        <f t="shared" si="49"/>
        <v>650</v>
      </c>
      <c r="W39" s="47">
        <f t="shared" si="50"/>
        <v>650</v>
      </c>
      <c r="X39" s="47">
        <f t="shared" si="51"/>
        <v>347.6</v>
      </c>
      <c r="Y39" s="47">
        <f t="shared" si="52"/>
        <v>347.6</v>
      </c>
      <c r="Z39" s="47">
        <f t="shared" si="53"/>
        <v>347.6</v>
      </c>
      <c r="AA39" s="47">
        <f t="shared" si="54"/>
        <v>347.6</v>
      </c>
      <c r="AB39" s="47">
        <f t="shared" si="55"/>
        <v>347.6</v>
      </c>
      <c r="AC39" s="47">
        <f t="shared" si="56"/>
        <v>347.6</v>
      </c>
      <c r="AD39" s="47">
        <f t="shared" si="57"/>
        <v>158.1</v>
      </c>
      <c r="AE39" s="47">
        <f t="shared" si="58"/>
        <v>158.1</v>
      </c>
      <c r="AF39" s="47">
        <f>1185+350+163+340</f>
        <v>2038</v>
      </c>
      <c r="AG39" s="47">
        <f t="shared" si="59"/>
        <v>2038</v>
      </c>
      <c r="AH39" s="47">
        <v>0</v>
      </c>
      <c r="AI39" s="47">
        <f t="shared" si="60"/>
        <v>0</v>
      </c>
      <c r="AJ39" s="724">
        <v>0</v>
      </c>
      <c r="AK39" s="724">
        <f t="shared" si="61"/>
        <v>0</v>
      </c>
      <c r="AL39" s="47">
        <f t="shared" si="62"/>
        <v>60</v>
      </c>
      <c r="AM39" s="47">
        <f t="shared" si="63"/>
        <v>60</v>
      </c>
      <c r="AN39" s="47">
        <f t="shared" ref="AN39:AN45" si="105">$AN$5*G39</f>
        <v>1422.8999999999999</v>
      </c>
      <c r="AO39" s="47">
        <f t="shared" si="65"/>
        <v>1422.8999999999999</v>
      </c>
      <c r="AP39" s="47">
        <v>0</v>
      </c>
      <c r="AQ39" s="47">
        <f t="shared" si="66"/>
        <v>0</v>
      </c>
      <c r="AR39" s="47">
        <f t="shared" si="67"/>
        <v>553</v>
      </c>
      <c r="AS39" s="47">
        <f t="shared" si="68"/>
        <v>553</v>
      </c>
      <c r="AT39" s="724">
        <v>3000</v>
      </c>
      <c r="AU39" s="47">
        <f t="shared" si="69"/>
        <v>3000</v>
      </c>
      <c r="AV39" s="47">
        <f t="shared" si="102"/>
        <v>2466.3599999999997</v>
      </c>
      <c r="AW39" s="47">
        <f t="shared" si="71"/>
        <v>2466.3599999999997</v>
      </c>
      <c r="AX39" s="47">
        <v>0</v>
      </c>
      <c r="AY39" s="47">
        <f t="shared" si="72"/>
        <v>0</v>
      </c>
      <c r="AZ39" s="47">
        <f t="shared" si="73"/>
        <v>0</v>
      </c>
      <c r="BA39" s="47">
        <f t="shared" si="74"/>
        <v>0</v>
      </c>
      <c r="BB39" s="48">
        <f t="shared" si="75"/>
        <v>10695.96</v>
      </c>
      <c r="BC39" s="49">
        <f t="shared" si="76"/>
        <v>10695.96</v>
      </c>
      <c r="BD39" s="7">
        <f t="shared" si="77"/>
        <v>1014.796963946869</v>
      </c>
      <c r="BE39" s="47">
        <f t="shared" si="78"/>
        <v>128.35151999999999</v>
      </c>
      <c r="BF39" s="47">
        <f t="shared" si="79"/>
        <v>128.35151999999999</v>
      </c>
      <c r="BG39" s="50">
        <f t="shared" si="80"/>
        <v>160.43939999999998</v>
      </c>
      <c r="BH39" s="50">
        <f t="shared" si="81"/>
        <v>160.43939999999998</v>
      </c>
      <c r="BI39" s="50">
        <f t="shared" si="82"/>
        <v>53.479799999999997</v>
      </c>
      <c r="BJ39" s="50">
        <f t="shared" si="83"/>
        <v>53.479799999999997</v>
      </c>
      <c r="BK39" s="50">
        <f t="shared" si="84"/>
        <v>106.95959999999999</v>
      </c>
      <c r="BL39" s="50">
        <f t="shared" si="85"/>
        <v>106.95959999999999</v>
      </c>
      <c r="BM39" s="51">
        <f t="shared" si="86"/>
        <v>0</v>
      </c>
      <c r="BN39" s="52">
        <f t="shared" si="87"/>
        <v>0</v>
      </c>
      <c r="BO39" s="52">
        <f t="shared" si="88"/>
        <v>0</v>
      </c>
      <c r="BP39" s="51">
        <f t="shared" si="89"/>
        <v>0.32</v>
      </c>
      <c r="BQ39" s="53">
        <f t="shared" si="90"/>
        <v>3422.7071999999998</v>
      </c>
      <c r="BR39" s="53">
        <f t="shared" si="91"/>
        <v>3422.7071999999998</v>
      </c>
      <c r="BS39" s="54">
        <f t="shared" si="92"/>
        <v>14567.897519999999</v>
      </c>
      <c r="BT39" s="55">
        <f t="shared" si="93"/>
        <v>14567.897519999999</v>
      </c>
      <c r="BU39" s="10">
        <f t="shared" si="94"/>
        <v>1382.1534648956356</v>
      </c>
      <c r="BV39" s="3"/>
    </row>
    <row r="40" spans="1:74" ht="28.35" hidden="1" customHeight="1">
      <c r="A40" s="723" t="s">
        <v>251</v>
      </c>
      <c r="B40" s="666" t="s">
        <v>256</v>
      </c>
      <c r="C40" s="666" t="s">
        <v>257</v>
      </c>
      <c r="D40" s="45">
        <v>1700</v>
      </c>
      <c r="E40" s="45"/>
      <c r="F40" s="45">
        <v>6200</v>
      </c>
      <c r="G40" s="46">
        <f t="shared" si="38"/>
        <v>10.54</v>
      </c>
      <c r="H40" s="667">
        <v>2</v>
      </c>
      <c r="I40" s="46">
        <f t="shared" si="39"/>
        <v>21.08</v>
      </c>
      <c r="J40" s="47">
        <v>0</v>
      </c>
      <c r="K40" s="47">
        <f t="shared" si="40"/>
        <v>0</v>
      </c>
      <c r="L40" s="47">
        <f t="shared" si="41"/>
        <v>0</v>
      </c>
      <c r="M40" s="47">
        <f t="shared" si="42"/>
        <v>0</v>
      </c>
      <c r="N40" s="47">
        <f t="shared" si="43"/>
        <v>0</v>
      </c>
      <c r="O40" s="47">
        <f t="shared" si="44"/>
        <v>0</v>
      </c>
      <c r="P40" s="47">
        <v>0</v>
      </c>
      <c r="Q40" s="47">
        <f t="shared" si="45"/>
        <v>0</v>
      </c>
      <c r="R40" s="47">
        <v>0</v>
      </c>
      <c r="S40" s="47">
        <f t="shared" si="46"/>
        <v>0</v>
      </c>
      <c r="T40" s="47">
        <f t="shared" si="104"/>
        <v>650</v>
      </c>
      <c r="U40" s="47">
        <f t="shared" si="48"/>
        <v>650</v>
      </c>
      <c r="V40" s="47">
        <f t="shared" si="49"/>
        <v>650</v>
      </c>
      <c r="W40" s="47">
        <f t="shared" si="50"/>
        <v>1300</v>
      </c>
      <c r="X40" s="47">
        <f t="shared" si="51"/>
        <v>347.6</v>
      </c>
      <c r="Y40" s="47">
        <f t="shared" si="52"/>
        <v>347.6</v>
      </c>
      <c r="Z40" s="47">
        <f t="shared" si="53"/>
        <v>347.6</v>
      </c>
      <c r="AA40" s="47">
        <f t="shared" si="54"/>
        <v>347.6</v>
      </c>
      <c r="AB40" s="47">
        <f t="shared" si="55"/>
        <v>347.6</v>
      </c>
      <c r="AC40" s="47">
        <f t="shared" si="56"/>
        <v>695.2</v>
      </c>
      <c r="AD40" s="47">
        <f t="shared" si="57"/>
        <v>158.1</v>
      </c>
      <c r="AE40" s="47">
        <f t="shared" si="58"/>
        <v>316.2</v>
      </c>
      <c r="AF40" s="47">
        <f>1185+341+163+340</f>
        <v>2029</v>
      </c>
      <c r="AG40" s="47">
        <f t="shared" si="59"/>
        <v>4058</v>
      </c>
      <c r="AH40" s="47">
        <v>0</v>
      </c>
      <c r="AI40" s="47">
        <f t="shared" si="60"/>
        <v>0</v>
      </c>
      <c r="AJ40" s="724">
        <v>0</v>
      </c>
      <c r="AK40" s="724">
        <f t="shared" si="61"/>
        <v>0</v>
      </c>
      <c r="AL40" s="47">
        <f t="shared" si="62"/>
        <v>60</v>
      </c>
      <c r="AM40" s="47">
        <f t="shared" si="63"/>
        <v>120</v>
      </c>
      <c r="AN40" s="47">
        <f t="shared" si="105"/>
        <v>1422.8999999999999</v>
      </c>
      <c r="AO40" s="47">
        <f t="shared" si="65"/>
        <v>2845.7999999999997</v>
      </c>
      <c r="AP40" s="47">
        <v>0</v>
      </c>
      <c r="AQ40" s="47">
        <f t="shared" si="66"/>
        <v>0</v>
      </c>
      <c r="AR40" s="47">
        <f t="shared" si="67"/>
        <v>553</v>
      </c>
      <c r="AS40" s="47">
        <f t="shared" si="68"/>
        <v>1106</v>
      </c>
      <c r="AT40" s="724">
        <v>3000</v>
      </c>
      <c r="AU40" s="47">
        <f t="shared" si="69"/>
        <v>6000</v>
      </c>
      <c r="AV40" s="47">
        <f t="shared" si="102"/>
        <v>2466.3599999999997</v>
      </c>
      <c r="AW40" s="47">
        <f t="shared" si="71"/>
        <v>4932.7199999999993</v>
      </c>
      <c r="AX40" s="47">
        <v>0</v>
      </c>
      <c r="AY40" s="47">
        <f t="shared" si="72"/>
        <v>0</v>
      </c>
      <c r="AZ40" s="47">
        <f t="shared" si="73"/>
        <v>0</v>
      </c>
      <c r="BA40" s="47">
        <f t="shared" si="74"/>
        <v>0</v>
      </c>
      <c r="BB40" s="48">
        <f t="shared" si="75"/>
        <v>10686.96</v>
      </c>
      <c r="BC40" s="49">
        <f t="shared" si="76"/>
        <v>21373.919999999998</v>
      </c>
      <c r="BD40" s="7">
        <f t="shared" si="77"/>
        <v>1013.9430740037951</v>
      </c>
      <c r="BE40" s="47">
        <f t="shared" si="78"/>
        <v>128.24351999999999</v>
      </c>
      <c r="BF40" s="47">
        <f t="shared" si="79"/>
        <v>256.48703999999998</v>
      </c>
      <c r="BG40" s="50">
        <f t="shared" si="80"/>
        <v>160.30439999999999</v>
      </c>
      <c r="BH40" s="50">
        <f t="shared" si="81"/>
        <v>320.60879999999997</v>
      </c>
      <c r="BI40" s="50">
        <f t="shared" si="82"/>
        <v>53.434799999999996</v>
      </c>
      <c r="BJ40" s="50">
        <f t="shared" si="83"/>
        <v>106.86959999999999</v>
      </c>
      <c r="BK40" s="50">
        <f t="shared" si="84"/>
        <v>106.86959999999999</v>
      </c>
      <c r="BL40" s="50">
        <f t="shared" si="85"/>
        <v>213.73919999999998</v>
      </c>
      <c r="BM40" s="51">
        <f t="shared" si="86"/>
        <v>0</v>
      </c>
      <c r="BN40" s="52">
        <f t="shared" si="87"/>
        <v>0</v>
      </c>
      <c r="BO40" s="52">
        <f t="shared" si="88"/>
        <v>0</v>
      </c>
      <c r="BP40" s="51">
        <f t="shared" si="89"/>
        <v>0.32</v>
      </c>
      <c r="BQ40" s="53">
        <f t="shared" si="90"/>
        <v>3419.8271999999997</v>
      </c>
      <c r="BR40" s="53">
        <f t="shared" si="91"/>
        <v>6839.6543999999994</v>
      </c>
      <c r="BS40" s="54">
        <f t="shared" si="92"/>
        <v>14555.639519999999</v>
      </c>
      <c r="BT40" s="55">
        <f t="shared" si="93"/>
        <v>29111.279039999998</v>
      </c>
      <c r="BU40" s="10">
        <f t="shared" si="94"/>
        <v>1380.9904667931689</v>
      </c>
      <c r="BV40" s="3"/>
    </row>
    <row r="41" spans="1:74" ht="28.35" hidden="1" customHeight="1">
      <c r="A41" s="723" t="s">
        <v>251</v>
      </c>
      <c r="B41" s="666" t="s">
        <v>258</v>
      </c>
      <c r="C41" s="666" t="s">
        <v>259</v>
      </c>
      <c r="D41" s="45">
        <v>1700</v>
      </c>
      <c r="E41" s="45"/>
      <c r="F41" s="45">
        <v>6200</v>
      </c>
      <c r="G41" s="46">
        <f t="shared" si="38"/>
        <v>10.54</v>
      </c>
      <c r="H41" s="667">
        <v>4</v>
      </c>
      <c r="I41" s="46">
        <f t="shared" si="39"/>
        <v>42.16</v>
      </c>
      <c r="J41" s="47">
        <v>0</v>
      </c>
      <c r="K41" s="47">
        <f t="shared" si="40"/>
        <v>0</v>
      </c>
      <c r="L41" s="47">
        <f t="shared" si="41"/>
        <v>0</v>
      </c>
      <c r="M41" s="47">
        <f t="shared" si="42"/>
        <v>0</v>
      </c>
      <c r="N41" s="47">
        <f t="shared" si="43"/>
        <v>0</v>
      </c>
      <c r="O41" s="47">
        <f t="shared" si="44"/>
        <v>0</v>
      </c>
      <c r="P41" s="47">
        <v>0</v>
      </c>
      <c r="Q41" s="47">
        <f t="shared" si="45"/>
        <v>0</v>
      </c>
      <c r="R41" s="47">
        <v>0</v>
      </c>
      <c r="S41" s="47">
        <f t="shared" si="46"/>
        <v>0</v>
      </c>
      <c r="T41" s="47">
        <f t="shared" si="104"/>
        <v>650</v>
      </c>
      <c r="U41" s="47">
        <f t="shared" si="48"/>
        <v>650</v>
      </c>
      <c r="V41" s="47">
        <f t="shared" si="49"/>
        <v>650</v>
      </c>
      <c r="W41" s="47">
        <f t="shared" si="50"/>
        <v>2600</v>
      </c>
      <c r="X41" s="47">
        <f t="shared" si="51"/>
        <v>347.6</v>
      </c>
      <c r="Y41" s="47">
        <f t="shared" si="52"/>
        <v>347.6</v>
      </c>
      <c r="Z41" s="47">
        <f t="shared" si="53"/>
        <v>347.6</v>
      </c>
      <c r="AA41" s="47">
        <f t="shared" si="54"/>
        <v>347.6</v>
      </c>
      <c r="AB41" s="47">
        <f t="shared" si="55"/>
        <v>347.6</v>
      </c>
      <c r="AC41" s="47">
        <f t="shared" si="56"/>
        <v>1390.4</v>
      </c>
      <c r="AD41" s="47">
        <f t="shared" si="57"/>
        <v>158.1</v>
      </c>
      <c r="AE41" s="47">
        <f t="shared" si="58"/>
        <v>632.4</v>
      </c>
      <c r="AF41" s="47">
        <f>1185+350+163+340</f>
        <v>2038</v>
      </c>
      <c r="AG41" s="47">
        <f t="shared" si="59"/>
        <v>8152</v>
      </c>
      <c r="AH41" s="47">
        <v>0</v>
      </c>
      <c r="AI41" s="47">
        <f t="shared" si="60"/>
        <v>0</v>
      </c>
      <c r="AJ41" s="724">
        <v>0</v>
      </c>
      <c r="AK41" s="724">
        <f t="shared" si="61"/>
        <v>0</v>
      </c>
      <c r="AL41" s="47">
        <f t="shared" si="62"/>
        <v>60</v>
      </c>
      <c r="AM41" s="47">
        <f t="shared" si="63"/>
        <v>240</v>
      </c>
      <c r="AN41" s="47">
        <f t="shared" si="105"/>
        <v>1422.8999999999999</v>
      </c>
      <c r="AO41" s="47">
        <f t="shared" si="65"/>
        <v>5691.5999999999995</v>
      </c>
      <c r="AP41" s="47">
        <v>0</v>
      </c>
      <c r="AQ41" s="47">
        <f t="shared" si="66"/>
        <v>0</v>
      </c>
      <c r="AR41" s="47">
        <f t="shared" si="67"/>
        <v>553</v>
      </c>
      <c r="AS41" s="47">
        <f t="shared" si="68"/>
        <v>2212</v>
      </c>
      <c r="AT41" s="724">
        <v>3000</v>
      </c>
      <c r="AU41" s="47">
        <f t="shared" si="69"/>
        <v>12000</v>
      </c>
      <c r="AV41" s="47">
        <f t="shared" si="102"/>
        <v>2466.3599999999997</v>
      </c>
      <c r="AW41" s="47">
        <f t="shared" si="71"/>
        <v>9865.4399999999987</v>
      </c>
      <c r="AX41" s="47">
        <v>0</v>
      </c>
      <c r="AY41" s="47">
        <f t="shared" si="72"/>
        <v>0</v>
      </c>
      <c r="AZ41" s="47">
        <f t="shared" si="73"/>
        <v>0</v>
      </c>
      <c r="BA41" s="47">
        <f t="shared" si="74"/>
        <v>0</v>
      </c>
      <c r="BB41" s="48">
        <f t="shared" si="75"/>
        <v>10695.96</v>
      </c>
      <c r="BC41" s="49">
        <f t="shared" si="76"/>
        <v>42783.839999999997</v>
      </c>
      <c r="BD41" s="7">
        <f t="shared" si="77"/>
        <v>1014.796963946869</v>
      </c>
      <c r="BE41" s="47">
        <f t="shared" si="78"/>
        <v>128.35151999999999</v>
      </c>
      <c r="BF41" s="47">
        <f t="shared" si="79"/>
        <v>513.40607999999997</v>
      </c>
      <c r="BG41" s="50">
        <f t="shared" si="80"/>
        <v>160.43939999999998</v>
      </c>
      <c r="BH41" s="50">
        <f t="shared" si="81"/>
        <v>641.75759999999991</v>
      </c>
      <c r="BI41" s="50">
        <f t="shared" si="82"/>
        <v>53.479799999999997</v>
      </c>
      <c r="BJ41" s="50">
        <f t="shared" si="83"/>
        <v>213.91919999999999</v>
      </c>
      <c r="BK41" s="50">
        <f t="shared" si="84"/>
        <v>106.95959999999999</v>
      </c>
      <c r="BL41" s="50">
        <f t="shared" si="85"/>
        <v>427.83839999999998</v>
      </c>
      <c r="BM41" s="51">
        <f t="shared" si="86"/>
        <v>0</v>
      </c>
      <c r="BN41" s="52">
        <f t="shared" si="87"/>
        <v>0</v>
      </c>
      <c r="BO41" s="52">
        <f t="shared" si="88"/>
        <v>0</v>
      </c>
      <c r="BP41" s="51">
        <f t="shared" si="89"/>
        <v>0.32</v>
      </c>
      <c r="BQ41" s="53">
        <f t="shared" si="90"/>
        <v>3422.7071999999998</v>
      </c>
      <c r="BR41" s="53">
        <f t="shared" si="91"/>
        <v>13690.828799999999</v>
      </c>
      <c r="BS41" s="54">
        <f t="shared" si="92"/>
        <v>14567.897519999999</v>
      </c>
      <c r="BT41" s="55">
        <f t="shared" si="93"/>
        <v>58271.590079999994</v>
      </c>
      <c r="BU41" s="10">
        <f t="shared" si="94"/>
        <v>1382.1534648956356</v>
      </c>
      <c r="BV41" s="3"/>
    </row>
    <row r="42" spans="1:74" ht="28.35" hidden="1" customHeight="1">
      <c r="A42" s="723" t="s">
        <v>251</v>
      </c>
      <c r="B42" s="666" t="s">
        <v>260</v>
      </c>
      <c r="C42" s="666" t="s">
        <v>261</v>
      </c>
      <c r="D42" s="45">
        <v>1700</v>
      </c>
      <c r="E42" s="45"/>
      <c r="F42" s="45">
        <v>6200</v>
      </c>
      <c r="G42" s="46">
        <f t="shared" si="38"/>
        <v>10.54</v>
      </c>
      <c r="H42" s="667">
        <v>1</v>
      </c>
      <c r="I42" s="46">
        <f t="shared" si="39"/>
        <v>10.54</v>
      </c>
      <c r="J42" s="47">
        <v>0</v>
      </c>
      <c r="K42" s="47">
        <f t="shared" si="40"/>
        <v>0</v>
      </c>
      <c r="L42" s="47">
        <f t="shared" si="41"/>
        <v>0</v>
      </c>
      <c r="M42" s="47">
        <f t="shared" si="42"/>
        <v>0</v>
      </c>
      <c r="N42" s="47">
        <f t="shared" si="43"/>
        <v>0</v>
      </c>
      <c r="O42" s="47">
        <f t="shared" si="44"/>
        <v>0</v>
      </c>
      <c r="P42" s="47">
        <v>0</v>
      </c>
      <c r="Q42" s="47">
        <f t="shared" si="45"/>
        <v>0</v>
      </c>
      <c r="R42" s="47">
        <v>0</v>
      </c>
      <c r="S42" s="47">
        <f t="shared" si="46"/>
        <v>0</v>
      </c>
      <c r="T42" s="47">
        <f t="shared" si="104"/>
        <v>650</v>
      </c>
      <c r="U42" s="47">
        <f t="shared" si="48"/>
        <v>650</v>
      </c>
      <c r="V42" s="47">
        <f t="shared" si="49"/>
        <v>650</v>
      </c>
      <c r="W42" s="47">
        <f t="shared" si="50"/>
        <v>650</v>
      </c>
      <c r="X42" s="47">
        <f t="shared" si="51"/>
        <v>347.6</v>
      </c>
      <c r="Y42" s="47">
        <f t="shared" si="52"/>
        <v>347.6</v>
      </c>
      <c r="Z42" s="47">
        <f t="shared" si="53"/>
        <v>347.6</v>
      </c>
      <c r="AA42" s="47">
        <f t="shared" si="54"/>
        <v>347.6</v>
      </c>
      <c r="AB42" s="47">
        <f t="shared" si="55"/>
        <v>347.6</v>
      </c>
      <c r="AC42" s="47">
        <f t="shared" si="56"/>
        <v>347.6</v>
      </c>
      <c r="AD42" s="47">
        <f t="shared" si="57"/>
        <v>158.1</v>
      </c>
      <c r="AE42" s="47">
        <f t="shared" si="58"/>
        <v>158.1</v>
      </c>
      <c r="AF42" s="47">
        <f>1889+350+163+340</f>
        <v>2742</v>
      </c>
      <c r="AG42" s="47">
        <f t="shared" si="59"/>
        <v>2742</v>
      </c>
      <c r="AH42" s="47">
        <f t="shared" ref="AH42:AH46" si="106">$AH$5*G42</f>
        <v>3608.8960000000002</v>
      </c>
      <c r="AI42" s="47">
        <f t="shared" si="60"/>
        <v>3608.8960000000002</v>
      </c>
      <c r="AJ42" s="724">
        <v>0</v>
      </c>
      <c r="AK42" s="724">
        <f t="shared" si="61"/>
        <v>0</v>
      </c>
      <c r="AL42" s="47">
        <f t="shared" si="62"/>
        <v>60</v>
      </c>
      <c r="AM42" s="47">
        <f t="shared" si="63"/>
        <v>60</v>
      </c>
      <c r="AN42" s="47">
        <f t="shared" si="105"/>
        <v>1422.8999999999999</v>
      </c>
      <c r="AO42" s="47">
        <f t="shared" si="65"/>
        <v>1422.8999999999999</v>
      </c>
      <c r="AP42" s="47">
        <v>0</v>
      </c>
      <c r="AQ42" s="47">
        <f t="shared" si="66"/>
        <v>0</v>
      </c>
      <c r="AR42" s="47">
        <f t="shared" si="67"/>
        <v>553</v>
      </c>
      <c r="AS42" s="47">
        <f t="shared" si="68"/>
        <v>553</v>
      </c>
      <c r="AT42" s="724">
        <v>3000</v>
      </c>
      <c r="AU42" s="47">
        <f t="shared" si="69"/>
        <v>3000</v>
      </c>
      <c r="AV42" s="47">
        <f t="shared" si="102"/>
        <v>2466.3599999999997</v>
      </c>
      <c r="AW42" s="47">
        <f t="shared" si="71"/>
        <v>2466.3599999999997</v>
      </c>
      <c r="AX42" s="47">
        <v>0</v>
      </c>
      <c r="AY42" s="47">
        <f t="shared" si="72"/>
        <v>0</v>
      </c>
      <c r="AZ42" s="47">
        <f t="shared" si="73"/>
        <v>0</v>
      </c>
      <c r="BA42" s="47">
        <f t="shared" si="74"/>
        <v>0</v>
      </c>
      <c r="BB42" s="48">
        <f t="shared" si="75"/>
        <v>15008.856</v>
      </c>
      <c r="BC42" s="49">
        <f t="shared" si="76"/>
        <v>15008.856</v>
      </c>
      <c r="BD42" s="7">
        <f t="shared" si="77"/>
        <v>1423.9901328273245</v>
      </c>
      <c r="BE42" s="47">
        <f t="shared" si="78"/>
        <v>180.10627199999999</v>
      </c>
      <c r="BF42" s="47">
        <f t="shared" si="79"/>
        <v>180.10627199999999</v>
      </c>
      <c r="BG42" s="50">
        <f t="shared" si="80"/>
        <v>225.13283999999999</v>
      </c>
      <c r="BH42" s="50">
        <f t="shared" si="81"/>
        <v>225.13283999999999</v>
      </c>
      <c r="BI42" s="50">
        <f t="shared" si="82"/>
        <v>75.044280000000001</v>
      </c>
      <c r="BJ42" s="50">
        <f t="shared" si="83"/>
        <v>75.044280000000001</v>
      </c>
      <c r="BK42" s="50">
        <f t="shared" si="84"/>
        <v>150.08856</v>
      </c>
      <c r="BL42" s="50">
        <f t="shared" si="85"/>
        <v>150.08856</v>
      </c>
      <c r="BM42" s="51">
        <f t="shared" si="86"/>
        <v>0</v>
      </c>
      <c r="BN42" s="52">
        <f t="shared" si="87"/>
        <v>0</v>
      </c>
      <c r="BO42" s="52">
        <f t="shared" si="88"/>
        <v>0</v>
      </c>
      <c r="BP42" s="51">
        <f t="shared" si="89"/>
        <v>0.32</v>
      </c>
      <c r="BQ42" s="53">
        <f t="shared" si="90"/>
        <v>4802.83392</v>
      </c>
      <c r="BR42" s="53">
        <f t="shared" si="91"/>
        <v>4802.83392</v>
      </c>
      <c r="BS42" s="54">
        <f t="shared" si="92"/>
        <v>20442.061872000002</v>
      </c>
      <c r="BT42" s="55">
        <f t="shared" si="93"/>
        <v>20442.061872000002</v>
      </c>
      <c r="BU42" s="10">
        <f t="shared" si="94"/>
        <v>1939.4745609108163</v>
      </c>
      <c r="BV42" s="3"/>
    </row>
    <row r="43" spans="1:74" ht="28.35" hidden="1" customHeight="1">
      <c r="A43" s="723" t="s">
        <v>251</v>
      </c>
      <c r="B43" s="666" t="s">
        <v>262</v>
      </c>
      <c r="C43" s="666" t="s">
        <v>261</v>
      </c>
      <c r="D43" s="45">
        <v>1700</v>
      </c>
      <c r="E43" s="45"/>
      <c r="F43" s="45">
        <v>6200</v>
      </c>
      <c r="G43" s="46">
        <f t="shared" si="38"/>
        <v>10.54</v>
      </c>
      <c r="H43" s="667">
        <v>1</v>
      </c>
      <c r="I43" s="46">
        <f t="shared" si="39"/>
        <v>10.54</v>
      </c>
      <c r="J43" s="47">
        <v>0</v>
      </c>
      <c r="K43" s="47">
        <f t="shared" si="40"/>
        <v>0</v>
      </c>
      <c r="L43" s="47">
        <f t="shared" si="41"/>
        <v>0</v>
      </c>
      <c r="M43" s="47">
        <f t="shared" si="42"/>
        <v>0</v>
      </c>
      <c r="N43" s="47">
        <f t="shared" si="43"/>
        <v>0</v>
      </c>
      <c r="O43" s="47">
        <f t="shared" si="44"/>
        <v>0</v>
      </c>
      <c r="P43" s="47">
        <v>0</v>
      </c>
      <c r="Q43" s="47">
        <f t="shared" si="45"/>
        <v>0</v>
      </c>
      <c r="R43" s="47">
        <v>0</v>
      </c>
      <c r="S43" s="47">
        <f t="shared" si="46"/>
        <v>0</v>
      </c>
      <c r="T43" s="47">
        <f t="shared" si="104"/>
        <v>650</v>
      </c>
      <c r="U43" s="47">
        <f t="shared" si="48"/>
        <v>650</v>
      </c>
      <c r="V43" s="47">
        <f t="shared" si="49"/>
        <v>650</v>
      </c>
      <c r="W43" s="47">
        <f t="shared" si="50"/>
        <v>650</v>
      </c>
      <c r="X43" s="47">
        <f t="shared" si="51"/>
        <v>347.6</v>
      </c>
      <c r="Y43" s="47">
        <f t="shared" si="52"/>
        <v>347.6</v>
      </c>
      <c r="Z43" s="47">
        <f t="shared" si="53"/>
        <v>347.6</v>
      </c>
      <c r="AA43" s="47">
        <f t="shared" si="54"/>
        <v>347.6</v>
      </c>
      <c r="AB43" s="47">
        <f t="shared" si="55"/>
        <v>347.6</v>
      </c>
      <c r="AC43" s="47">
        <f t="shared" si="56"/>
        <v>347.6</v>
      </c>
      <c r="AD43" s="47">
        <f t="shared" si="57"/>
        <v>158.1</v>
      </c>
      <c r="AE43" s="47">
        <f t="shared" si="58"/>
        <v>158.1</v>
      </c>
      <c r="AF43" s="47">
        <f>1889+350+163+340</f>
        <v>2742</v>
      </c>
      <c r="AG43" s="47">
        <f t="shared" si="59"/>
        <v>2742</v>
      </c>
      <c r="AH43" s="47">
        <f t="shared" si="106"/>
        <v>3608.8960000000002</v>
      </c>
      <c r="AI43" s="47">
        <f t="shared" si="60"/>
        <v>3608.8960000000002</v>
      </c>
      <c r="AJ43" s="724">
        <v>0</v>
      </c>
      <c r="AK43" s="724">
        <f t="shared" si="61"/>
        <v>0</v>
      </c>
      <c r="AL43" s="47">
        <f t="shared" si="62"/>
        <v>60</v>
      </c>
      <c r="AM43" s="47">
        <f t="shared" si="63"/>
        <v>60</v>
      </c>
      <c r="AN43" s="47">
        <f t="shared" si="105"/>
        <v>1422.8999999999999</v>
      </c>
      <c r="AO43" s="47">
        <f t="shared" si="65"/>
        <v>1422.8999999999999</v>
      </c>
      <c r="AP43" s="47">
        <v>0</v>
      </c>
      <c r="AQ43" s="47">
        <f t="shared" si="66"/>
        <v>0</v>
      </c>
      <c r="AR43" s="47">
        <f t="shared" si="67"/>
        <v>553</v>
      </c>
      <c r="AS43" s="47">
        <f t="shared" si="68"/>
        <v>553</v>
      </c>
      <c r="AT43" s="724">
        <v>3000</v>
      </c>
      <c r="AU43" s="47">
        <f t="shared" si="69"/>
        <v>3000</v>
      </c>
      <c r="AV43" s="47">
        <f t="shared" si="102"/>
        <v>2466.3599999999997</v>
      </c>
      <c r="AW43" s="47">
        <f t="shared" si="71"/>
        <v>2466.3599999999997</v>
      </c>
      <c r="AX43" s="47">
        <v>0</v>
      </c>
      <c r="AY43" s="47">
        <f t="shared" si="72"/>
        <v>0</v>
      </c>
      <c r="AZ43" s="47">
        <f t="shared" si="73"/>
        <v>0</v>
      </c>
      <c r="BA43" s="47">
        <f t="shared" si="74"/>
        <v>0</v>
      </c>
      <c r="BB43" s="48">
        <f t="shared" si="75"/>
        <v>15008.856</v>
      </c>
      <c r="BC43" s="49">
        <f t="shared" si="76"/>
        <v>15008.856</v>
      </c>
      <c r="BD43" s="7">
        <f t="shared" si="77"/>
        <v>1423.9901328273245</v>
      </c>
      <c r="BE43" s="47">
        <f t="shared" si="78"/>
        <v>180.10627199999999</v>
      </c>
      <c r="BF43" s="47">
        <f t="shared" si="79"/>
        <v>180.10627199999999</v>
      </c>
      <c r="BG43" s="50">
        <f t="shared" si="80"/>
        <v>225.13283999999999</v>
      </c>
      <c r="BH43" s="50">
        <f t="shared" si="81"/>
        <v>225.13283999999999</v>
      </c>
      <c r="BI43" s="50">
        <f t="shared" si="82"/>
        <v>75.044280000000001</v>
      </c>
      <c r="BJ43" s="50">
        <f t="shared" si="83"/>
        <v>75.044280000000001</v>
      </c>
      <c r="BK43" s="50">
        <f t="shared" si="84"/>
        <v>150.08856</v>
      </c>
      <c r="BL43" s="50">
        <f t="shared" si="85"/>
        <v>150.08856</v>
      </c>
      <c r="BM43" s="51">
        <f t="shared" si="86"/>
        <v>0</v>
      </c>
      <c r="BN43" s="52">
        <f t="shared" si="87"/>
        <v>0</v>
      </c>
      <c r="BO43" s="52">
        <f t="shared" si="88"/>
        <v>0</v>
      </c>
      <c r="BP43" s="51">
        <f t="shared" si="89"/>
        <v>0.32</v>
      </c>
      <c r="BQ43" s="53">
        <f t="shared" si="90"/>
        <v>4802.83392</v>
      </c>
      <c r="BR43" s="53">
        <f t="shared" si="91"/>
        <v>4802.83392</v>
      </c>
      <c r="BS43" s="54">
        <f t="shared" si="92"/>
        <v>20442.061872000002</v>
      </c>
      <c r="BT43" s="55">
        <f t="shared" si="93"/>
        <v>20442.061872000002</v>
      </c>
      <c r="BU43" s="10">
        <f t="shared" si="94"/>
        <v>1939.4745609108163</v>
      </c>
      <c r="BV43" s="3"/>
    </row>
    <row r="44" spans="1:74" ht="28.35" hidden="1" customHeight="1">
      <c r="A44" s="723" t="s">
        <v>251</v>
      </c>
      <c r="B44" s="666" t="s">
        <v>263</v>
      </c>
      <c r="C44" s="666" t="s">
        <v>264</v>
      </c>
      <c r="D44" s="45">
        <v>1700</v>
      </c>
      <c r="E44" s="45"/>
      <c r="F44" s="45">
        <v>6200</v>
      </c>
      <c r="G44" s="46">
        <f t="shared" si="38"/>
        <v>10.54</v>
      </c>
      <c r="H44" s="667">
        <v>1</v>
      </c>
      <c r="I44" s="46">
        <f t="shared" si="39"/>
        <v>10.54</v>
      </c>
      <c r="J44" s="47">
        <v>0</v>
      </c>
      <c r="K44" s="47">
        <f t="shared" si="40"/>
        <v>0</v>
      </c>
      <c r="L44" s="47">
        <f t="shared" si="41"/>
        <v>0</v>
      </c>
      <c r="M44" s="47">
        <f t="shared" si="42"/>
        <v>0</v>
      </c>
      <c r="N44" s="47">
        <f t="shared" si="43"/>
        <v>0</v>
      </c>
      <c r="O44" s="47">
        <f t="shared" si="44"/>
        <v>0</v>
      </c>
      <c r="P44" s="47">
        <v>0</v>
      </c>
      <c r="Q44" s="47">
        <f t="shared" si="45"/>
        <v>0</v>
      </c>
      <c r="R44" s="47">
        <v>0</v>
      </c>
      <c r="S44" s="47">
        <f t="shared" si="46"/>
        <v>0</v>
      </c>
      <c r="T44" s="47">
        <f t="shared" si="104"/>
        <v>650</v>
      </c>
      <c r="U44" s="47">
        <f t="shared" si="48"/>
        <v>650</v>
      </c>
      <c r="V44" s="47">
        <f t="shared" si="49"/>
        <v>650</v>
      </c>
      <c r="W44" s="47">
        <f t="shared" si="50"/>
        <v>650</v>
      </c>
      <c r="X44" s="47">
        <f t="shared" si="51"/>
        <v>347.6</v>
      </c>
      <c r="Y44" s="47">
        <f t="shared" si="52"/>
        <v>347.6</v>
      </c>
      <c r="Z44" s="47">
        <f t="shared" si="53"/>
        <v>347.6</v>
      </c>
      <c r="AA44" s="47">
        <f t="shared" si="54"/>
        <v>347.6</v>
      </c>
      <c r="AB44" s="47">
        <f t="shared" si="55"/>
        <v>347.6</v>
      </c>
      <c r="AC44" s="47">
        <f t="shared" si="56"/>
        <v>347.6</v>
      </c>
      <c r="AD44" s="47">
        <f t="shared" si="57"/>
        <v>158.1</v>
      </c>
      <c r="AE44" s="47">
        <f t="shared" si="58"/>
        <v>158.1</v>
      </c>
      <c r="AF44" s="47">
        <f>1889+350+163+350</f>
        <v>2752</v>
      </c>
      <c r="AG44" s="47">
        <f t="shared" si="59"/>
        <v>2752</v>
      </c>
      <c r="AH44" s="47">
        <f t="shared" si="106"/>
        <v>3608.8960000000002</v>
      </c>
      <c r="AI44" s="47">
        <f t="shared" si="60"/>
        <v>3608.8960000000002</v>
      </c>
      <c r="AJ44" s="724">
        <v>0</v>
      </c>
      <c r="AK44" s="724">
        <f t="shared" si="61"/>
        <v>0</v>
      </c>
      <c r="AL44" s="47">
        <f t="shared" si="62"/>
        <v>60</v>
      </c>
      <c r="AM44" s="47">
        <f t="shared" si="63"/>
        <v>60</v>
      </c>
      <c r="AN44" s="47">
        <f t="shared" si="105"/>
        <v>1422.8999999999999</v>
      </c>
      <c r="AO44" s="47">
        <f t="shared" si="65"/>
        <v>1422.8999999999999</v>
      </c>
      <c r="AP44" s="47">
        <v>0</v>
      </c>
      <c r="AQ44" s="47">
        <f t="shared" si="66"/>
        <v>0</v>
      </c>
      <c r="AR44" s="47">
        <f t="shared" si="67"/>
        <v>553</v>
      </c>
      <c r="AS44" s="47">
        <f t="shared" si="68"/>
        <v>553</v>
      </c>
      <c r="AT44" s="724">
        <v>3000</v>
      </c>
      <c r="AU44" s="47">
        <f t="shared" si="69"/>
        <v>3000</v>
      </c>
      <c r="AV44" s="47">
        <f t="shared" si="102"/>
        <v>2466.3599999999997</v>
      </c>
      <c r="AW44" s="47">
        <f t="shared" si="71"/>
        <v>2466.3599999999997</v>
      </c>
      <c r="AX44" s="47">
        <v>0</v>
      </c>
      <c r="AY44" s="47">
        <f t="shared" si="72"/>
        <v>0</v>
      </c>
      <c r="AZ44" s="47">
        <f t="shared" si="73"/>
        <v>0</v>
      </c>
      <c r="BA44" s="47">
        <f t="shared" si="74"/>
        <v>0</v>
      </c>
      <c r="BB44" s="48">
        <f t="shared" si="75"/>
        <v>15018.856</v>
      </c>
      <c r="BC44" s="49">
        <f t="shared" si="76"/>
        <v>15018.856</v>
      </c>
      <c r="BD44" s="7">
        <f t="shared" si="77"/>
        <v>1424.9388994307401</v>
      </c>
      <c r="BE44" s="47">
        <f t="shared" si="78"/>
        <v>180.22627199999999</v>
      </c>
      <c r="BF44" s="47">
        <f t="shared" si="79"/>
        <v>180.22627199999999</v>
      </c>
      <c r="BG44" s="50">
        <f t="shared" si="80"/>
        <v>225.28283999999999</v>
      </c>
      <c r="BH44" s="50">
        <f t="shared" si="81"/>
        <v>225.28283999999999</v>
      </c>
      <c r="BI44" s="50">
        <f t="shared" si="82"/>
        <v>75.094279999999998</v>
      </c>
      <c r="BJ44" s="50">
        <f t="shared" si="83"/>
        <v>75.094279999999998</v>
      </c>
      <c r="BK44" s="50">
        <f t="shared" si="84"/>
        <v>150.18856</v>
      </c>
      <c r="BL44" s="50">
        <f t="shared" si="85"/>
        <v>150.18856</v>
      </c>
      <c r="BM44" s="51">
        <f t="shared" si="86"/>
        <v>0</v>
      </c>
      <c r="BN44" s="52">
        <f t="shared" si="87"/>
        <v>0</v>
      </c>
      <c r="BO44" s="52">
        <f t="shared" si="88"/>
        <v>0</v>
      </c>
      <c r="BP44" s="51">
        <f t="shared" si="89"/>
        <v>0.32</v>
      </c>
      <c r="BQ44" s="53">
        <f t="shared" si="90"/>
        <v>4806.0339199999999</v>
      </c>
      <c r="BR44" s="53">
        <f t="shared" si="91"/>
        <v>4806.0339199999999</v>
      </c>
      <c r="BS44" s="54">
        <f t="shared" si="92"/>
        <v>20455.681872000001</v>
      </c>
      <c r="BT44" s="55">
        <f t="shared" si="93"/>
        <v>20455.681872000001</v>
      </c>
      <c r="BU44" s="10">
        <f t="shared" si="94"/>
        <v>1940.7667810246683</v>
      </c>
      <c r="BV44" s="3"/>
    </row>
    <row r="45" spans="1:74" ht="28.35" hidden="1" customHeight="1">
      <c r="A45" s="723" t="s">
        <v>251</v>
      </c>
      <c r="B45" s="666" t="s">
        <v>265</v>
      </c>
      <c r="C45" s="666" t="s">
        <v>266</v>
      </c>
      <c r="D45" s="45">
        <v>1700</v>
      </c>
      <c r="E45" s="45"/>
      <c r="F45" s="45">
        <v>6200</v>
      </c>
      <c r="G45" s="46">
        <f t="shared" si="38"/>
        <v>10.54</v>
      </c>
      <c r="H45" s="667">
        <v>4</v>
      </c>
      <c r="I45" s="46">
        <f t="shared" si="39"/>
        <v>42.16</v>
      </c>
      <c r="J45" s="47">
        <v>0</v>
      </c>
      <c r="K45" s="47">
        <f t="shared" si="40"/>
        <v>0</v>
      </c>
      <c r="L45" s="47">
        <f t="shared" si="41"/>
        <v>0</v>
      </c>
      <c r="M45" s="47">
        <f t="shared" si="42"/>
        <v>0</v>
      </c>
      <c r="N45" s="47">
        <f t="shared" si="43"/>
        <v>0</v>
      </c>
      <c r="O45" s="47">
        <f t="shared" si="44"/>
        <v>0</v>
      </c>
      <c r="P45" s="47">
        <v>0</v>
      </c>
      <c r="Q45" s="47">
        <f t="shared" si="45"/>
        <v>0</v>
      </c>
      <c r="R45" s="47">
        <v>0</v>
      </c>
      <c r="S45" s="47">
        <f t="shared" si="46"/>
        <v>0</v>
      </c>
      <c r="T45" s="47">
        <f t="shared" si="104"/>
        <v>650</v>
      </c>
      <c r="U45" s="47">
        <f t="shared" si="48"/>
        <v>650</v>
      </c>
      <c r="V45" s="47">
        <f t="shared" si="49"/>
        <v>650</v>
      </c>
      <c r="W45" s="47">
        <f t="shared" si="50"/>
        <v>2600</v>
      </c>
      <c r="X45" s="47">
        <f t="shared" si="51"/>
        <v>347.6</v>
      </c>
      <c r="Y45" s="47">
        <f t="shared" si="52"/>
        <v>347.6</v>
      </c>
      <c r="Z45" s="47">
        <f t="shared" si="53"/>
        <v>347.6</v>
      </c>
      <c r="AA45" s="47">
        <f t="shared" si="54"/>
        <v>347.6</v>
      </c>
      <c r="AB45" s="47">
        <f t="shared" si="55"/>
        <v>347.6</v>
      </c>
      <c r="AC45" s="47">
        <f t="shared" si="56"/>
        <v>1390.4</v>
      </c>
      <c r="AD45" s="47">
        <f t="shared" si="57"/>
        <v>158.1</v>
      </c>
      <c r="AE45" s="47">
        <f t="shared" si="58"/>
        <v>632.4</v>
      </c>
      <c r="AF45" s="47">
        <f>1185+350+163+350</f>
        <v>2048</v>
      </c>
      <c r="AG45" s="47">
        <f t="shared" si="59"/>
        <v>8192</v>
      </c>
      <c r="AH45" s="47">
        <f t="shared" si="106"/>
        <v>3608.8960000000002</v>
      </c>
      <c r="AI45" s="47">
        <f t="shared" si="60"/>
        <v>14435.584000000001</v>
      </c>
      <c r="AJ45" s="724">
        <v>0</v>
      </c>
      <c r="AK45" s="724">
        <f t="shared" si="61"/>
        <v>0</v>
      </c>
      <c r="AL45" s="47">
        <f t="shared" si="62"/>
        <v>60</v>
      </c>
      <c r="AM45" s="47">
        <f t="shared" si="63"/>
        <v>240</v>
      </c>
      <c r="AN45" s="47">
        <f t="shared" si="105"/>
        <v>1422.8999999999999</v>
      </c>
      <c r="AO45" s="47">
        <f t="shared" si="65"/>
        <v>5691.5999999999995</v>
      </c>
      <c r="AP45" s="47">
        <v>0</v>
      </c>
      <c r="AQ45" s="47">
        <f t="shared" si="66"/>
        <v>0</v>
      </c>
      <c r="AR45" s="47">
        <f t="shared" si="67"/>
        <v>553</v>
      </c>
      <c r="AS45" s="47">
        <f t="shared" si="68"/>
        <v>2212</v>
      </c>
      <c r="AT45" s="724">
        <v>3000</v>
      </c>
      <c r="AU45" s="47">
        <f t="shared" si="69"/>
        <v>12000</v>
      </c>
      <c r="AV45" s="47">
        <f t="shared" si="102"/>
        <v>2466.3599999999997</v>
      </c>
      <c r="AW45" s="47">
        <f t="shared" si="71"/>
        <v>9865.4399999999987</v>
      </c>
      <c r="AX45" s="47">
        <v>0</v>
      </c>
      <c r="AY45" s="47">
        <f t="shared" si="72"/>
        <v>0</v>
      </c>
      <c r="AZ45" s="47">
        <f t="shared" si="73"/>
        <v>0</v>
      </c>
      <c r="BA45" s="47">
        <f t="shared" si="74"/>
        <v>0</v>
      </c>
      <c r="BB45" s="48">
        <f t="shared" si="75"/>
        <v>14314.856</v>
      </c>
      <c r="BC45" s="49">
        <f t="shared" si="76"/>
        <v>57259.423999999999</v>
      </c>
      <c r="BD45" s="7">
        <f t="shared" si="77"/>
        <v>1358.1457305502847</v>
      </c>
      <c r="BE45" s="47">
        <f t="shared" si="78"/>
        <v>171.77827199999999</v>
      </c>
      <c r="BF45" s="47">
        <f t="shared" si="79"/>
        <v>687.11308799999995</v>
      </c>
      <c r="BG45" s="50">
        <f t="shared" si="80"/>
        <v>214.72283999999999</v>
      </c>
      <c r="BH45" s="50">
        <f t="shared" si="81"/>
        <v>858.89135999999996</v>
      </c>
      <c r="BI45" s="50">
        <f t="shared" si="82"/>
        <v>71.574280000000002</v>
      </c>
      <c r="BJ45" s="50">
        <f t="shared" si="83"/>
        <v>286.29712000000001</v>
      </c>
      <c r="BK45" s="50">
        <f t="shared" si="84"/>
        <v>143.14856</v>
      </c>
      <c r="BL45" s="50">
        <f t="shared" si="85"/>
        <v>572.59424000000001</v>
      </c>
      <c r="BM45" s="51">
        <f t="shared" si="86"/>
        <v>0</v>
      </c>
      <c r="BN45" s="52">
        <f t="shared" si="87"/>
        <v>0</v>
      </c>
      <c r="BO45" s="52">
        <f t="shared" si="88"/>
        <v>0</v>
      </c>
      <c r="BP45" s="51">
        <f t="shared" si="89"/>
        <v>0.32</v>
      </c>
      <c r="BQ45" s="53">
        <f t="shared" si="90"/>
        <v>4580.7539200000001</v>
      </c>
      <c r="BR45" s="53">
        <f t="shared" si="91"/>
        <v>18323.01568</v>
      </c>
      <c r="BS45" s="54">
        <f t="shared" si="92"/>
        <v>19496.833871999999</v>
      </c>
      <c r="BT45" s="55">
        <f t="shared" si="93"/>
        <v>77987.335487999997</v>
      </c>
      <c r="BU45" s="10">
        <f t="shared" si="94"/>
        <v>1849.7944850094877</v>
      </c>
      <c r="BV45" s="3"/>
    </row>
    <row r="46" spans="1:74" ht="28.35" customHeight="1">
      <c r="A46" s="646"/>
      <c r="B46" s="666" t="s">
        <v>267</v>
      </c>
      <c r="C46" s="666" t="s">
        <v>242</v>
      </c>
      <c r="D46" s="45">
        <v>3000</v>
      </c>
      <c r="E46" s="45"/>
      <c r="F46" s="45">
        <v>5900</v>
      </c>
      <c r="G46" s="46">
        <f t="shared" si="38"/>
        <v>17.7</v>
      </c>
      <c r="H46" s="667">
        <v>2</v>
      </c>
      <c r="I46" s="46">
        <f t="shared" si="39"/>
        <v>35.4</v>
      </c>
      <c r="J46" s="47">
        <v>0</v>
      </c>
      <c r="K46" s="47">
        <f t="shared" si="40"/>
        <v>0</v>
      </c>
      <c r="L46" s="47">
        <f t="shared" si="41"/>
        <v>0</v>
      </c>
      <c r="M46" s="47">
        <f t="shared" si="42"/>
        <v>0</v>
      </c>
      <c r="N46" s="47">
        <f t="shared" si="43"/>
        <v>0</v>
      </c>
      <c r="O46" s="47">
        <f t="shared" si="44"/>
        <v>0</v>
      </c>
      <c r="P46" s="47">
        <v>0</v>
      </c>
      <c r="Q46" s="47">
        <f t="shared" si="45"/>
        <v>0</v>
      </c>
      <c r="R46" s="47">
        <v>0</v>
      </c>
      <c r="S46" s="47">
        <f t="shared" si="46"/>
        <v>0</v>
      </c>
      <c r="T46" s="47">
        <f t="shared" si="104"/>
        <v>650</v>
      </c>
      <c r="U46" s="47">
        <f t="shared" si="48"/>
        <v>650</v>
      </c>
      <c r="V46" s="47">
        <f t="shared" si="49"/>
        <v>650</v>
      </c>
      <c r="W46" s="47">
        <f t="shared" si="50"/>
        <v>1300</v>
      </c>
      <c r="X46" s="47">
        <f t="shared" si="51"/>
        <v>391.6</v>
      </c>
      <c r="Y46" s="47">
        <f t="shared" si="52"/>
        <v>391.6</v>
      </c>
      <c r="Z46" s="47">
        <f t="shared" si="53"/>
        <v>391.6</v>
      </c>
      <c r="AA46" s="47">
        <f t="shared" si="54"/>
        <v>391.6</v>
      </c>
      <c r="AB46" s="47">
        <f t="shared" si="55"/>
        <v>391.6</v>
      </c>
      <c r="AC46" s="47">
        <f t="shared" si="56"/>
        <v>783.2</v>
      </c>
      <c r="AD46" s="47">
        <f t="shared" si="57"/>
        <v>265.5</v>
      </c>
      <c r="AE46" s="47">
        <f t="shared" si="58"/>
        <v>531</v>
      </c>
      <c r="AF46" s="47">
        <v>0</v>
      </c>
      <c r="AG46" s="47">
        <f t="shared" si="59"/>
        <v>0</v>
      </c>
      <c r="AH46" s="47">
        <f t="shared" si="106"/>
        <v>6060.4800000000005</v>
      </c>
      <c r="AI46" s="47">
        <f t="shared" si="60"/>
        <v>12120.960000000001</v>
      </c>
      <c r="AJ46" s="47">
        <v>5965</v>
      </c>
      <c r="AK46" s="47">
        <f t="shared" si="61"/>
        <v>11930</v>
      </c>
      <c r="AL46" s="47">
        <f t="shared" si="62"/>
        <v>60</v>
      </c>
      <c r="AM46" s="47">
        <f t="shared" si="63"/>
        <v>120</v>
      </c>
      <c r="AN46" s="47">
        <f>$AN$7*G46</f>
        <v>4779</v>
      </c>
      <c r="AO46" s="47">
        <f t="shared" si="65"/>
        <v>9558</v>
      </c>
      <c r="AP46" s="47">
        <v>0</v>
      </c>
      <c r="AQ46" s="47">
        <f t="shared" si="66"/>
        <v>0</v>
      </c>
      <c r="AR46" s="47">
        <f t="shared" si="67"/>
        <v>623</v>
      </c>
      <c r="AS46" s="47">
        <f t="shared" si="68"/>
        <v>1246</v>
      </c>
      <c r="AT46" s="47">
        <v>0</v>
      </c>
      <c r="AU46" s="47">
        <f t="shared" si="69"/>
        <v>0</v>
      </c>
      <c r="AV46" s="47">
        <f t="shared" si="102"/>
        <v>4141.8</v>
      </c>
      <c r="AW46" s="47">
        <f t="shared" si="71"/>
        <v>8283.6</v>
      </c>
      <c r="AX46" s="47">
        <v>0</v>
      </c>
      <c r="AY46" s="47">
        <f t="shared" si="72"/>
        <v>0</v>
      </c>
      <c r="AZ46" s="47">
        <f t="shared" si="73"/>
        <v>0</v>
      </c>
      <c r="BA46" s="47">
        <f t="shared" si="74"/>
        <v>0</v>
      </c>
      <c r="BB46" s="48">
        <f t="shared" si="75"/>
        <v>22936.38</v>
      </c>
      <c r="BC46" s="49">
        <f t="shared" si="76"/>
        <v>45872.76</v>
      </c>
      <c r="BD46" s="7">
        <f t="shared" si="77"/>
        <v>1295.8406779661018</v>
      </c>
      <c r="BE46" s="47">
        <f t="shared" si="78"/>
        <v>275.23656</v>
      </c>
      <c r="BF46" s="47">
        <f t="shared" si="79"/>
        <v>550.47311999999999</v>
      </c>
      <c r="BG46" s="50">
        <f t="shared" si="80"/>
        <v>344.04570000000001</v>
      </c>
      <c r="BH46" s="50">
        <f t="shared" si="81"/>
        <v>688.09140000000002</v>
      </c>
      <c r="BI46" s="50">
        <f t="shared" si="82"/>
        <v>114.68190000000001</v>
      </c>
      <c r="BJ46" s="50">
        <f t="shared" si="83"/>
        <v>229.36380000000003</v>
      </c>
      <c r="BK46" s="50">
        <f t="shared" si="84"/>
        <v>229.36380000000003</v>
      </c>
      <c r="BL46" s="50">
        <f t="shared" si="85"/>
        <v>458.72760000000005</v>
      </c>
      <c r="BM46" s="51">
        <f t="shared" si="86"/>
        <v>0</v>
      </c>
      <c r="BN46" s="52">
        <f t="shared" si="87"/>
        <v>0</v>
      </c>
      <c r="BO46" s="52">
        <f t="shared" si="88"/>
        <v>0</v>
      </c>
      <c r="BP46" s="51">
        <f t="shared" si="89"/>
        <v>0.32</v>
      </c>
      <c r="BQ46" s="53">
        <f t="shared" si="90"/>
        <v>7339.6416000000008</v>
      </c>
      <c r="BR46" s="53">
        <f t="shared" si="91"/>
        <v>14679.283200000002</v>
      </c>
      <c r="BS46" s="54">
        <f t="shared" si="92"/>
        <v>31239.349560000002</v>
      </c>
      <c r="BT46" s="55">
        <f t="shared" si="93"/>
        <v>62478.699120000005</v>
      </c>
      <c r="BU46" s="10">
        <f t="shared" si="94"/>
        <v>1764.9350033898306</v>
      </c>
      <c r="BV46" s="3"/>
    </row>
    <row r="47" spans="1:74" ht="139.5">
      <c r="A47" s="646"/>
      <c r="B47" s="61" t="s">
        <v>268</v>
      </c>
      <c r="C47" s="56" t="s">
        <v>269</v>
      </c>
      <c r="D47" s="44">
        <v>1000</v>
      </c>
      <c r="E47" s="7"/>
      <c r="F47" s="45">
        <v>1000</v>
      </c>
      <c r="G47" s="46">
        <f t="shared" si="38"/>
        <v>1</v>
      </c>
      <c r="H47" s="7">
        <v>1</v>
      </c>
      <c r="I47" s="46">
        <f t="shared" si="39"/>
        <v>1</v>
      </c>
      <c r="J47" s="47">
        <v>0</v>
      </c>
      <c r="K47" s="47">
        <f t="shared" si="40"/>
        <v>0</v>
      </c>
      <c r="L47" s="47">
        <f t="shared" si="41"/>
        <v>0</v>
      </c>
      <c r="M47" s="47">
        <f t="shared" si="42"/>
        <v>0</v>
      </c>
      <c r="N47" s="47">
        <f t="shared" si="43"/>
        <v>0</v>
      </c>
      <c r="O47" s="47">
        <f t="shared" si="44"/>
        <v>0</v>
      </c>
      <c r="P47" s="47">
        <v>0</v>
      </c>
      <c r="Q47" s="47">
        <f t="shared" si="45"/>
        <v>0</v>
      </c>
      <c r="R47" s="47">
        <v>0</v>
      </c>
      <c r="S47" s="47">
        <f t="shared" si="46"/>
        <v>0</v>
      </c>
      <c r="T47" s="47">
        <v>0</v>
      </c>
      <c r="U47" s="47">
        <f t="shared" si="48"/>
        <v>0</v>
      </c>
      <c r="V47" s="47">
        <v>0</v>
      </c>
      <c r="W47" s="47">
        <f t="shared" si="50"/>
        <v>0</v>
      </c>
      <c r="X47" s="47">
        <v>0</v>
      </c>
      <c r="Y47" s="47">
        <f t="shared" si="52"/>
        <v>0</v>
      </c>
      <c r="Z47" s="47">
        <f t="shared" si="53"/>
        <v>0</v>
      </c>
      <c r="AA47" s="47">
        <f t="shared" si="54"/>
        <v>0</v>
      </c>
      <c r="AB47" s="47">
        <f t="shared" si="55"/>
        <v>0</v>
      </c>
      <c r="AC47" s="47">
        <f t="shared" si="56"/>
        <v>0</v>
      </c>
      <c r="AD47" s="47">
        <v>0</v>
      </c>
      <c r="AE47" s="47">
        <f t="shared" si="58"/>
        <v>0</v>
      </c>
      <c r="AF47" s="47">
        <v>0</v>
      </c>
      <c r="AG47" s="47">
        <f t="shared" si="59"/>
        <v>0</v>
      </c>
      <c r="AH47" s="47">
        <v>0</v>
      </c>
      <c r="AI47" s="47">
        <f t="shared" si="60"/>
        <v>0</v>
      </c>
      <c r="AJ47" s="47">
        <v>0</v>
      </c>
      <c r="AK47" s="47">
        <f t="shared" si="61"/>
        <v>0</v>
      </c>
      <c r="AL47" s="47">
        <v>0</v>
      </c>
      <c r="AM47" s="47">
        <f t="shared" si="63"/>
        <v>0</v>
      </c>
      <c r="AN47" s="47">
        <v>0</v>
      </c>
      <c r="AO47" s="47">
        <f t="shared" si="65"/>
        <v>0</v>
      </c>
      <c r="AP47" s="47">
        <v>0</v>
      </c>
      <c r="AQ47" s="47">
        <f t="shared" si="66"/>
        <v>0</v>
      </c>
      <c r="AR47" s="47">
        <v>0</v>
      </c>
      <c r="AS47" s="47">
        <f t="shared" si="68"/>
        <v>0</v>
      </c>
      <c r="AT47" s="47">
        <v>0</v>
      </c>
      <c r="AU47" s="47">
        <f t="shared" si="69"/>
        <v>0</v>
      </c>
      <c r="AV47" s="47">
        <v>0</v>
      </c>
      <c r="AW47" s="47">
        <f t="shared" si="71"/>
        <v>0</v>
      </c>
      <c r="AX47" s="47">
        <v>95000</v>
      </c>
      <c r="AY47" s="47">
        <f t="shared" si="72"/>
        <v>95000</v>
      </c>
      <c r="AZ47" s="47">
        <v>0</v>
      </c>
      <c r="BA47" s="47">
        <f t="shared" si="74"/>
        <v>0</v>
      </c>
      <c r="BB47" s="48">
        <f t="shared" si="75"/>
        <v>95000</v>
      </c>
      <c r="BC47" s="49">
        <f t="shared" si="76"/>
        <v>95000</v>
      </c>
      <c r="BD47" s="7">
        <f t="shared" si="77"/>
        <v>95000</v>
      </c>
      <c r="BE47" s="47">
        <f t="shared" si="78"/>
        <v>1140</v>
      </c>
      <c r="BF47" s="47">
        <f t="shared" si="79"/>
        <v>1140</v>
      </c>
      <c r="BG47" s="50">
        <f t="shared" si="80"/>
        <v>1425</v>
      </c>
      <c r="BH47" s="50">
        <f t="shared" si="81"/>
        <v>1425</v>
      </c>
      <c r="BI47" s="50">
        <f t="shared" si="82"/>
        <v>475</v>
      </c>
      <c r="BJ47" s="50">
        <f t="shared" si="83"/>
        <v>475</v>
      </c>
      <c r="BK47" s="50">
        <f t="shared" si="84"/>
        <v>950</v>
      </c>
      <c r="BL47" s="50">
        <f t="shared" si="85"/>
        <v>950</v>
      </c>
      <c r="BM47" s="51">
        <f t="shared" si="86"/>
        <v>0</v>
      </c>
      <c r="BN47" s="52">
        <f t="shared" si="87"/>
        <v>0</v>
      </c>
      <c r="BO47" s="52">
        <f t="shared" si="88"/>
        <v>0</v>
      </c>
      <c r="BP47" s="51">
        <f t="shared" si="89"/>
        <v>0.32</v>
      </c>
      <c r="BQ47" s="53">
        <f t="shared" si="90"/>
        <v>30400</v>
      </c>
      <c r="BR47" s="53">
        <f t="shared" si="91"/>
        <v>30400</v>
      </c>
      <c r="BS47" s="54">
        <f t="shared" si="92"/>
        <v>129390</v>
      </c>
      <c r="BT47" s="55">
        <f t="shared" si="93"/>
        <v>129390</v>
      </c>
      <c r="BU47" s="10">
        <f t="shared" si="94"/>
        <v>129390</v>
      </c>
      <c r="BV47" s="3"/>
    </row>
    <row r="48" spans="1:74" ht="11.65" hidden="1">
      <c r="A48" s="646"/>
      <c r="B48" s="61"/>
      <c r="C48" s="56"/>
      <c r="D48" s="44"/>
      <c r="E48" s="7"/>
      <c r="F48" s="45"/>
      <c r="G48" s="46">
        <f t="shared" si="38"/>
        <v>0</v>
      </c>
      <c r="H48" s="7"/>
      <c r="I48" s="46">
        <f t="shared" si="39"/>
        <v>0</v>
      </c>
      <c r="J48" s="47">
        <v>0</v>
      </c>
      <c r="K48" s="47">
        <f t="shared" si="40"/>
        <v>0</v>
      </c>
      <c r="L48" s="47">
        <f t="shared" si="41"/>
        <v>0</v>
      </c>
      <c r="M48" s="47">
        <f t="shared" si="42"/>
        <v>0</v>
      </c>
      <c r="N48" s="47">
        <f t="shared" si="43"/>
        <v>0</v>
      </c>
      <c r="O48" s="47">
        <f t="shared" si="44"/>
        <v>0</v>
      </c>
      <c r="P48" s="47">
        <v>0</v>
      </c>
      <c r="Q48" s="47">
        <f t="shared" si="45"/>
        <v>0</v>
      </c>
      <c r="R48" s="47">
        <v>0</v>
      </c>
      <c r="S48" s="47">
        <f t="shared" si="46"/>
        <v>0</v>
      </c>
      <c r="T48" s="47">
        <v>0</v>
      </c>
      <c r="U48" s="47">
        <f t="shared" si="48"/>
        <v>0</v>
      </c>
      <c r="V48" s="47">
        <v>0</v>
      </c>
      <c r="W48" s="47">
        <f t="shared" si="50"/>
        <v>0</v>
      </c>
      <c r="X48" s="47">
        <v>0</v>
      </c>
      <c r="Y48" s="47">
        <f t="shared" si="52"/>
        <v>0</v>
      </c>
      <c r="Z48" s="47">
        <f t="shared" si="53"/>
        <v>0</v>
      </c>
      <c r="AA48" s="47">
        <f t="shared" si="54"/>
        <v>0</v>
      </c>
      <c r="AB48" s="47">
        <f t="shared" si="55"/>
        <v>0</v>
      </c>
      <c r="AC48" s="47">
        <f t="shared" si="56"/>
        <v>0</v>
      </c>
      <c r="AD48" s="47">
        <v>0</v>
      </c>
      <c r="AE48" s="47">
        <f t="shared" si="58"/>
        <v>0</v>
      </c>
      <c r="AF48" s="47">
        <v>0</v>
      </c>
      <c r="AG48" s="47">
        <f t="shared" si="59"/>
        <v>0</v>
      </c>
      <c r="AH48" s="47">
        <v>0</v>
      </c>
      <c r="AI48" s="47">
        <f t="shared" si="60"/>
        <v>0</v>
      </c>
      <c r="AJ48" s="47">
        <v>0</v>
      </c>
      <c r="AK48" s="47">
        <f t="shared" si="61"/>
        <v>0</v>
      </c>
      <c r="AL48" s="47">
        <v>0</v>
      </c>
      <c r="AM48" s="47">
        <f t="shared" si="63"/>
        <v>0</v>
      </c>
      <c r="AN48" s="47">
        <v>0</v>
      </c>
      <c r="AO48" s="47">
        <f t="shared" si="65"/>
        <v>0</v>
      </c>
      <c r="AP48" s="47">
        <v>0</v>
      </c>
      <c r="AQ48" s="47">
        <f t="shared" si="66"/>
        <v>0</v>
      </c>
      <c r="AR48" s="47">
        <v>0</v>
      </c>
      <c r="AS48" s="47">
        <f t="shared" si="68"/>
        <v>0</v>
      </c>
      <c r="AT48" s="47">
        <v>0</v>
      </c>
      <c r="AU48" s="47">
        <f t="shared" si="69"/>
        <v>0</v>
      </c>
      <c r="AV48" s="47">
        <v>0</v>
      </c>
      <c r="AW48" s="47">
        <f t="shared" si="71"/>
        <v>0</v>
      </c>
      <c r="AX48" s="47">
        <v>0</v>
      </c>
      <c r="AY48" s="47">
        <f t="shared" si="72"/>
        <v>0</v>
      </c>
      <c r="AZ48" s="47">
        <v>0</v>
      </c>
      <c r="BA48" s="47">
        <f t="shared" si="74"/>
        <v>0</v>
      </c>
      <c r="BB48" s="48">
        <f t="shared" si="75"/>
        <v>0</v>
      </c>
      <c r="BC48" s="49">
        <f t="shared" si="76"/>
        <v>0</v>
      </c>
      <c r="BD48" s="7" t="e">
        <f t="shared" si="77"/>
        <v>#DIV/0!</v>
      </c>
      <c r="BE48" s="47">
        <f t="shared" si="78"/>
        <v>0</v>
      </c>
      <c r="BF48" s="47">
        <f t="shared" si="79"/>
        <v>0</v>
      </c>
      <c r="BG48" s="50">
        <f t="shared" si="80"/>
        <v>0</v>
      </c>
      <c r="BH48" s="50">
        <f t="shared" si="81"/>
        <v>0</v>
      </c>
      <c r="BI48" s="50">
        <f t="shared" si="82"/>
        <v>0</v>
      </c>
      <c r="BJ48" s="50">
        <f t="shared" si="83"/>
        <v>0</v>
      </c>
      <c r="BK48" s="50">
        <f t="shared" si="84"/>
        <v>0</v>
      </c>
      <c r="BL48" s="50">
        <f t="shared" si="85"/>
        <v>0</v>
      </c>
      <c r="BM48" s="51">
        <f t="shared" si="86"/>
        <v>0</v>
      </c>
      <c r="BN48" s="52">
        <f t="shared" si="87"/>
        <v>0</v>
      </c>
      <c r="BO48" s="52">
        <f t="shared" si="88"/>
        <v>0</v>
      </c>
      <c r="BP48" s="51">
        <f t="shared" si="89"/>
        <v>0.32</v>
      </c>
      <c r="BQ48" s="53">
        <f t="shared" si="90"/>
        <v>0</v>
      </c>
      <c r="BR48" s="53">
        <f t="shared" si="91"/>
        <v>0</v>
      </c>
      <c r="BS48" s="54">
        <f t="shared" si="92"/>
        <v>0</v>
      </c>
      <c r="BT48" s="55">
        <f t="shared" si="93"/>
        <v>0</v>
      </c>
      <c r="BU48" s="10" t="e">
        <f t="shared" si="94"/>
        <v>#DIV/0!</v>
      </c>
      <c r="BV48" s="3"/>
    </row>
    <row r="49" spans="1:74" ht="11.65" hidden="1">
      <c r="A49" s="646"/>
      <c r="B49" s="61"/>
      <c r="C49" s="56"/>
      <c r="D49" s="44"/>
      <c r="E49" s="7"/>
      <c r="F49" s="45"/>
      <c r="G49" s="46">
        <f t="shared" si="38"/>
        <v>0</v>
      </c>
      <c r="H49" s="7"/>
      <c r="I49" s="46">
        <f t="shared" si="39"/>
        <v>0</v>
      </c>
      <c r="J49" s="47">
        <v>0</v>
      </c>
      <c r="K49" s="47">
        <f t="shared" si="40"/>
        <v>0</v>
      </c>
      <c r="L49" s="47">
        <f t="shared" si="41"/>
        <v>0</v>
      </c>
      <c r="M49" s="47">
        <f t="shared" si="42"/>
        <v>0</v>
      </c>
      <c r="N49" s="47">
        <f t="shared" si="43"/>
        <v>0</v>
      </c>
      <c r="O49" s="47">
        <f t="shared" si="44"/>
        <v>0</v>
      </c>
      <c r="P49" s="47">
        <v>0</v>
      </c>
      <c r="Q49" s="47">
        <f t="shared" si="45"/>
        <v>0</v>
      </c>
      <c r="R49" s="47">
        <v>0</v>
      </c>
      <c r="S49" s="47">
        <f t="shared" si="46"/>
        <v>0</v>
      </c>
      <c r="T49" s="47">
        <v>0</v>
      </c>
      <c r="U49" s="47">
        <f t="shared" si="48"/>
        <v>0</v>
      </c>
      <c r="V49" s="47">
        <v>0</v>
      </c>
      <c r="W49" s="47">
        <f t="shared" si="50"/>
        <v>0</v>
      </c>
      <c r="X49" s="47">
        <v>0</v>
      </c>
      <c r="Y49" s="47">
        <f t="shared" si="52"/>
        <v>0</v>
      </c>
      <c r="Z49" s="47">
        <f t="shared" si="53"/>
        <v>0</v>
      </c>
      <c r="AA49" s="47">
        <f t="shared" si="54"/>
        <v>0</v>
      </c>
      <c r="AB49" s="47">
        <f t="shared" si="55"/>
        <v>0</v>
      </c>
      <c r="AC49" s="47">
        <f t="shared" si="56"/>
        <v>0</v>
      </c>
      <c r="AD49" s="47">
        <v>0</v>
      </c>
      <c r="AE49" s="47">
        <f t="shared" si="58"/>
        <v>0</v>
      </c>
      <c r="AF49" s="47">
        <v>0</v>
      </c>
      <c r="AG49" s="47">
        <f t="shared" si="59"/>
        <v>0</v>
      </c>
      <c r="AH49" s="47">
        <v>0</v>
      </c>
      <c r="AI49" s="47">
        <f t="shared" si="60"/>
        <v>0</v>
      </c>
      <c r="AJ49" s="47">
        <v>0</v>
      </c>
      <c r="AK49" s="47">
        <f t="shared" si="61"/>
        <v>0</v>
      </c>
      <c r="AL49" s="47">
        <v>0</v>
      </c>
      <c r="AM49" s="47">
        <f t="shared" si="63"/>
        <v>0</v>
      </c>
      <c r="AN49" s="47">
        <v>0</v>
      </c>
      <c r="AO49" s="47">
        <f t="shared" si="65"/>
        <v>0</v>
      </c>
      <c r="AP49" s="47">
        <v>0</v>
      </c>
      <c r="AQ49" s="47">
        <f t="shared" si="66"/>
        <v>0</v>
      </c>
      <c r="AR49" s="47">
        <v>0</v>
      </c>
      <c r="AS49" s="47">
        <f t="shared" si="68"/>
        <v>0</v>
      </c>
      <c r="AT49" s="47">
        <v>0</v>
      </c>
      <c r="AU49" s="47">
        <f t="shared" si="69"/>
        <v>0</v>
      </c>
      <c r="AV49" s="47">
        <v>0</v>
      </c>
      <c r="AW49" s="47">
        <f t="shared" si="71"/>
        <v>0</v>
      </c>
      <c r="AX49" s="47">
        <v>0</v>
      </c>
      <c r="AY49" s="47">
        <f t="shared" si="72"/>
        <v>0</v>
      </c>
      <c r="AZ49" s="47">
        <v>0</v>
      </c>
      <c r="BA49" s="47">
        <f t="shared" si="74"/>
        <v>0</v>
      </c>
      <c r="BB49" s="48">
        <f t="shared" si="75"/>
        <v>0</v>
      </c>
      <c r="BC49" s="49">
        <f t="shared" si="76"/>
        <v>0</v>
      </c>
      <c r="BD49" s="7" t="e">
        <f t="shared" si="77"/>
        <v>#DIV/0!</v>
      </c>
      <c r="BE49" s="47">
        <f t="shared" si="78"/>
        <v>0</v>
      </c>
      <c r="BF49" s="47">
        <f t="shared" si="79"/>
        <v>0</v>
      </c>
      <c r="BG49" s="50">
        <f t="shared" si="80"/>
        <v>0</v>
      </c>
      <c r="BH49" s="50">
        <f t="shared" si="81"/>
        <v>0</v>
      </c>
      <c r="BI49" s="50">
        <f t="shared" si="82"/>
        <v>0</v>
      </c>
      <c r="BJ49" s="50">
        <f t="shared" si="83"/>
        <v>0</v>
      </c>
      <c r="BK49" s="50">
        <f t="shared" si="84"/>
        <v>0</v>
      </c>
      <c r="BL49" s="50">
        <f t="shared" si="85"/>
        <v>0</v>
      </c>
      <c r="BM49" s="51">
        <f t="shared" si="86"/>
        <v>0</v>
      </c>
      <c r="BN49" s="52">
        <f t="shared" si="87"/>
        <v>0</v>
      </c>
      <c r="BO49" s="52">
        <f t="shared" si="88"/>
        <v>0</v>
      </c>
      <c r="BP49" s="51">
        <f t="shared" si="89"/>
        <v>0.32</v>
      </c>
      <c r="BQ49" s="53">
        <f t="shared" si="90"/>
        <v>0</v>
      </c>
      <c r="BR49" s="53">
        <f t="shared" si="91"/>
        <v>0</v>
      </c>
      <c r="BS49" s="54">
        <f t="shared" si="92"/>
        <v>0</v>
      </c>
      <c r="BT49" s="55">
        <f t="shared" si="93"/>
        <v>0</v>
      </c>
      <c r="BU49" s="10" t="e">
        <f t="shared" si="94"/>
        <v>#DIV/0!</v>
      </c>
      <c r="BV49" s="3"/>
    </row>
    <row r="50" spans="1:74" ht="11.65" hidden="1">
      <c r="A50" s="646"/>
      <c r="B50" s="61"/>
      <c r="C50" s="56"/>
      <c r="D50" s="44"/>
      <c r="E50" s="7"/>
      <c r="F50" s="45"/>
      <c r="G50" s="46">
        <f t="shared" si="38"/>
        <v>0</v>
      </c>
      <c r="H50" s="7"/>
      <c r="I50" s="46">
        <f t="shared" si="39"/>
        <v>0</v>
      </c>
      <c r="J50" s="47">
        <v>0</v>
      </c>
      <c r="K50" s="47">
        <f t="shared" si="40"/>
        <v>0</v>
      </c>
      <c r="L50" s="47">
        <f t="shared" si="41"/>
        <v>0</v>
      </c>
      <c r="M50" s="47">
        <f t="shared" si="42"/>
        <v>0</v>
      </c>
      <c r="N50" s="47">
        <f t="shared" si="43"/>
        <v>0</v>
      </c>
      <c r="O50" s="47">
        <f t="shared" si="44"/>
        <v>0</v>
      </c>
      <c r="P50" s="47">
        <v>0</v>
      </c>
      <c r="Q50" s="47">
        <f t="shared" si="45"/>
        <v>0</v>
      </c>
      <c r="R50" s="47">
        <v>0</v>
      </c>
      <c r="S50" s="47">
        <f t="shared" si="46"/>
        <v>0</v>
      </c>
      <c r="T50" s="47">
        <v>0</v>
      </c>
      <c r="U50" s="47">
        <f t="shared" si="48"/>
        <v>0</v>
      </c>
      <c r="V50" s="47">
        <v>0</v>
      </c>
      <c r="W50" s="47">
        <f t="shared" si="50"/>
        <v>0</v>
      </c>
      <c r="X50" s="47">
        <v>0</v>
      </c>
      <c r="Y50" s="47">
        <f t="shared" si="52"/>
        <v>0</v>
      </c>
      <c r="Z50" s="47">
        <f t="shared" si="53"/>
        <v>0</v>
      </c>
      <c r="AA50" s="47">
        <f t="shared" si="54"/>
        <v>0</v>
      </c>
      <c r="AB50" s="47">
        <f t="shared" si="55"/>
        <v>0</v>
      </c>
      <c r="AC50" s="47">
        <f t="shared" si="56"/>
        <v>0</v>
      </c>
      <c r="AD50" s="47">
        <v>0</v>
      </c>
      <c r="AE50" s="47">
        <f t="shared" si="58"/>
        <v>0</v>
      </c>
      <c r="AF50" s="47">
        <v>0</v>
      </c>
      <c r="AG50" s="47">
        <f t="shared" si="59"/>
        <v>0</v>
      </c>
      <c r="AH50" s="47">
        <v>0</v>
      </c>
      <c r="AI50" s="47">
        <f t="shared" si="60"/>
        <v>0</v>
      </c>
      <c r="AJ50" s="47">
        <v>0</v>
      </c>
      <c r="AK50" s="47">
        <f t="shared" si="61"/>
        <v>0</v>
      </c>
      <c r="AL50" s="47">
        <v>0</v>
      </c>
      <c r="AM50" s="47">
        <f t="shared" si="63"/>
        <v>0</v>
      </c>
      <c r="AN50" s="47">
        <v>0</v>
      </c>
      <c r="AO50" s="47">
        <f t="shared" si="65"/>
        <v>0</v>
      </c>
      <c r="AP50" s="47">
        <v>0</v>
      </c>
      <c r="AQ50" s="47">
        <f t="shared" si="66"/>
        <v>0</v>
      </c>
      <c r="AR50" s="47">
        <v>0</v>
      </c>
      <c r="AS50" s="47">
        <f t="shared" si="68"/>
        <v>0</v>
      </c>
      <c r="AT50" s="47">
        <v>0</v>
      </c>
      <c r="AU50" s="47">
        <f t="shared" si="69"/>
        <v>0</v>
      </c>
      <c r="AV50" s="47">
        <v>0</v>
      </c>
      <c r="AW50" s="47">
        <f t="shared" si="71"/>
        <v>0</v>
      </c>
      <c r="AX50" s="47">
        <v>0</v>
      </c>
      <c r="AY50" s="47">
        <f t="shared" si="72"/>
        <v>0</v>
      </c>
      <c r="AZ50" s="47">
        <v>0</v>
      </c>
      <c r="BA50" s="47">
        <f t="shared" si="74"/>
        <v>0</v>
      </c>
      <c r="BB50" s="48">
        <f t="shared" si="75"/>
        <v>0</v>
      </c>
      <c r="BC50" s="49">
        <f t="shared" si="76"/>
        <v>0</v>
      </c>
      <c r="BD50" s="7" t="e">
        <f t="shared" si="77"/>
        <v>#DIV/0!</v>
      </c>
      <c r="BE50" s="47">
        <f t="shared" si="78"/>
        <v>0</v>
      </c>
      <c r="BF50" s="47">
        <f t="shared" si="79"/>
        <v>0</v>
      </c>
      <c r="BG50" s="50">
        <f t="shared" si="80"/>
        <v>0</v>
      </c>
      <c r="BH50" s="50">
        <f t="shared" si="81"/>
        <v>0</v>
      </c>
      <c r="BI50" s="50">
        <f t="shared" si="82"/>
        <v>0</v>
      </c>
      <c r="BJ50" s="50">
        <f t="shared" si="83"/>
        <v>0</v>
      </c>
      <c r="BK50" s="50">
        <f t="shared" si="84"/>
        <v>0</v>
      </c>
      <c r="BL50" s="50">
        <f t="shared" si="85"/>
        <v>0</v>
      </c>
      <c r="BM50" s="51">
        <f t="shared" si="86"/>
        <v>0</v>
      </c>
      <c r="BN50" s="52">
        <f t="shared" si="87"/>
        <v>0</v>
      </c>
      <c r="BO50" s="52">
        <f t="shared" si="88"/>
        <v>0</v>
      </c>
      <c r="BP50" s="51">
        <f t="shared" si="89"/>
        <v>0.32</v>
      </c>
      <c r="BQ50" s="53">
        <f t="shared" si="90"/>
        <v>0</v>
      </c>
      <c r="BR50" s="53">
        <f t="shared" si="91"/>
        <v>0</v>
      </c>
      <c r="BS50" s="54">
        <f t="shared" si="92"/>
        <v>0</v>
      </c>
      <c r="BT50" s="55">
        <f t="shared" si="93"/>
        <v>0</v>
      </c>
      <c r="BU50" s="10" t="e">
        <f t="shared" si="94"/>
        <v>#DIV/0!</v>
      </c>
      <c r="BV50" s="3"/>
    </row>
    <row r="51" spans="1:74" ht="11.65" hidden="1">
      <c r="A51" s="646"/>
      <c r="B51" s="61"/>
      <c r="C51" s="56"/>
      <c r="D51" s="44"/>
      <c r="E51" s="7"/>
      <c r="F51" s="45"/>
      <c r="G51" s="46">
        <f t="shared" si="38"/>
        <v>0</v>
      </c>
      <c r="H51" s="7"/>
      <c r="I51" s="46">
        <f t="shared" si="39"/>
        <v>0</v>
      </c>
      <c r="J51" s="47">
        <v>0</v>
      </c>
      <c r="K51" s="47">
        <f t="shared" si="40"/>
        <v>0</v>
      </c>
      <c r="L51" s="47">
        <f t="shared" si="41"/>
        <v>0</v>
      </c>
      <c r="M51" s="47">
        <f t="shared" si="42"/>
        <v>0</v>
      </c>
      <c r="N51" s="47">
        <f t="shared" si="43"/>
        <v>0</v>
      </c>
      <c r="O51" s="47">
        <f t="shared" si="44"/>
        <v>0</v>
      </c>
      <c r="P51" s="47">
        <v>0</v>
      </c>
      <c r="Q51" s="47">
        <f t="shared" si="45"/>
        <v>0</v>
      </c>
      <c r="R51" s="47">
        <v>0</v>
      </c>
      <c r="S51" s="47">
        <f t="shared" si="46"/>
        <v>0</v>
      </c>
      <c r="T51" s="47">
        <v>0</v>
      </c>
      <c r="U51" s="47">
        <f t="shared" si="48"/>
        <v>0</v>
      </c>
      <c r="V51" s="47">
        <v>0</v>
      </c>
      <c r="W51" s="47">
        <f t="shared" si="50"/>
        <v>0</v>
      </c>
      <c r="X51" s="47">
        <v>0</v>
      </c>
      <c r="Y51" s="47">
        <f t="shared" si="52"/>
        <v>0</v>
      </c>
      <c r="Z51" s="47">
        <f t="shared" si="53"/>
        <v>0</v>
      </c>
      <c r="AA51" s="47">
        <f t="shared" si="54"/>
        <v>0</v>
      </c>
      <c r="AB51" s="47">
        <f t="shared" si="55"/>
        <v>0</v>
      </c>
      <c r="AC51" s="47">
        <f t="shared" si="56"/>
        <v>0</v>
      </c>
      <c r="AD51" s="47">
        <v>0</v>
      </c>
      <c r="AE51" s="47">
        <f t="shared" si="58"/>
        <v>0</v>
      </c>
      <c r="AF51" s="47">
        <v>0</v>
      </c>
      <c r="AG51" s="47">
        <f t="shared" si="59"/>
        <v>0</v>
      </c>
      <c r="AH51" s="47">
        <v>0</v>
      </c>
      <c r="AI51" s="47">
        <f t="shared" si="60"/>
        <v>0</v>
      </c>
      <c r="AJ51" s="47">
        <v>0</v>
      </c>
      <c r="AK51" s="47">
        <f t="shared" si="61"/>
        <v>0</v>
      </c>
      <c r="AL51" s="47">
        <v>0</v>
      </c>
      <c r="AM51" s="47">
        <f t="shared" si="63"/>
        <v>0</v>
      </c>
      <c r="AN51" s="47">
        <v>0</v>
      </c>
      <c r="AO51" s="47">
        <f t="shared" si="65"/>
        <v>0</v>
      </c>
      <c r="AP51" s="47">
        <v>0</v>
      </c>
      <c r="AQ51" s="47">
        <f t="shared" si="66"/>
        <v>0</v>
      </c>
      <c r="AR51" s="47">
        <v>0</v>
      </c>
      <c r="AS51" s="47">
        <f t="shared" si="68"/>
        <v>0</v>
      </c>
      <c r="AT51" s="47">
        <v>0</v>
      </c>
      <c r="AU51" s="47">
        <f t="shared" si="69"/>
        <v>0</v>
      </c>
      <c r="AV51" s="47">
        <v>0</v>
      </c>
      <c r="AW51" s="47">
        <f t="shared" si="71"/>
        <v>0</v>
      </c>
      <c r="AX51" s="47">
        <v>0</v>
      </c>
      <c r="AY51" s="47">
        <f t="shared" si="72"/>
        <v>0</v>
      </c>
      <c r="AZ51" s="47">
        <v>0</v>
      </c>
      <c r="BA51" s="47">
        <f t="shared" si="74"/>
        <v>0</v>
      </c>
      <c r="BB51" s="48">
        <f t="shared" si="75"/>
        <v>0</v>
      </c>
      <c r="BC51" s="49">
        <f t="shared" si="76"/>
        <v>0</v>
      </c>
      <c r="BD51" s="7" t="e">
        <f t="shared" si="77"/>
        <v>#DIV/0!</v>
      </c>
      <c r="BE51" s="47">
        <f t="shared" si="78"/>
        <v>0</v>
      </c>
      <c r="BF51" s="47">
        <f t="shared" si="79"/>
        <v>0</v>
      </c>
      <c r="BG51" s="50">
        <f t="shared" si="80"/>
        <v>0</v>
      </c>
      <c r="BH51" s="50">
        <f t="shared" si="81"/>
        <v>0</v>
      </c>
      <c r="BI51" s="50">
        <f t="shared" si="82"/>
        <v>0</v>
      </c>
      <c r="BJ51" s="50">
        <f t="shared" si="83"/>
        <v>0</v>
      </c>
      <c r="BK51" s="50">
        <f t="shared" si="84"/>
        <v>0</v>
      </c>
      <c r="BL51" s="50">
        <f t="shared" si="85"/>
        <v>0</v>
      </c>
      <c r="BM51" s="51">
        <f t="shared" si="86"/>
        <v>0</v>
      </c>
      <c r="BN51" s="52">
        <f t="shared" si="87"/>
        <v>0</v>
      </c>
      <c r="BO51" s="52">
        <f t="shared" si="88"/>
        <v>0</v>
      </c>
      <c r="BP51" s="51">
        <f t="shared" si="89"/>
        <v>0.32</v>
      </c>
      <c r="BQ51" s="53">
        <f t="shared" si="90"/>
        <v>0</v>
      </c>
      <c r="BR51" s="53">
        <f t="shared" si="91"/>
        <v>0</v>
      </c>
      <c r="BS51" s="54">
        <f t="shared" si="92"/>
        <v>0</v>
      </c>
      <c r="BT51" s="55">
        <f t="shared" si="93"/>
        <v>0</v>
      </c>
      <c r="BU51" s="10" t="e">
        <f t="shared" si="94"/>
        <v>#DIV/0!</v>
      </c>
      <c r="BV51" s="3"/>
    </row>
    <row r="52" spans="1:74" ht="11.65" hidden="1">
      <c r="A52" s="646"/>
      <c r="B52" s="61"/>
      <c r="C52" s="56"/>
      <c r="D52" s="44"/>
      <c r="E52" s="7"/>
      <c r="F52" s="45"/>
      <c r="G52" s="46">
        <f t="shared" si="38"/>
        <v>0</v>
      </c>
      <c r="H52" s="7"/>
      <c r="I52" s="46">
        <f t="shared" si="39"/>
        <v>0</v>
      </c>
      <c r="J52" s="47">
        <v>0</v>
      </c>
      <c r="K52" s="47">
        <f t="shared" si="40"/>
        <v>0</v>
      </c>
      <c r="L52" s="47">
        <f t="shared" si="41"/>
        <v>0</v>
      </c>
      <c r="M52" s="47">
        <f t="shared" si="42"/>
        <v>0</v>
      </c>
      <c r="N52" s="47">
        <f t="shared" si="43"/>
        <v>0</v>
      </c>
      <c r="O52" s="47">
        <f t="shared" si="44"/>
        <v>0</v>
      </c>
      <c r="P52" s="47">
        <v>0</v>
      </c>
      <c r="Q52" s="47">
        <f t="shared" si="45"/>
        <v>0</v>
      </c>
      <c r="R52" s="47">
        <v>0</v>
      </c>
      <c r="S52" s="47">
        <f t="shared" si="46"/>
        <v>0</v>
      </c>
      <c r="T52" s="47">
        <v>0</v>
      </c>
      <c r="U52" s="47">
        <f t="shared" si="48"/>
        <v>0</v>
      </c>
      <c r="V52" s="47">
        <v>0</v>
      </c>
      <c r="W52" s="47">
        <f t="shared" si="50"/>
        <v>0</v>
      </c>
      <c r="X52" s="47">
        <v>0</v>
      </c>
      <c r="Y52" s="47">
        <f t="shared" si="52"/>
        <v>0</v>
      </c>
      <c r="Z52" s="47">
        <f t="shared" si="53"/>
        <v>0</v>
      </c>
      <c r="AA52" s="47">
        <f t="shared" si="54"/>
        <v>0</v>
      </c>
      <c r="AB52" s="47">
        <f t="shared" si="55"/>
        <v>0</v>
      </c>
      <c r="AC52" s="47">
        <f t="shared" si="56"/>
        <v>0</v>
      </c>
      <c r="AD52" s="47">
        <v>0</v>
      </c>
      <c r="AE52" s="47">
        <f t="shared" si="58"/>
        <v>0</v>
      </c>
      <c r="AF52" s="47">
        <v>0</v>
      </c>
      <c r="AG52" s="47">
        <f t="shared" si="59"/>
        <v>0</v>
      </c>
      <c r="AH52" s="47">
        <v>0</v>
      </c>
      <c r="AI52" s="47">
        <f t="shared" si="60"/>
        <v>0</v>
      </c>
      <c r="AJ52" s="47">
        <v>0</v>
      </c>
      <c r="AK52" s="47">
        <f t="shared" si="61"/>
        <v>0</v>
      </c>
      <c r="AL52" s="47">
        <v>0</v>
      </c>
      <c r="AM52" s="47">
        <f t="shared" si="63"/>
        <v>0</v>
      </c>
      <c r="AN52" s="47">
        <v>0</v>
      </c>
      <c r="AO52" s="47">
        <f t="shared" si="65"/>
        <v>0</v>
      </c>
      <c r="AP52" s="47">
        <v>0</v>
      </c>
      <c r="AQ52" s="47">
        <f t="shared" si="66"/>
        <v>0</v>
      </c>
      <c r="AR52" s="47">
        <v>0</v>
      </c>
      <c r="AS52" s="47">
        <f t="shared" si="68"/>
        <v>0</v>
      </c>
      <c r="AT52" s="47">
        <v>0</v>
      </c>
      <c r="AU52" s="47">
        <f t="shared" si="69"/>
        <v>0</v>
      </c>
      <c r="AV52" s="47">
        <v>0</v>
      </c>
      <c r="AW52" s="47">
        <f t="shared" si="71"/>
        <v>0</v>
      </c>
      <c r="AX52" s="47">
        <v>0</v>
      </c>
      <c r="AY52" s="47">
        <f t="shared" si="72"/>
        <v>0</v>
      </c>
      <c r="AZ52" s="47">
        <v>0</v>
      </c>
      <c r="BA52" s="47">
        <f t="shared" si="74"/>
        <v>0</v>
      </c>
      <c r="BB52" s="48">
        <f t="shared" si="75"/>
        <v>0</v>
      </c>
      <c r="BC52" s="49">
        <f t="shared" si="76"/>
        <v>0</v>
      </c>
      <c r="BD52" s="7" t="e">
        <f t="shared" si="77"/>
        <v>#DIV/0!</v>
      </c>
      <c r="BE52" s="47">
        <f t="shared" si="78"/>
        <v>0</v>
      </c>
      <c r="BF52" s="47">
        <f t="shared" si="79"/>
        <v>0</v>
      </c>
      <c r="BG52" s="50">
        <f t="shared" si="80"/>
        <v>0</v>
      </c>
      <c r="BH52" s="50">
        <f t="shared" si="81"/>
        <v>0</v>
      </c>
      <c r="BI52" s="50">
        <f t="shared" si="82"/>
        <v>0</v>
      </c>
      <c r="BJ52" s="50">
        <f t="shared" si="83"/>
        <v>0</v>
      </c>
      <c r="BK52" s="50">
        <f t="shared" si="84"/>
        <v>0</v>
      </c>
      <c r="BL52" s="50">
        <f t="shared" si="85"/>
        <v>0</v>
      </c>
      <c r="BM52" s="51">
        <f t="shared" si="86"/>
        <v>0</v>
      </c>
      <c r="BN52" s="52">
        <f t="shared" si="87"/>
        <v>0</v>
      </c>
      <c r="BO52" s="52">
        <f t="shared" si="88"/>
        <v>0</v>
      </c>
      <c r="BP52" s="51">
        <f t="shared" si="89"/>
        <v>0.32</v>
      </c>
      <c r="BQ52" s="53">
        <f t="shared" si="90"/>
        <v>0</v>
      </c>
      <c r="BR52" s="53">
        <f t="shared" si="91"/>
        <v>0</v>
      </c>
      <c r="BS52" s="54">
        <f t="shared" si="92"/>
        <v>0</v>
      </c>
      <c r="BT52" s="55">
        <f t="shared" si="93"/>
        <v>0</v>
      </c>
      <c r="BU52" s="10" t="e">
        <f t="shared" si="94"/>
        <v>#DIV/0!</v>
      </c>
      <c r="BV52" s="3"/>
    </row>
    <row r="53" spans="1:74" ht="11.65" hidden="1">
      <c r="A53" s="646"/>
      <c r="B53" s="61"/>
      <c r="C53" s="56"/>
      <c r="D53" s="44"/>
      <c r="E53" s="7"/>
      <c r="F53" s="45"/>
      <c r="G53" s="46">
        <f t="shared" si="38"/>
        <v>0</v>
      </c>
      <c r="H53" s="7"/>
      <c r="I53" s="46">
        <f t="shared" si="39"/>
        <v>0</v>
      </c>
      <c r="J53" s="47">
        <v>0</v>
      </c>
      <c r="K53" s="47">
        <f t="shared" si="40"/>
        <v>0</v>
      </c>
      <c r="L53" s="47">
        <f t="shared" si="41"/>
        <v>0</v>
      </c>
      <c r="M53" s="47">
        <f t="shared" si="42"/>
        <v>0</v>
      </c>
      <c r="N53" s="47">
        <f t="shared" si="43"/>
        <v>0</v>
      </c>
      <c r="O53" s="47">
        <f t="shared" si="44"/>
        <v>0</v>
      </c>
      <c r="P53" s="47">
        <v>0</v>
      </c>
      <c r="Q53" s="47">
        <f t="shared" si="45"/>
        <v>0</v>
      </c>
      <c r="R53" s="47">
        <v>0</v>
      </c>
      <c r="S53" s="47">
        <f t="shared" si="46"/>
        <v>0</v>
      </c>
      <c r="T53" s="47">
        <v>0</v>
      </c>
      <c r="U53" s="47">
        <f t="shared" si="48"/>
        <v>0</v>
      </c>
      <c r="V53" s="47">
        <v>0</v>
      </c>
      <c r="W53" s="47">
        <f t="shared" si="50"/>
        <v>0</v>
      </c>
      <c r="X53" s="47">
        <v>0</v>
      </c>
      <c r="Y53" s="47">
        <f t="shared" si="52"/>
        <v>0</v>
      </c>
      <c r="Z53" s="47">
        <f t="shared" si="53"/>
        <v>0</v>
      </c>
      <c r="AA53" s="47">
        <f t="shared" si="54"/>
        <v>0</v>
      </c>
      <c r="AB53" s="47">
        <f t="shared" si="55"/>
        <v>0</v>
      </c>
      <c r="AC53" s="47">
        <f t="shared" si="56"/>
        <v>0</v>
      </c>
      <c r="AD53" s="47">
        <v>0</v>
      </c>
      <c r="AE53" s="47">
        <f t="shared" si="58"/>
        <v>0</v>
      </c>
      <c r="AF53" s="47">
        <v>0</v>
      </c>
      <c r="AG53" s="47">
        <f t="shared" si="59"/>
        <v>0</v>
      </c>
      <c r="AH53" s="47">
        <v>0</v>
      </c>
      <c r="AI53" s="47">
        <f t="shared" si="60"/>
        <v>0</v>
      </c>
      <c r="AJ53" s="47">
        <v>0</v>
      </c>
      <c r="AK53" s="47">
        <f t="shared" si="61"/>
        <v>0</v>
      </c>
      <c r="AL53" s="47">
        <v>0</v>
      </c>
      <c r="AM53" s="47">
        <f t="shared" si="63"/>
        <v>0</v>
      </c>
      <c r="AN53" s="47">
        <v>0</v>
      </c>
      <c r="AO53" s="47">
        <f t="shared" si="65"/>
        <v>0</v>
      </c>
      <c r="AP53" s="47">
        <v>0</v>
      </c>
      <c r="AQ53" s="47">
        <f t="shared" si="66"/>
        <v>0</v>
      </c>
      <c r="AR53" s="47">
        <v>0</v>
      </c>
      <c r="AS53" s="47">
        <f t="shared" si="68"/>
        <v>0</v>
      </c>
      <c r="AT53" s="47">
        <v>0</v>
      </c>
      <c r="AU53" s="47">
        <f t="shared" si="69"/>
        <v>0</v>
      </c>
      <c r="AV53" s="47">
        <v>0</v>
      </c>
      <c r="AW53" s="47">
        <f t="shared" si="71"/>
        <v>0</v>
      </c>
      <c r="AX53" s="47">
        <v>0</v>
      </c>
      <c r="AY53" s="47">
        <f t="shared" si="72"/>
        <v>0</v>
      </c>
      <c r="AZ53" s="47">
        <v>0</v>
      </c>
      <c r="BA53" s="47">
        <f t="shared" si="74"/>
        <v>0</v>
      </c>
      <c r="BB53" s="48">
        <f t="shared" si="75"/>
        <v>0</v>
      </c>
      <c r="BC53" s="49">
        <f t="shared" si="76"/>
        <v>0</v>
      </c>
      <c r="BD53" s="7" t="e">
        <f t="shared" si="77"/>
        <v>#DIV/0!</v>
      </c>
      <c r="BE53" s="47">
        <f t="shared" si="78"/>
        <v>0</v>
      </c>
      <c r="BF53" s="47">
        <f t="shared" si="79"/>
        <v>0</v>
      </c>
      <c r="BG53" s="50">
        <f t="shared" si="80"/>
        <v>0</v>
      </c>
      <c r="BH53" s="50">
        <f t="shared" si="81"/>
        <v>0</v>
      </c>
      <c r="BI53" s="50">
        <f t="shared" si="82"/>
        <v>0</v>
      </c>
      <c r="BJ53" s="50">
        <f t="shared" si="83"/>
        <v>0</v>
      </c>
      <c r="BK53" s="50">
        <f t="shared" si="84"/>
        <v>0</v>
      </c>
      <c r="BL53" s="50">
        <f t="shared" si="85"/>
        <v>0</v>
      </c>
      <c r="BM53" s="51">
        <f t="shared" si="86"/>
        <v>0</v>
      </c>
      <c r="BN53" s="52">
        <f t="shared" si="87"/>
        <v>0</v>
      </c>
      <c r="BO53" s="52">
        <f t="shared" si="88"/>
        <v>0</v>
      </c>
      <c r="BP53" s="51">
        <f t="shared" si="89"/>
        <v>0.32</v>
      </c>
      <c r="BQ53" s="53">
        <f t="shared" si="90"/>
        <v>0</v>
      </c>
      <c r="BR53" s="53">
        <f t="shared" si="91"/>
        <v>0</v>
      </c>
      <c r="BS53" s="54">
        <f t="shared" si="92"/>
        <v>0</v>
      </c>
      <c r="BT53" s="55">
        <f t="shared" si="93"/>
        <v>0</v>
      </c>
      <c r="BU53" s="10" t="e">
        <f t="shared" si="94"/>
        <v>#DIV/0!</v>
      </c>
      <c r="BV53" s="3"/>
    </row>
    <row r="54" spans="1:74" ht="11.65" hidden="1">
      <c r="A54" s="646"/>
      <c r="B54" s="61"/>
      <c r="C54" s="56"/>
      <c r="D54" s="44"/>
      <c r="E54" s="7"/>
      <c r="F54" s="45"/>
      <c r="G54" s="46">
        <f t="shared" si="38"/>
        <v>0</v>
      </c>
      <c r="H54" s="7"/>
      <c r="I54" s="46">
        <f t="shared" si="39"/>
        <v>0</v>
      </c>
      <c r="J54" s="47">
        <v>0</v>
      </c>
      <c r="K54" s="47">
        <f t="shared" si="40"/>
        <v>0</v>
      </c>
      <c r="L54" s="47">
        <f t="shared" si="41"/>
        <v>0</v>
      </c>
      <c r="M54" s="47">
        <f t="shared" si="42"/>
        <v>0</v>
      </c>
      <c r="N54" s="47">
        <f t="shared" si="43"/>
        <v>0</v>
      </c>
      <c r="O54" s="47">
        <f t="shared" si="44"/>
        <v>0</v>
      </c>
      <c r="P54" s="47">
        <v>0</v>
      </c>
      <c r="Q54" s="47">
        <f t="shared" si="45"/>
        <v>0</v>
      </c>
      <c r="R54" s="47">
        <v>0</v>
      </c>
      <c r="S54" s="47">
        <f t="shared" si="46"/>
        <v>0</v>
      </c>
      <c r="T54" s="47">
        <v>0</v>
      </c>
      <c r="U54" s="47">
        <f t="shared" si="48"/>
        <v>0</v>
      </c>
      <c r="V54" s="47">
        <v>0</v>
      </c>
      <c r="W54" s="47">
        <f t="shared" si="50"/>
        <v>0</v>
      </c>
      <c r="X54" s="47">
        <v>0</v>
      </c>
      <c r="Y54" s="47">
        <f t="shared" si="52"/>
        <v>0</v>
      </c>
      <c r="Z54" s="47">
        <f t="shared" si="53"/>
        <v>0</v>
      </c>
      <c r="AA54" s="47">
        <f t="shared" si="54"/>
        <v>0</v>
      </c>
      <c r="AB54" s="47">
        <f t="shared" si="55"/>
        <v>0</v>
      </c>
      <c r="AC54" s="47">
        <f t="shared" si="56"/>
        <v>0</v>
      </c>
      <c r="AD54" s="47">
        <v>0</v>
      </c>
      <c r="AE54" s="47">
        <f t="shared" si="58"/>
        <v>0</v>
      </c>
      <c r="AF54" s="47">
        <v>0</v>
      </c>
      <c r="AG54" s="47">
        <f t="shared" si="59"/>
        <v>0</v>
      </c>
      <c r="AH54" s="47">
        <v>0</v>
      </c>
      <c r="AI54" s="47">
        <f t="shared" si="60"/>
        <v>0</v>
      </c>
      <c r="AJ54" s="47">
        <v>0</v>
      </c>
      <c r="AK54" s="47">
        <f t="shared" si="61"/>
        <v>0</v>
      </c>
      <c r="AL54" s="47">
        <v>0</v>
      </c>
      <c r="AM54" s="47">
        <f t="shared" si="63"/>
        <v>0</v>
      </c>
      <c r="AN54" s="47">
        <v>0</v>
      </c>
      <c r="AO54" s="47">
        <f t="shared" si="65"/>
        <v>0</v>
      </c>
      <c r="AP54" s="47">
        <v>0</v>
      </c>
      <c r="AQ54" s="47">
        <f t="shared" si="66"/>
        <v>0</v>
      </c>
      <c r="AR54" s="47">
        <v>0</v>
      </c>
      <c r="AS54" s="47">
        <f t="shared" si="68"/>
        <v>0</v>
      </c>
      <c r="AT54" s="47">
        <v>0</v>
      </c>
      <c r="AU54" s="47">
        <f t="shared" si="69"/>
        <v>0</v>
      </c>
      <c r="AV54" s="47">
        <v>0</v>
      </c>
      <c r="AW54" s="47">
        <f t="shared" si="71"/>
        <v>0</v>
      </c>
      <c r="AX54" s="47">
        <v>0</v>
      </c>
      <c r="AY54" s="47">
        <f t="shared" si="72"/>
        <v>0</v>
      </c>
      <c r="AZ54" s="47">
        <v>0</v>
      </c>
      <c r="BA54" s="47">
        <f t="shared" si="74"/>
        <v>0</v>
      </c>
      <c r="BB54" s="48">
        <f t="shared" si="75"/>
        <v>0</v>
      </c>
      <c r="BC54" s="49">
        <f t="shared" si="76"/>
        <v>0</v>
      </c>
      <c r="BD54" s="7" t="e">
        <f t="shared" si="77"/>
        <v>#DIV/0!</v>
      </c>
      <c r="BE54" s="47">
        <f t="shared" si="78"/>
        <v>0</v>
      </c>
      <c r="BF54" s="47">
        <f t="shared" si="79"/>
        <v>0</v>
      </c>
      <c r="BG54" s="50">
        <f t="shared" si="80"/>
        <v>0</v>
      </c>
      <c r="BH54" s="50">
        <f t="shared" si="81"/>
        <v>0</v>
      </c>
      <c r="BI54" s="50">
        <f t="shared" si="82"/>
        <v>0</v>
      </c>
      <c r="BJ54" s="50">
        <f t="shared" si="83"/>
        <v>0</v>
      </c>
      <c r="BK54" s="50">
        <f t="shared" si="84"/>
        <v>0</v>
      </c>
      <c r="BL54" s="50">
        <f t="shared" si="85"/>
        <v>0</v>
      </c>
      <c r="BM54" s="51">
        <f t="shared" si="86"/>
        <v>0</v>
      </c>
      <c r="BN54" s="52">
        <f t="shared" si="87"/>
        <v>0</v>
      </c>
      <c r="BO54" s="52">
        <f t="shared" si="88"/>
        <v>0</v>
      </c>
      <c r="BP54" s="51">
        <f t="shared" si="89"/>
        <v>0.32</v>
      </c>
      <c r="BQ54" s="53">
        <f t="shared" si="90"/>
        <v>0</v>
      </c>
      <c r="BR54" s="53">
        <f t="shared" si="91"/>
        <v>0</v>
      </c>
      <c r="BS54" s="54">
        <f t="shared" si="92"/>
        <v>0</v>
      </c>
      <c r="BT54" s="55">
        <f t="shared" si="93"/>
        <v>0</v>
      </c>
      <c r="BU54" s="10" t="e">
        <f t="shared" si="94"/>
        <v>#DIV/0!</v>
      </c>
      <c r="BV54" s="3"/>
    </row>
    <row r="55" spans="1:74" ht="11.65" hidden="1">
      <c r="A55" s="646"/>
      <c r="B55" s="61"/>
      <c r="C55" s="56"/>
      <c r="D55" s="44"/>
      <c r="E55" s="7"/>
      <c r="F55" s="45"/>
      <c r="G55" s="46">
        <f t="shared" si="38"/>
        <v>0</v>
      </c>
      <c r="H55" s="7"/>
      <c r="I55" s="46">
        <f t="shared" si="39"/>
        <v>0</v>
      </c>
      <c r="J55" s="47">
        <v>0</v>
      </c>
      <c r="K55" s="47">
        <f t="shared" si="40"/>
        <v>0</v>
      </c>
      <c r="L55" s="47">
        <f t="shared" si="41"/>
        <v>0</v>
      </c>
      <c r="M55" s="47">
        <f t="shared" si="42"/>
        <v>0</v>
      </c>
      <c r="N55" s="47">
        <f t="shared" si="43"/>
        <v>0</v>
      </c>
      <c r="O55" s="47">
        <f t="shared" si="44"/>
        <v>0</v>
      </c>
      <c r="P55" s="47">
        <v>0</v>
      </c>
      <c r="Q55" s="47">
        <f t="shared" si="45"/>
        <v>0</v>
      </c>
      <c r="R55" s="47">
        <v>0</v>
      </c>
      <c r="S55" s="47">
        <f t="shared" si="46"/>
        <v>0</v>
      </c>
      <c r="T55" s="47">
        <v>0</v>
      </c>
      <c r="U55" s="47">
        <f t="shared" si="48"/>
        <v>0</v>
      </c>
      <c r="V55" s="47">
        <v>0</v>
      </c>
      <c r="W55" s="47">
        <f t="shared" si="50"/>
        <v>0</v>
      </c>
      <c r="X55" s="47">
        <v>0</v>
      </c>
      <c r="Y55" s="47">
        <f t="shared" si="52"/>
        <v>0</v>
      </c>
      <c r="Z55" s="47">
        <f t="shared" si="53"/>
        <v>0</v>
      </c>
      <c r="AA55" s="47">
        <f t="shared" si="54"/>
        <v>0</v>
      </c>
      <c r="AB55" s="47">
        <f t="shared" si="55"/>
        <v>0</v>
      </c>
      <c r="AC55" s="47">
        <f t="shared" si="56"/>
        <v>0</v>
      </c>
      <c r="AD55" s="47">
        <v>0</v>
      </c>
      <c r="AE55" s="47">
        <f t="shared" si="58"/>
        <v>0</v>
      </c>
      <c r="AF55" s="47">
        <v>0</v>
      </c>
      <c r="AG55" s="47">
        <f t="shared" si="59"/>
        <v>0</v>
      </c>
      <c r="AH55" s="47">
        <v>0</v>
      </c>
      <c r="AI55" s="47">
        <f t="shared" si="60"/>
        <v>0</v>
      </c>
      <c r="AJ55" s="47">
        <v>0</v>
      </c>
      <c r="AK55" s="47">
        <f t="shared" si="61"/>
        <v>0</v>
      </c>
      <c r="AL55" s="47">
        <v>0</v>
      </c>
      <c r="AM55" s="47">
        <f t="shared" si="63"/>
        <v>0</v>
      </c>
      <c r="AN55" s="47">
        <v>0</v>
      </c>
      <c r="AO55" s="47">
        <f t="shared" si="65"/>
        <v>0</v>
      </c>
      <c r="AP55" s="47">
        <v>0</v>
      </c>
      <c r="AQ55" s="47">
        <f t="shared" si="66"/>
        <v>0</v>
      </c>
      <c r="AR55" s="47">
        <v>0</v>
      </c>
      <c r="AS55" s="47">
        <f t="shared" si="68"/>
        <v>0</v>
      </c>
      <c r="AT55" s="47">
        <v>0</v>
      </c>
      <c r="AU55" s="47">
        <f t="shared" si="69"/>
        <v>0</v>
      </c>
      <c r="AV55" s="47">
        <v>0</v>
      </c>
      <c r="AW55" s="47">
        <f t="shared" si="71"/>
        <v>0</v>
      </c>
      <c r="AX55" s="47">
        <v>0</v>
      </c>
      <c r="AY55" s="47">
        <f t="shared" si="72"/>
        <v>0</v>
      </c>
      <c r="AZ55" s="47">
        <v>0</v>
      </c>
      <c r="BA55" s="47">
        <f t="shared" si="74"/>
        <v>0</v>
      </c>
      <c r="BB55" s="48">
        <f t="shared" si="75"/>
        <v>0</v>
      </c>
      <c r="BC55" s="49">
        <f t="shared" si="76"/>
        <v>0</v>
      </c>
      <c r="BD55" s="7" t="e">
        <f t="shared" si="77"/>
        <v>#DIV/0!</v>
      </c>
      <c r="BE55" s="47">
        <f t="shared" si="78"/>
        <v>0</v>
      </c>
      <c r="BF55" s="47">
        <f t="shared" si="79"/>
        <v>0</v>
      </c>
      <c r="BG55" s="50">
        <f t="shared" si="80"/>
        <v>0</v>
      </c>
      <c r="BH55" s="50">
        <f t="shared" si="81"/>
        <v>0</v>
      </c>
      <c r="BI55" s="50">
        <f t="shared" si="82"/>
        <v>0</v>
      </c>
      <c r="BJ55" s="50">
        <f t="shared" si="83"/>
        <v>0</v>
      </c>
      <c r="BK55" s="50">
        <f t="shared" si="84"/>
        <v>0</v>
      </c>
      <c r="BL55" s="50">
        <f t="shared" si="85"/>
        <v>0</v>
      </c>
      <c r="BM55" s="51">
        <f t="shared" si="86"/>
        <v>0</v>
      </c>
      <c r="BN55" s="52">
        <f t="shared" si="87"/>
        <v>0</v>
      </c>
      <c r="BO55" s="52">
        <f t="shared" si="88"/>
        <v>0</v>
      </c>
      <c r="BP55" s="51">
        <f t="shared" si="89"/>
        <v>0.32</v>
      </c>
      <c r="BQ55" s="53">
        <f t="shared" si="90"/>
        <v>0</v>
      </c>
      <c r="BR55" s="53">
        <f t="shared" si="91"/>
        <v>0</v>
      </c>
      <c r="BS55" s="54">
        <f t="shared" si="92"/>
        <v>0</v>
      </c>
      <c r="BT55" s="55">
        <f t="shared" si="93"/>
        <v>0</v>
      </c>
      <c r="BU55" s="10" t="e">
        <f t="shared" si="94"/>
        <v>#DIV/0!</v>
      </c>
      <c r="BV55" s="3"/>
    </row>
    <row r="56" spans="1:74" ht="11.65" hidden="1">
      <c r="A56" s="646"/>
      <c r="B56" s="61"/>
      <c r="C56" s="56"/>
      <c r="D56" s="44"/>
      <c r="E56" s="7"/>
      <c r="F56" s="45"/>
      <c r="G56" s="46">
        <f t="shared" si="38"/>
        <v>0</v>
      </c>
      <c r="H56" s="7"/>
      <c r="I56" s="46">
        <f t="shared" si="39"/>
        <v>0</v>
      </c>
      <c r="J56" s="47">
        <v>0</v>
      </c>
      <c r="K56" s="47">
        <f t="shared" si="40"/>
        <v>0</v>
      </c>
      <c r="L56" s="47">
        <f t="shared" si="41"/>
        <v>0</v>
      </c>
      <c r="M56" s="47">
        <f t="shared" si="42"/>
        <v>0</v>
      </c>
      <c r="N56" s="47">
        <f t="shared" si="43"/>
        <v>0</v>
      </c>
      <c r="O56" s="47">
        <f t="shared" si="44"/>
        <v>0</v>
      </c>
      <c r="P56" s="47">
        <v>0</v>
      </c>
      <c r="Q56" s="47">
        <f t="shared" si="45"/>
        <v>0</v>
      </c>
      <c r="R56" s="47">
        <v>0</v>
      </c>
      <c r="S56" s="47">
        <f t="shared" si="46"/>
        <v>0</v>
      </c>
      <c r="T56" s="47">
        <v>0</v>
      </c>
      <c r="U56" s="47">
        <f t="shared" si="48"/>
        <v>0</v>
      </c>
      <c r="V56" s="47">
        <v>0</v>
      </c>
      <c r="W56" s="47">
        <f t="shared" si="50"/>
        <v>0</v>
      </c>
      <c r="X56" s="47">
        <v>0</v>
      </c>
      <c r="Y56" s="47">
        <f t="shared" si="52"/>
        <v>0</v>
      </c>
      <c r="Z56" s="47">
        <f t="shared" si="53"/>
        <v>0</v>
      </c>
      <c r="AA56" s="47">
        <f t="shared" si="54"/>
        <v>0</v>
      </c>
      <c r="AB56" s="47">
        <f t="shared" si="55"/>
        <v>0</v>
      </c>
      <c r="AC56" s="47">
        <f t="shared" si="56"/>
        <v>0</v>
      </c>
      <c r="AD56" s="47">
        <v>0</v>
      </c>
      <c r="AE56" s="47">
        <f t="shared" si="58"/>
        <v>0</v>
      </c>
      <c r="AF56" s="47">
        <v>0</v>
      </c>
      <c r="AG56" s="47">
        <f t="shared" si="59"/>
        <v>0</v>
      </c>
      <c r="AH56" s="47">
        <v>0</v>
      </c>
      <c r="AI56" s="47">
        <f t="shared" si="60"/>
        <v>0</v>
      </c>
      <c r="AJ56" s="47">
        <v>0</v>
      </c>
      <c r="AK56" s="47">
        <f t="shared" si="61"/>
        <v>0</v>
      </c>
      <c r="AL56" s="47">
        <v>0</v>
      </c>
      <c r="AM56" s="47">
        <f t="shared" si="63"/>
        <v>0</v>
      </c>
      <c r="AN56" s="47">
        <v>0</v>
      </c>
      <c r="AO56" s="47">
        <f t="shared" si="65"/>
        <v>0</v>
      </c>
      <c r="AP56" s="47">
        <v>0</v>
      </c>
      <c r="AQ56" s="47">
        <f t="shared" si="66"/>
        <v>0</v>
      </c>
      <c r="AR56" s="47">
        <v>0</v>
      </c>
      <c r="AS56" s="47">
        <f t="shared" si="68"/>
        <v>0</v>
      </c>
      <c r="AT56" s="47">
        <v>0</v>
      </c>
      <c r="AU56" s="47">
        <f t="shared" si="69"/>
        <v>0</v>
      </c>
      <c r="AV56" s="47">
        <v>0</v>
      </c>
      <c r="AW56" s="47">
        <f t="shared" si="71"/>
        <v>0</v>
      </c>
      <c r="AX56" s="47">
        <v>0</v>
      </c>
      <c r="AY56" s="47">
        <f t="shared" si="72"/>
        <v>0</v>
      </c>
      <c r="AZ56" s="47">
        <v>0</v>
      </c>
      <c r="BA56" s="47">
        <f t="shared" si="74"/>
        <v>0</v>
      </c>
      <c r="BB56" s="48">
        <f t="shared" si="75"/>
        <v>0</v>
      </c>
      <c r="BC56" s="49">
        <f t="shared" si="76"/>
        <v>0</v>
      </c>
      <c r="BD56" s="7" t="e">
        <f t="shared" si="77"/>
        <v>#DIV/0!</v>
      </c>
      <c r="BE56" s="47">
        <f t="shared" si="78"/>
        <v>0</v>
      </c>
      <c r="BF56" s="47">
        <f t="shared" si="79"/>
        <v>0</v>
      </c>
      <c r="BG56" s="50">
        <f t="shared" si="80"/>
        <v>0</v>
      </c>
      <c r="BH56" s="50">
        <f t="shared" si="81"/>
        <v>0</v>
      </c>
      <c r="BI56" s="50">
        <f t="shared" si="82"/>
        <v>0</v>
      </c>
      <c r="BJ56" s="50">
        <f t="shared" si="83"/>
        <v>0</v>
      </c>
      <c r="BK56" s="50">
        <f t="shared" si="84"/>
        <v>0</v>
      </c>
      <c r="BL56" s="50">
        <f t="shared" si="85"/>
        <v>0</v>
      </c>
      <c r="BM56" s="51">
        <f t="shared" si="86"/>
        <v>0</v>
      </c>
      <c r="BN56" s="52">
        <f t="shared" si="87"/>
        <v>0</v>
      </c>
      <c r="BO56" s="52">
        <f t="shared" si="88"/>
        <v>0</v>
      </c>
      <c r="BP56" s="51">
        <f t="shared" si="89"/>
        <v>0.32</v>
      </c>
      <c r="BQ56" s="53">
        <f t="shared" si="90"/>
        <v>0</v>
      </c>
      <c r="BR56" s="53">
        <f t="shared" si="91"/>
        <v>0</v>
      </c>
      <c r="BS56" s="54">
        <f t="shared" si="92"/>
        <v>0</v>
      </c>
      <c r="BT56" s="55">
        <f t="shared" si="93"/>
        <v>0</v>
      </c>
      <c r="BU56" s="10" t="e">
        <f t="shared" si="94"/>
        <v>#DIV/0!</v>
      </c>
      <c r="BV56" s="3"/>
    </row>
    <row r="57" spans="1:74" ht="11.65" hidden="1">
      <c r="A57" s="646"/>
      <c r="B57" s="61"/>
      <c r="C57" s="56"/>
      <c r="D57" s="44"/>
      <c r="E57" s="7"/>
      <c r="F57" s="45"/>
      <c r="G57" s="46">
        <f t="shared" si="38"/>
        <v>0</v>
      </c>
      <c r="H57" s="7"/>
      <c r="I57" s="46">
        <f t="shared" si="39"/>
        <v>0</v>
      </c>
      <c r="J57" s="47">
        <v>0</v>
      </c>
      <c r="K57" s="47">
        <f t="shared" si="40"/>
        <v>0</v>
      </c>
      <c r="L57" s="47">
        <f t="shared" si="41"/>
        <v>0</v>
      </c>
      <c r="M57" s="47">
        <f t="shared" si="42"/>
        <v>0</v>
      </c>
      <c r="N57" s="47">
        <f t="shared" si="43"/>
        <v>0</v>
      </c>
      <c r="O57" s="47">
        <f t="shared" si="44"/>
        <v>0</v>
      </c>
      <c r="P57" s="47">
        <v>0</v>
      </c>
      <c r="Q57" s="47">
        <f t="shared" si="45"/>
        <v>0</v>
      </c>
      <c r="R57" s="47">
        <v>0</v>
      </c>
      <c r="S57" s="47">
        <f t="shared" si="46"/>
        <v>0</v>
      </c>
      <c r="T57" s="47">
        <v>0</v>
      </c>
      <c r="U57" s="47">
        <f t="shared" si="48"/>
        <v>0</v>
      </c>
      <c r="V57" s="47">
        <v>0</v>
      </c>
      <c r="W57" s="47">
        <f t="shared" si="50"/>
        <v>0</v>
      </c>
      <c r="X57" s="47">
        <v>0</v>
      </c>
      <c r="Y57" s="47">
        <f t="shared" si="52"/>
        <v>0</v>
      </c>
      <c r="Z57" s="47">
        <f t="shared" si="53"/>
        <v>0</v>
      </c>
      <c r="AA57" s="47">
        <f t="shared" si="54"/>
        <v>0</v>
      </c>
      <c r="AB57" s="47">
        <f t="shared" si="55"/>
        <v>0</v>
      </c>
      <c r="AC57" s="47">
        <f t="shared" si="56"/>
        <v>0</v>
      </c>
      <c r="AD57" s="47">
        <v>0</v>
      </c>
      <c r="AE57" s="47">
        <f t="shared" si="58"/>
        <v>0</v>
      </c>
      <c r="AF57" s="47">
        <v>0</v>
      </c>
      <c r="AG57" s="47">
        <f t="shared" si="59"/>
        <v>0</v>
      </c>
      <c r="AH57" s="47">
        <v>0</v>
      </c>
      <c r="AI57" s="47">
        <f t="shared" si="60"/>
        <v>0</v>
      </c>
      <c r="AJ57" s="47">
        <v>0</v>
      </c>
      <c r="AK57" s="47">
        <f t="shared" si="61"/>
        <v>0</v>
      </c>
      <c r="AL57" s="47">
        <v>0</v>
      </c>
      <c r="AM57" s="47">
        <f t="shared" si="63"/>
        <v>0</v>
      </c>
      <c r="AN57" s="47">
        <v>0</v>
      </c>
      <c r="AO57" s="47">
        <f t="shared" si="65"/>
        <v>0</v>
      </c>
      <c r="AP57" s="47">
        <v>0</v>
      </c>
      <c r="AQ57" s="47">
        <f t="shared" si="66"/>
        <v>0</v>
      </c>
      <c r="AR57" s="47">
        <v>0</v>
      </c>
      <c r="AS57" s="47">
        <f t="shared" si="68"/>
        <v>0</v>
      </c>
      <c r="AT57" s="47">
        <v>0</v>
      </c>
      <c r="AU57" s="47">
        <f t="shared" si="69"/>
        <v>0</v>
      </c>
      <c r="AV57" s="47">
        <v>0</v>
      </c>
      <c r="AW57" s="47">
        <f t="shared" si="71"/>
        <v>0</v>
      </c>
      <c r="AX57" s="47">
        <v>0</v>
      </c>
      <c r="AY57" s="47">
        <f t="shared" si="72"/>
        <v>0</v>
      </c>
      <c r="AZ57" s="47">
        <v>0</v>
      </c>
      <c r="BA57" s="47">
        <f t="shared" si="74"/>
        <v>0</v>
      </c>
      <c r="BB57" s="48">
        <f t="shared" si="75"/>
        <v>0</v>
      </c>
      <c r="BC57" s="49">
        <f t="shared" si="76"/>
        <v>0</v>
      </c>
      <c r="BD57" s="7" t="e">
        <f t="shared" si="77"/>
        <v>#DIV/0!</v>
      </c>
      <c r="BE57" s="47">
        <f t="shared" si="78"/>
        <v>0</v>
      </c>
      <c r="BF57" s="47">
        <f t="shared" si="79"/>
        <v>0</v>
      </c>
      <c r="BG57" s="50">
        <f t="shared" si="80"/>
        <v>0</v>
      </c>
      <c r="BH57" s="50">
        <f t="shared" si="81"/>
        <v>0</v>
      </c>
      <c r="BI57" s="50">
        <f t="shared" si="82"/>
        <v>0</v>
      </c>
      <c r="BJ57" s="50">
        <f t="shared" si="83"/>
        <v>0</v>
      </c>
      <c r="BK57" s="50">
        <f t="shared" si="84"/>
        <v>0</v>
      </c>
      <c r="BL57" s="50">
        <f t="shared" si="85"/>
        <v>0</v>
      </c>
      <c r="BM57" s="51">
        <f t="shared" si="86"/>
        <v>0</v>
      </c>
      <c r="BN57" s="52">
        <f t="shared" si="87"/>
        <v>0</v>
      </c>
      <c r="BO57" s="52">
        <f t="shared" si="88"/>
        <v>0</v>
      </c>
      <c r="BP57" s="51">
        <f t="shared" si="89"/>
        <v>0.32</v>
      </c>
      <c r="BQ57" s="53">
        <f t="shared" si="90"/>
        <v>0</v>
      </c>
      <c r="BR57" s="53">
        <f t="shared" si="91"/>
        <v>0</v>
      </c>
      <c r="BS57" s="54">
        <f t="shared" si="92"/>
        <v>0</v>
      </c>
      <c r="BT57" s="55">
        <f t="shared" si="93"/>
        <v>0</v>
      </c>
      <c r="BU57" s="10" t="e">
        <f t="shared" si="94"/>
        <v>#DIV/0!</v>
      </c>
      <c r="BV57" s="3"/>
    </row>
    <row r="58" spans="1:74" ht="11.65" hidden="1">
      <c r="A58" s="646"/>
      <c r="B58" s="61"/>
      <c r="C58" s="56"/>
      <c r="D58" s="44"/>
      <c r="E58" s="7"/>
      <c r="F58" s="45"/>
      <c r="G58" s="46">
        <f t="shared" si="38"/>
        <v>0</v>
      </c>
      <c r="H58" s="7"/>
      <c r="I58" s="46">
        <f t="shared" si="39"/>
        <v>0</v>
      </c>
      <c r="J58" s="47">
        <v>0</v>
      </c>
      <c r="K58" s="47">
        <f t="shared" si="40"/>
        <v>0</v>
      </c>
      <c r="L58" s="47">
        <f t="shared" si="41"/>
        <v>0</v>
      </c>
      <c r="M58" s="47">
        <f t="shared" si="42"/>
        <v>0</v>
      </c>
      <c r="N58" s="47">
        <f t="shared" si="43"/>
        <v>0</v>
      </c>
      <c r="O58" s="47">
        <f t="shared" si="44"/>
        <v>0</v>
      </c>
      <c r="P58" s="47">
        <v>0</v>
      </c>
      <c r="Q58" s="47">
        <f t="shared" si="45"/>
        <v>0</v>
      </c>
      <c r="R58" s="47">
        <v>0</v>
      </c>
      <c r="S58" s="47">
        <f t="shared" si="46"/>
        <v>0</v>
      </c>
      <c r="T58" s="47">
        <v>0</v>
      </c>
      <c r="U58" s="47">
        <f t="shared" si="48"/>
        <v>0</v>
      </c>
      <c r="V58" s="47">
        <v>0</v>
      </c>
      <c r="W58" s="47">
        <f t="shared" si="50"/>
        <v>0</v>
      </c>
      <c r="X58" s="47">
        <v>0</v>
      </c>
      <c r="Y58" s="47">
        <f t="shared" si="52"/>
        <v>0</v>
      </c>
      <c r="Z58" s="47">
        <f t="shared" si="53"/>
        <v>0</v>
      </c>
      <c r="AA58" s="47">
        <f t="shared" si="54"/>
        <v>0</v>
      </c>
      <c r="AB58" s="47">
        <f t="shared" si="55"/>
        <v>0</v>
      </c>
      <c r="AC58" s="47">
        <f t="shared" si="56"/>
        <v>0</v>
      </c>
      <c r="AD58" s="47">
        <v>0</v>
      </c>
      <c r="AE58" s="47">
        <f t="shared" si="58"/>
        <v>0</v>
      </c>
      <c r="AF58" s="47">
        <v>0</v>
      </c>
      <c r="AG58" s="47">
        <f t="shared" si="59"/>
        <v>0</v>
      </c>
      <c r="AH58" s="47">
        <v>0</v>
      </c>
      <c r="AI58" s="47">
        <f t="shared" si="60"/>
        <v>0</v>
      </c>
      <c r="AJ58" s="47">
        <v>0</v>
      </c>
      <c r="AK58" s="47">
        <f t="shared" si="61"/>
        <v>0</v>
      </c>
      <c r="AL58" s="47">
        <v>0</v>
      </c>
      <c r="AM58" s="47">
        <f t="shared" si="63"/>
        <v>0</v>
      </c>
      <c r="AN58" s="47">
        <v>0</v>
      </c>
      <c r="AO58" s="47">
        <f t="shared" si="65"/>
        <v>0</v>
      </c>
      <c r="AP58" s="47">
        <v>0</v>
      </c>
      <c r="AQ58" s="47">
        <f t="shared" si="66"/>
        <v>0</v>
      </c>
      <c r="AR58" s="47">
        <v>0</v>
      </c>
      <c r="AS58" s="47">
        <f t="shared" si="68"/>
        <v>0</v>
      </c>
      <c r="AT58" s="47">
        <v>0</v>
      </c>
      <c r="AU58" s="47">
        <f t="shared" si="69"/>
        <v>0</v>
      </c>
      <c r="AV58" s="47">
        <v>0</v>
      </c>
      <c r="AW58" s="47">
        <f t="shared" si="71"/>
        <v>0</v>
      </c>
      <c r="AX58" s="47">
        <v>0</v>
      </c>
      <c r="AY58" s="47">
        <f t="shared" si="72"/>
        <v>0</v>
      </c>
      <c r="AZ58" s="47">
        <v>0</v>
      </c>
      <c r="BA58" s="47">
        <f t="shared" si="74"/>
        <v>0</v>
      </c>
      <c r="BB58" s="48">
        <f t="shared" si="75"/>
        <v>0</v>
      </c>
      <c r="BC58" s="49">
        <f t="shared" si="76"/>
        <v>0</v>
      </c>
      <c r="BD58" s="7" t="e">
        <f t="shared" si="77"/>
        <v>#DIV/0!</v>
      </c>
      <c r="BE58" s="47">
        <f t="shared" si="78"/>
        <v>0</v>
      </c>
      <c r="BF58" s="47">
        <f t="shared" si="79"/>
        <v>0</v>
      </c>
      <c r="BG58" s="50">
        <f t="shared" si="80"/>
        <v>0</v>
      </c>
      <c r="BH58" s="50">
        <f t="shared" si="81"/>
        <v>0</v>
      </c>
      <c r="BI58" s="50">
        <f t="shared" si="82"/>
        <v>0</v>
      </c>
      <c r="BJ58" s="50">
        <f t="shared" si="83"/>
        <v>0</v>
      </c>
      <c r="BK58" s="50">
        <f t="shared" si="84"/>
        <v>0</v>
      </c>
      <c r="BL58" s="50">
        <f t="shared" si="85"/>
        <v>0</v>
      </c>
      <c r="BM58" s="51">
        <f t="shared" si="86"/>
        <v>0</v>
      </c>
      <c r="BN58" s="52">
        <f t="shared" si="87"/>
        <v>0</v>
      </c>
      <c r="BO58" s="52">
        <f t="shared" si="88"/>
        <v>0</v>
      </c>
      <c r="BP58" s="51">
        <f t="shared" si="89"/>
        <v>0.32</v>
      </c>
      <c r="BQ58" s="53">
        <f t="shared" si="90"/>
        <v>0</v>
      </c>
      <c r="BR58" s="53">
        <f t="shared" si="91"/>
        <v>0</v>
      </c>
      <c r="BS58" s="54">
        <f t="shared" si="92"/>
        <v>0</v>
      </c>
      <c r="BT58" s="55">
        <f t="shared" si="93"/>
        <v>0</v>
      </c>
      <c r="BU58" s="10" t="e">
        <f t="shared" si="94"/>
        <v>#DIV/0!</v>
      </c>
      <c r="BV58" s="3"/>
    </row>
    <row r="59" spans="1:74" ht="11.65" hidden="1">
      <c r="A59" s="646"/>
      <c r="B59" s="61"/>
      <c r="C59" s="56"/>
      <c r="D59" s="44"/>
      <c r="E59" s="7"/>
      <c r="F59" s="45"/>
      <c r="G59" s="46">
        <f t="shared" si="38"/>
        <v>0</v>
      </c>
      <c r="H59" s="7"/>
      <c r="I59" s="46">
        <f t="shared" si="39"/>
        <v>0</v>
      </c>
      <c r="J59" s="47">
        <v>0</v>
      </c>
      <c r="K59" s="47">
        <f t="shared" si="40"/>
        <v>0</v>
      </c>
      <c r="L59" s="47">
        <f t="shared" si="41"/>
        <v>0</v>
      </c>
      <c r="M59" s="47">
        <f t="shared" si="42"/>
        <v>0</v>
      </c>
      <c r="N59" s="47">
        <f t="shared" si="43"/>
        <v>0</v>
      </c>
      <c r="O59" s="47">
        <f t="shared" si="44"/>
        <v>0</v>
      </c>
      <c r="P59" s="47">
        <v>0</v>
      </c>
      <c r="Q59" s="47">
        <f t="shared" si="45"/>
        <v>0</v>
      </c>
      <c r="R59" s="47">
        <v>0</v>
      </c>
      <c r="S59" s="47">
        <f t="shared" si="46"/>
        <v>0</v>
      </c>
      <c r="T59" s="47">
        <v>0</v>
      </c>
      <c r="U59" s="47">
        <f t="shared" si="48"/>
        <v>0</v>
      </c>
      <c r="V59" s="47">
        <v>0</v>
      </c>
      <c r="W59" s="47">
        <f t="shared" si="50"/>
        <v>0</v>
      </c>
      <c r="X59" s="47">
        <v>0</v>
      </c>
      <c r="Y59" s="47">
        <f t="shared" si="52"/>
        <v>0</v>
      </c>
      <c r="Z59" s="47">
        <f t="shared" si="53"/>
        <v>0</v>
      </c>
      <c r="AA59" s="47">
        <f t="shared" si="54"/>
        <v>0</v>
      </c>
      <c r="AB59" s="47">
        <f t="shared" si="55"/>
        <v>0</v>
      </c>
      <c r="AC59" s="47">
        <f t="shared" si="56"/>
        <v>0</v>
      </c>
      <c r="AD59" s="47">
        <v>0</v>
      </c>
      <c r="AE59" s="47">
        <f t="shared" si="58"/>
        <v>0</v>
      </c>
      <c r="AF59" s="47">
        <v>0</v>
      </c>
      <c r="AG59" s="47">
        <f t="shared" si="59"/>
        <v>0</v>
      </c>
      <c r="AH59" s="47">
        <v>0</v>
      </c>
      <c r="AI59" s="47">
        <f t="shared" si="60"/>
        <v>0</v>
      </c>
      <c r="AJ59" s="47">
        <v>0</v>
      </c>
      <c r="AK59" s="47">
        <f t="shared" si="61"/>
        <v>0</v>
      </c>
      <c r="AL59" s="47">
        <v>0</v>
      </c>
      <c r="AM59" s="47">
        <f t="shared" si="63"/>
        <v>0</v>
      </c>
      <c r="AN59" s="47">
        <v>0</v>
      </c>
      <c r="AO59" s="47">
        <f t="shared" si="65"/>
        <v>0</v>
      </c>
      <c r="AP59" s="47">
        <v>0</v>
      </c>
      <c r="AQ59" s="47">
        <f t="shared" si="66"/>
        <v>0</v>
      </c>
      <c r="AR59" s="47">
        <v>0</v>
      </c>
      <c r="AS59" s="47">
        <f t="shared" si="68"/>
        <v>0</v>
      </c>
      <c r="AT59" s="47">
        <v>0</v>
      </c>
      <c r="AU59" s="47">
        <f t="shared" si="69"/>
        <v>0</v>
      </c>
      <c r="AV59" s="47">
        <v>0</v>
      </c>
      <c r="AW59" s="47">
        <f t="shared" si="71"/>
        <v>0</v>
      </c>
      <c r="AX59" s="47">
        <v>0</v>
      </c>
      <c r="AY59" s="47">
        <f t="shared" si="72"/>
        <v>0</v>
      </c>
      <c r="AZ59" s="47">
        <v>0</v>
      </c>
      <c r="BA59" s="47">
        <f t="shared" si="74"/>
        <v>0</v>
      </c>
      <c r="BB59" s="48">
        <f t="shared" si="75"/>
        <v>0</v>
      </c>
      <c r="BC59" s="49">
        <f t="shared" si="76"/>
        <v>0</v>
      </c>
      <c r="BD59" s="7" t="e">
        <f t="shared" si="77"/>
        <v>#DIV/0!</v>
      </c>
      <c r="BE59" s="47">
        <f t="shared" si="78"/>
        <v>0</v>
      </c>
      <c r="BF59" s="47">
        <f t="shared" si="79"/>
        <v>0</v>
      </c>
      <c r="BG59" s="50">
        <f t="shared" si="80"/>
        <v>0</v>
      </c>
      <c r="BH59" s="50">
        <f t="shared" si="81"/>
        <v>0</v>
      </c>
      <c r="BI59" s="50">
        <f t="shared" si="82"/>
        <v>0</v>
      </c>
      <c r="BJ59" s="50">
        <f t="shared" si="83"/>
        <v>0</v>
      </c>
      <c r="BK59" s="50">
        <f t="shared" si="84"/>
        <v>0</v>
      </c>
      <c r="BL59" s="50">
        <f t="shared" si="85"/>
        <v>0</v>
      </c>
      <c r="BM59" s="51">
        <f t="shared" si="86"/>
        <v>0</v>
      </c>
      <c r="BN59" s="52">
        <f t="shared" si="87"/>
        <v>0</v>
      </c>
      <c r="BO59" s="52">
        <f t="shared" si="88"/>
        <v>0</v>
      </c>
      <c r="BP59" s="51">
        <f t="shared" si="89"/>
        <v>0.32</v>
      </c>
      <c r="BQ59" s="53">
        <f t="shared" si="90"/>
        <v>0</v>
      </c>
      <c r="BR59" s="53">
        <f t="shared" si="91"/>
        <v>0</v>
      </c>
      <c r="BS59" s="54">
        <f t="shared" si="92"/>
        <v>0</v>
      </c>
      <c r="BT59" s="55">
        <f t="shared" si="93"/>
        <v>0</v>
      </c>
      <c r="BU59" s="10" t="e">
        <f t="shared" si="94"/>
        <v>#DIV/0!</v>
      </c>
      <c r="BV59" s="3"/>
    </row>
    <row r="60" spans="1:74" ht="11.65" hidden="1">
      <c r="A60" s="646"/>
      <c r="B60" s="61"/>
      <c r="C60" s="56"/>
      <c r="D60" s="44"/>
      <c r="E60" s="7"/>
      <c r="F60" s="45"/>
      <c r="G60" s="46">
        <f t="shared" si="38"/>
        <v>0</v>
      </c>
      <c r="H60" s="7"/>
      <c r="I60" s="46">
        <f t="shared" si="39"/>
        <v>0</v>
      </c>
      <c r="J60" s="47">
        <v>0</v>
      </c>
      <c r="K60" s="47">
        <f t="shared" si="40"/>
        <v>0</v>
      </c>
      <c r="L60" s="47">
        <f t="shared" si="41"/>
        <v>0</v>
      </c>
      <c r="M60" s="47">
        <f t="shared" si="42"/>
        <v>0</v>
      </c>
      <c r="N60" s="47">
        <f t="shared" si="43"/>
        <v>0</v>
      </c>
      <c r="O60" s="47">
        <f t="shared" si="44"/>
        <v>0</v>
      </c>
      <c r="P60" s="47">
        <v>0</v>
      </c>
      <c r="Q60" s="47">
        <f t="shared" si="45"/>
        <v>0</v>
      </c>
      <c r="R60" s="47">
        <v>0</v>
      </c>
      <c r="S60" s="47">
        <f t="shared" si="46"/>
        <v>0</v>
      </c>
      <c r="T60" s="47">
        <v>0</v>
      </c>
      <c r="U60" s="47">
        <f t="shared" si="48"/>
        <v>0</v>
      </c>
      <c r="V60" s="47">
        <v>0</v>
      </c>
      <c r="W60" s="47">
        <f t="shared" si="50"/>
        <v>0</v>
      </c>
      <c r="X60" s="47">
        <v>0</v>
      </c>
      <c r="Y60" s="47">
        <f t="shared" si="52"/>
        <v>0</v>
      </c>
      <c r="Z60" s="47">
        <f t="shared" si="53"/>
        <v>0</v>
      </c>
      <c r="AA60" s="47">
        <f t="shared" si="54"/>
        <v>0</v>
      </c>
      <c r="AB60" s="47">
        <f t="shared" si="55"/>
        <v>0</v>
      </c>
      <c r="AC60" s="47">
        <f t="shared" si="56"/>
        <v>0</v>
      </c>
      <c r="AD60" s="47">
        <v>0</v>
      </c>
      <c r="AE60" s="47">
        <f t="shared" si="58"/>
        <v>0</v>
      </c>
      <c r="AF60" s="47">
        <v>0</v>
      </c>
      <c r="AG60" s="47">
        <f t="shared" si="59"/>
        <v>0</v>
      </c>
      <c r="AH60" s="47">
        <v>0</v>
      </c>
      <c r="AI60" s="47">
        <f t="shared" si="60"/>
        <v>0</v>
      </c>
      <c r="AJ60" s="47">
        <v>0</v>
      </c>
      <c r="AK60" s="47">
        <f t="shared" si="61"/>
        <v>0</v>
      </c>
      <c r="AL60" s="47">
        <v>0</v>
      </c>
      <c r="AM60" s="47">
        <f t="shared" si="63"/>
        <v>0</v>
      </c>
      <c r="AN60" s="47">
        <v>0</v>
      </c>
      <c r="AO60" s="47">
        <f t="shared" si="65"/>
        <v>0</v>
      </c>
      <c r="AP60" s="47">
        <v>0</v>
      </c>
      <c r="AQ60" s="47">
        <f t="shared" si="66"/>
        <v>0</v>
      </c>
      <c r="AR60" s="47">
        <v>0</v>
      </c>
      <c r="AS60" s="47">
        <f t="shared" si="68"/>
        <v>0</v>
      </c>
      <c r="AT60" s="47">
        <v>0</v>
      </c>
      <c r="AU60" s="47">
        <f t="shared" si="69"/>
        <v>0</v>
      </c>
      <c r="AV60" s="47">
        <v>0</v>
      </c>
      <c r="AW60" s="47">
        <f t="shared" si="71"/>
        <v>0</v>
      </c>
      <c r="AX60" s="47">
        <v>0</v>
      </c>
      <c r="AY60" s="47">
        <f t="shared" si="72"/>
        <v>0</v>
      </c>
      <c r="AZ60" s="47">
        <v>0</v>
      </c>
      <c r="BA60" s="47">
        <f t="shared" si="74"/>
        <v>0</v>
      </c>
      <c r="BB60" s="48">
        <f t="shared" si="75"/>
        <v>0</v>
      </c>
      <c r="BC60" s="49">
        <f t="shared" si="76"/>
        <v>0</v>
      </c>
      <c r="BD60" s="7" t="e">
        <f t="shared" si="77"/>
        <v>#DIV/0!</v>
      </c>
      <c r="BE60" s="47">
        <f t="shared" si="78"/>
        <v>0</v>
      </c>
      <c r="BF60" s="47">
        <f t="shared" si="79"/>
        <v>0</v>
      </c>
      <c r="BG60" s="50">
        <f t="shared" si="80"/>
        <v>0</v>
      </c>
      <c r="BH60" s="50">
        <f t="shared" si="81"/>
        <v>0</v>
      </c>
      <c r="BI60" s="50">
        <f t="shared" si="82"/>
        <v>0</v>
      </c>
      <c r="BJ60" s="50">
        <f t="shared" si="83"/>
        <v>0</v>
      </c>
      <c r="BK60" s="50">
        <f t="shared" si="84"/>
        <v>0</v>
      </c>
      <c r="BL60" s="50">
        <f t="shared" si="85"/>
        <v>0</v>
      </c>
      <c r="BM60" s="51">
        <f t="shared" si="86"/>
        <v>0</v>
      </c>
      <c r="BN60" s="52">
        <f t="shared" si="87"/>
        <v>0</v>
      </c>
      <c r="BO60" s="52">
        <f t="shared" si="88"/>
        <v>0</v>
      </c>
      <c r="BP60" s="51">
        <f t="shared" si="89"/>
        <v>0.32</v>
      </c>
      <c r="BQ60" s="53">
        <f t="shared" si="90"/>
        <v>0</v>
      </c>
      <c r="BR60" s="53">
        <f t="shared" si="91"/>
        <v>0</v>
      </c>
      <c r="BS60" s="54">
        <f t="shared" si="92"/>
        <v>0</v>
      </c>
      <c r="BT60" s="55">
        <f t="shared" si="93"/>
        <v>0</v>
      </c>
      <c r="BU60" s="10" t="e">
        <f t="shared" si="94"/>
        <v>#DIV/0!</v>
      </c>
      <c r="BV60" s="3"/>
    </row>
    <row r="61" spans="1:74" ht="11.65" hidden="1">
      <c r="A61" s="646"/>
      <c r="B61" s="61"/>
      <c r="C61" s="56"/>
      <c r="D61" s="44"/>
      <c r="E61" s="7"/>
      <c r="F61" s="45"/>
      <c r="G61" s="46">
        <f t="shared" si="38"/>
        <v>0</v>
      </c>
      <c r="H61" s="7"/>
      <c r="I61" s="46">
        <f t="shared" si="39"/>
        <v>0</v>
      </c>
      <c r="J61" s="47">
        <v>0</v>
      </c>
      <c r="K61" s="47">
        <f t="shared" si="40"/>
        <v>0</v>
      </c>
      <c r="L61" s="47">
        <f t="shared" si="41"/>
        <v>0</v>
      </c>
      <c r="M61" s="47">
        <f t="shared" si="42"/>
        <v>0</v>
      </c>
      <c r="N61" s="47">
        <f t="shared" si="43"/>
        <v>0</v>
      </c>
      <c r="O61" s="47">
        <f t="shared" si="44"/>
        <v>0</v>
      </c>
      <c r="P61" s="47">
        <v>0</v>
      </c>
      <c r="Q61" s="47">
        <f t="shared" si="45"/>
        <v>0</v>
      </c>
      <c r="R61" s="47">
        <v>0</v>
      </c>
      <c r="S61" s="47">
        <f t="shared" si="46"/>
        <v>0</v>
      </c>
      <c r="T61" s="47">
        <v>0</v>
      </c>
      <c r="U61" s="47">
        <f t="shared" si="48"/>
        <v>0</v>
      </c>
      <c r="V61" s="47">
        <v>0</v>
      </c>
      <c r="W61" s="47">
        <f t="shared" si="50"/>
        <v>0</v>
      </c>
      <c r="X61" s="47">
        <v>0</v>
      </c>
      <c r="Y61" s="47">
        <f t="shared" si="52"/>
        <v>0</v>
      </c>
      <c r="Z61" s="47">
        <f t="shared" si="53"/>
        <v>0</v>
      </c>
      <c r="AA61" s="47">
        <f t="shared" si="54"/>
        <v>0</v>
      </c>
      <c r="AB61" s="47">
        <f t="shared" si="55"/>
        <v>0</v>
      </c>
      <c r="AC61" s="47">
        <f t="shared" si="56"/>
        <v>0</v>
      </c>
      <c r="AD61" s="47">
        <v>0</v>
      </c>
      <c r="AE61" s="47">
        <f t="shared" si="58"/>
        <v>0</v>
      </c>
      <c r="AF61" s="47">
        <v>0</v>
      </c>
      <c r="AG61" s="47">
        <f t="shared" si="59"/>
        <v>0</v>
      </c>
      <c r="AH61" s="47">
        <v>0</v>
      </c>
      <c r="AI61" s="47">
        <f t="shared" si="60"/>
        <v>0</v>
      </c>
      <c r="AJ61" s="47">
        <v>0</v>
      </c>
      <c r="AK61" s="47">
        <f t="shared" si="61"/>
        <v>0</v>
      </c>
      <c r="AL61" s="47">
        <v>0</v>
      </c>
      <c r="AM61" s="47">
        <f t="shared" si="63"/>
        <v>0</v>
      </c>
      <c r="AN61" s="47">
        <v>0</v>
      </c>
      <c r="AO61" s="47">
        <f t="shared" si="65"/>
        <v>0</v>
      </c>
      <c r="AP61" s="47">
        <v>0</v>
      </c>
      <c r="AQ61" s="47">
        <f t="shared" si="66"/>
        <v>0</v>
      </c>
      <c r="AR61" s="47">
        <v>0</v>
      </c>
      <c r="AS61" s="47">
        <f t="shared" si="68"/>
        <v>0</v>
      </c>
      <c r="AT61" s="47">
        <v>0</v>
      </c>
      <c r="AU61" s="47">
        <f t="shared" si="69"/>
        <v>0</v>
      </c>
      <c r="AV61" s="47">
        <v>0</v>
      </c>
      <c r="AW61" s="47">
        <f t="shared" si="71"/>
        <v>0</v>
      </c>
      <c r="AX61" s="47">
        <v>0</v>
      </c>
      <c r="AY61" s="47">
        <f t="shared" si="72"/>
        <v>0</v>
      </c>
      <c r="AZ61" s="47">
        <v>0</v>
      </c>
      <c r="BA61" s="47">
        <f t="shared" si="74"/>
        <v>0</v>
      </c>
      <c r="BB61" s="48">
        <f t="shared" si="75"/>
        <v>0</v>
      </c>
      <c r="BC61" s="49">
        <f t="shared" si="76"/>
        <v>0</v>
      </c>
      <c r="BD61" s="7" t="e">
        <f t="shared" si="77"/>
        <v>#DIV/0!</v>
      </c>
      <c r="BE61" s="47">
        <f t="shared" si="78"/>
        <v>0</v>
      </c>
      <c r="BF61" s="47">
        <f t="shared" si="79"/>
        <v>0</v>
      </c>
      <c r="BG61" s="50">
        <f t="shared" si="80"/>
        <v>0</v>
      </c>
      <c r="BH61" s="50">
        <f t="shared" si="81"/>
        <v>0</v>
      </c>
      <c r="BI61" s="50">
        <f t="shared" si="82"/>
        <v>0</v>
      </c>
      <c r="BJ61" s="50">
        <f t="shared" si="83"/>
        <v>0</v>
      </c>
      <c r="BK61" s="50">
        <f t="shared" si="84"/>
        <v>0</v>
      </c>
      <c r="BL61" s="50">
        <f t="shared" si="85"/>
        <v>0</v>
      </c>
      <c r="BM61" s="51">
        <f t="shared" si="86"/>
        <v>0</v>
      </c>
      <c r="BN61" s="52">
        <f t="shared" si="87"/>
        <v>0</v>
      </c>
      <c r="BO61" s="52">
        <f t="shared" si="88"/>
        <v>0</v>
      </c>
      <c r="BP61" s="51">
        <f t="shared" si="89"/>
        <v>0.32</v>
      </c>
      <c r="BQ61" s="53">
        <f t="shared" si="90"/>
        <v>0</v>
      </c>
      <c r="BR61" s="53">
        <f t="shared" si="91"/>
        <v>0</v>
      </c>
      <c r="BS61" s="54">
        <f t="shared" si="92"/>
        <v>0</v>
      </c>
      <c r="BT61" s="55">
        <f t="shared" si="93"/>
        <v>0</v>
      </c>
      <c r="BU61" s="10" t="e">
        <f t="shared" si="94"/>
        <v>#DIV/0!</v>
      </c>
      <c r="BV61" s="3"/>
    </row>
    <row r="62" spans="1:74" ht="11.65" hidden="1">
      <c r="A62" s="646"/>
      <c r="B62" s="61"/>
      <c r="C62" s="56"/>
      <c r="D62" s="44"/>
      <c r="E62" s="7"/>
      <c r="F62" s="45"/>
      <c r="G62" s="46">
        <f t="shared" si="38"/>
        <v>0</v>
      </c>
      <c r="H62" s="7"/>
      <c r="I62" s="46">
        <f t="shared" si="39"/>
        <v>0</v>
      </c>
      <c r="J62" s="47">
        <v>0</v>
      </c>
      <c r="K62" s="47">
        <f t="shared" si="40"/>
        <v>0</v>
      </c>
      <c r="L62" s="47">
        <f t="shared" si="41"/>
        <v>0</v>
      </c>
      <c r="M62" s="47">
        <f t="shared" si="42"/>
        <v>0</v>
      </c>
      <c r="N62" s="47">
        <f t="shared" si="43"/>
        <v>0</v>
      </c>
      <c r="O62" s="47">
        <f t="shared" si="44"/>
        <v>0</v>
      </c>
      <c r="P62" s="47">
        <v>0</v>
      </c>
      <c r="Q62" s="47">
        <f t="shared" si="45"/>
        <v>0</v>
      </c>
      <c r="R62" s="47">
        <v>0</v>
      </c>
      <c r="S62" s="47">
        <f t="shared" si="46"/>
        <v>0</v>
      </c>
      <c r="T62" s="47">
        <v>0</v>
      </c>
      <c r="U62" s="47">
        <f t="shared" si="48"/>
        <v>0</v>
      </c>
      <c r="V62" s="47">
        <v>0</v>
      </c>
      <c r="W62" s="47">
        <f t="shared" si="50"/>
        <v>0</v>
      </c>
      <c r="X62" s="47">
        <v>0</v>
      </c>
      <c r="Y62" s="47">
        <f t="shared" si="52"/>
        <v>0</v>
      </c>
      <c r="Z62" s="47">
        <f t="shared" si="53"/>
        <v>0</v>
      </c>
      <c r="AA62" s="47">
        <f t="shared" si="54"/>
        <v>0</v>
      </c>
      <c r="AB62" s="47">
        <f t="shared" si="55"/>
        <v>0</v>
      </c>
      <c r="AC62" s="47">
        <f t="shared" si="56"/>
        <v>0</v>
      </c>
      <c r="AD62" s="47">
        <v>0</v>
      </c>
      <c r="AE62" s="47">
        <f t="shared" si="58"/>
        <v>0</v>
      </c>
      <c r="AF62" s="47">
        <v>0</v>
      </c>
      <c r="AG62" s="47">
        <f t="shared" si="59"/>
        <v>0</v>
      </c>
      <c r="AH62" s="47">
        <v>0</v>
      </c>
      <c r="AI62" s="47">
        <f t="shared" si="60"/>
        <v>0</v>
      </c>
      <c r="AJ62" s="47">
        <v>0</v>
      </c>
      <c r="AK62" s="47">
        <f t="shared" si="61"/>
        <v>0</v>
      </c>
      <c r="AL62" s="47">
        <v>0</v>
      </c>
      <c r="AM62" s="47">
        <f t="shared" si="63"/>
        <v>0</v>
      </c>
      <c r="AN62" s="47">
        <v>0</v>
      </c>
      <c r="AO62" s="47">
        <f t="shared" si="65"/>
        <v>0</v>
      </c>
      <c r="AP62" s="47">
        <v>0</v>
      </c>
      <c r="AQ62" s="47">
        <f t="shared" si="66"/>
        <v>0</v>
      </c>
      <c r="AR62" s="47">
        <v>0</v>
      </c>
      <c r="AS62" s="47">
        <f t="shared" si="68"/>
        <v>0</v>
      </c>
      <c r="AT62" s="47">
        <v>0</v>
      </c>
      <c r="AU62" s="47">
        <f t="shared" si="69"/>
        <v>0</v>
      </c>
      <c r="AV62" s="47">
        <v>0</v>
      </c>
      <c r="AW62" s="47">
        <f t="shared" si="71"/>
        <v>0</v>
      </c>
      <c r="AX62" s="47">
        <v>0</v>
      </c>
      <c r="AY62" s="47">
        <f t="shared" si="72"/>
        <v>0</v>
      </c>
      <c r="AZ62" s="47">
        <v>0</v>
      </c>
      <c r="BA62" s="47">
        <f t="shared" si="74"/>
        <v>0</v>
      </c>
      <c r="BB62" s="48">
        <f t="shared" si="75"/>
        <v>0</v>
      </c>
      <c r="BC62" s="49">
        <f t="shared" si="76"/>
        <v>0</v>
      </c>
      <c r="BD62" s="7" t="e">
        <f t="shared" si="77"/>
        <v>#DIV/0!</v>
      </c>
      <c r="BE62" s="47">
        <f t="shared" si="78"/>
        <v>0</v>
      </c>
      <c r="BF62" s="47">
        <f t="shared" si="79"/>
        <v>0</v>
      </c>
      <c r="BG62" s="50">
        <f t="shared" si="80"/>
        <v>0</v>
      </c>
      <c r="BH62" s="50">
        <f t="shared" si="81"/>
        <v>0</v>
      </c>
      <c r="BI62" s="50">
        <f t="shared" si="82"/>
        <v>0</v>
      </c>
      <c r="BJ62" s="50">
        <f t="shared" si="83"/>
        <v>0</v>
      </c>
      <c r="BK62" s="50">
        <f t="shared" si="84"/>
        <v>0</v>
      </c>
      <c r="BL62" s="50">
        <f t="shared" si="85"/>
        <v>0</v>
      </c>
      <c r="BM62" s="51">
        <f t="shared" si="86"/>
        <v>0</v>
      </c>
      <c r="BN62" s="52">
        <f t="shared" si="87"/>
        <v>0</v>
      </c>
      <c r="BO62" s="52">
        <f t="shared" si="88"/>
        <v>0</v>
      </c>
      <c r="BP62" s="51">
        <f t="shared" si="89"/>
        <v>0.32</v>
      </c>
      <c r="BQ62" s="53">
        <f t="shared" si="90"/>
        <v>0</v>
      </c>
      <c r="BR62" s="53">
        <f t="shared" si="91"/>
        <v>0</v>
      </c>
      <c r="BS62" s="54">
        <f t="shared" si="92"/>
        <v>0</v>
      </c>
      <c r="BT62" s="55">
        <f t="shared" si="93"/>
        <v>0</v>
      </c>
      <c r="BU62" s="10" t="e">
        <f t="shared" si="94"/>
        <v>#DIV/0!</v>
      </c>
      <c r="BV62" s="3"/>
    </row>
    <row r="63" spans="1:74" ht="11.65" hidden="1">
      <c r="A63" s="646"/>
      <c r="B63" s="61"/>
      <c r="C63" s="56"/>
      <c r="D63" s="44"/>
      <c r="E63" s="7"/>
      <c r="F63" s="45"/>
      <c r="G63" s="46">
        <f t="shared" si="38"/>
        <v>0</v>
      </c>
      <c r="H63" s="7"/>
      <c r="I63" s="46">
        <f t="shared" si="39"/>
        <v>0</v>
      </c>
      <c r="J63" s="47">
        <v>0</v>
      </c>
      <c r="K63" s="47">
        <f t="shared" si="40"/>
        <v>0</v>
      </c>
      <c r="L63" s="47">
        <f t="shared" si="41"/>
        <v>0</v>
      </c>
      <c r="M63" s="47">
        <f t="shared" si="42"/>
        <v>0</v>
      </c>
      <c r="N63" s="47">
        <f t="shared" si="43"/>
        <v>0</v>
      </c>
      <c r="O63" s="47">
        <f t="shared" si="44"/>
        <v>0</v>
      </c>
      <c r="P63" s="47">
        <v>0</v>
      </c>
      <c r="Q63" s="47">
        <f t="shared" si="45"/>
        <v>0</v>
      </c>
      <c r="R63" s="47">
        <v>0</v>
      </c>
      <c r="S63" s="47">
        <f t="shared" si="46"/>
        <v>0</v>
      </c>
      <c r="T63" s="47">
        <v>0</v>
      </c>
      <c r="U63" s="47">
        <f t="shared" si="48"/>
        <v>0</v>
      </c>
      <c r="V63" s="47">
        <v>0</v>
      </c>
      <c r="W63" s="47">
        <f t="shared" si="50"/>
        <v>0</v>
      </c>
      <c r="X63" s="47">
        <v>0</v>
      </c>
      <c r="Y63" s="47">
        <f t="shared" si="52"/>
        <v>0</v>
      </c>
      <c r="Z63" s="47">
        <f t="shared" si="53"/>
        <v>0</v>
      </c>
      <c r="AA63" s="47">
        <f t="shared" si="54"/>
        <v>0</v>
      </c>
      <c r="AB63" s="47">
        <f t="shared" si="55"/>
        <v>0</v>
      </c>
      <c r="AC63" s="47">
        <f t="shared" si="56"/>
        <v>0</v>
      </c>
      <c r="AD63" s="47">
        <v>0</v>
      </c>
      <c r="AE63" s="47">
        <f t="shared" si="58"/>
        <v>0</v>
      </c>
      <c r="AF63" s="47">
        <v>0</v>
      </c>
      <c r="AG63" s="47">
        <f t="shared" si="59"/>
        <v>0</v>
      </c>
      <c r="AH63" s="47">
        <v>0</v>
      </c>
      <c r="AI63" s="47">
        <f t="shared" si="60"/>
        <v>0</v>
      </c>
      <c r="AJ63" s="47">
        <v>0</v>
      </c>
      <c r="AK63" s="47">
        <f t="shared" si="61"/>
        <v>0</v>
      </c>
      <c r="AL63" s="47">
        <v>0</v>
      </c>
      <c r="AM63" s="47">
        <f t="shared" si="63"/>
        <v>0</v>
      </c>
      <c r="AN63" s="47">
        <v>0</v>
      </c>
      <c r="AO63" s="47">
        <f t="shared" si="65"/>
        <v>0</v>
      </c>
      <c r="AP63" s="47">
        <v>0</v>
      </c>
      <c r="AQ63" s="47">
        <f t="shared" si="66"/>
        <v>0</v>
      </c>
      <c r="AR63" s="47">
        <v>0</v>
      </c>
      <c r="AS63" s="47">
        <f t="shared" si="68"/>
        <v>0</v>
      </c>
      <c r="AT63" s="47">
        <v>0</v>
      </c>
      <c r="AU63" s="47">
        <f t="shared" si="69"/>
        <v>0</v>
      </c>
      <c r="AV63" s="47">
        <v>0</v>
      </c>
      <c r="AW63" s="47">
        <f t="shared" si="71"/>
        <v>0</v>
      </c>
      <c r="AX63" s="47">
        <v>0</v>
      </c>
      <c r="AY63" s="47">
        <f t="shared" si="72"/>
        <v>0</v>
      </c>
      <c r="AZ63" s="47">
        <v>0</v>
      </c>
      <c r="BA63" s="47">
        <f t="shared" si="74"/>
        <v>0</v>
      </c>
      <c r="BB63" s="48">
        <f t="shared" si="75"/>
        <v>0</v>
      </c>
      <c r="BC63" s="49">
        <f t="shared" si="76"/>
        <v>0</v>
      </c>
      <c r="BD63" s="7" t="e">
        <f t="shared" si="77"/>
        <v>#DIV/0!</v>
      </c>
      <c r="BE63" s="47">
        <f t="shared" si="78"/>
        <v>0</v>
      </c>
      <c r="BF63" s="47">
        <f t="shared" si="79"/>
        <v>0</v>
      </c>
      <c r="BG63" s="50">
        <f t="shared" si="80"/>
        <v>0</v>
      </c>
      <c r="BH63" s="50">
        <f t="shared" si="81"/>
        <v>0</v>
      </c>
      <c r="BI63" s="50">
        <f t="shared" si="82"/>
        <v>0</v>
      </c>
      <c r="BJ63" s="50">
        <f t="shared" si="83"/>
        <v>0</v>
      </c>
      <c r="BK63" s="50">
        <f t="shared" si="84"/>
        <v>0</v>
      </c>
      <c r="BL63" s="50">
        <f t="shared" si="85"/>
        <v>0</v>
      </c>
      <c r="BM63" s="51">
        <f t="shared" si="86"/>
        <v>0</v>
      </c>
      <c r="BN63" s="52">
        <f t="shared" si="87"/>
        <v>0</v>
      </c>
      <c r="BO63" s="52">
        <f t="shared" si="88"/>
        <v>0</v>
      </c>
      <c r="BP63" s="51">
        <f t="shared" si="89"/>
        <v>0.32</v>
      </c>
      <c r="BQ63" s="53">
        <f t="shared" si="90"/>
        <v>0</v>
      </c>
      <c r="BR63" s="53">
        <f t="shared" si="91"/>
        <v>0</v>
      </c>
      <c r="BS63" s="54">
        <f t="shared" si="92"/>
        <v>0</v>
      </c>
      <c r="BT63" s="55">
        <f t="shared" si="93"/>
        <v>0</v>
      </c>
      <c r="BU63" s="10" t="e">
        <f t="shared" si="94"/>
        <v>#DIV/0!</v>
      </c>
      <c r="BV63" s="3"/>
    </row>
    <row r="64" spans="1:74" ht="11.65" hidden="1">
      <c r="A64" s="646"/>
      <c r="B64" s="61"/>
      <c r="C64" s="56"/>
      <c r="D64" s="44"/>
      <c r="E64" s="7"/>
      <c r="F64" s="45"/>
      <c r="G64" s="46">
        <f t="shared" si="38"/>
        <v>0</v>
      </c>
      <c r="H64" s="7"/>
      <c r="I64" s="46">
        <f t="shared" si="39"/>
        <v>0</v>
      </c>
      <c r="J64" s="47">
        <v>0</v>
      </c>
      <c r="K64" s="47">
        <f t="shared" si="40"/>
        <v>0</v>
      </c>
      <c r="L64" s="47">
        <f t="shared" si="41"/>
        <v>0</v>
      </c>
      <c r="M64" s="47">
        <f t="shared" si="42"/>
        <v>0</v>
      </c>
      <c r="N64" s="47">
        <f t="shared" si="43"/>
        <v>0</v>
      </c>
      <c r="O64" s="47">
        <f t="shared" si="44"/>
        <v>0</v>
      </c>
      <c r="P64" s="47">
        <v>0</v>
      </c>
      <c r="Q64" s="47">
        <f t="shared" si="45"/>
        <v>0</v>
      </c>
      <c r="R64" s="47">
        <v>0</v>
      </c>
      <c r="S64" s="47">
        <f t="shared" si="46"/>
        <v>0</v>
      </c>
      <c r="T64" s="47">
        <v>0</v>
      </c>
      <c r="U64" s="47">
        <f t="shared" si="48"/>
        <v>0</v>
      </c>
      <c r="V64" s="47">
        <v>0</v>
      </c>
      <c r="W64" s="47">
        <f t="shared" si="50"/>
        <v>0</v>
      </c>
      <c r="X64" s="47">
        <v>0</v>
      </c>
      <c r="Y64" s="47">
        <f t="shared" si="52"/>
        <v>0</v>
      </c>
      <c r="Z64" s="47">
        <f t="shared" si="53"/>
        <v>0</v>
      </c>
      <c r="AA64" s="47">
        <f t="shared" si="54"/>
        <v>0</v>
      </c>
      <c r="AB64" s="47">
        <f t="shared" si="55"/>
        <v>0</v>
      </c>
      <c r="AC64" s="47">
        <f t="shared" si="56"/>
        <v>0</v>
      </c>
      <c r="AD64" s="47">
        <v>0</v>
      </c>
      <c r="AE64" s="47">
        <f t="shared" si="58"/>
        <v>0</v>
      </c>
      <c r="AF64" s="47">
        <v>0</v>
      </c>
      <c r="AG64" s="47">
        <f t="shared" si="59"/>
        <v>0</v>
      </c>
      <c r="AH64" s="47">
        <v>0</v>
      </c>
      <c r="AI64" s="47">
        <f t="shared" si="60"/>
        <v>0</v>
      </c>
      <c r="AJ64" s="47">
        <v>0</v>
      </c>
      <c r="AK64" s="47">
        <f t="shared" si="61"/>
        <v>0</v>
      </c>
      <c r="AL64" s="47">
        <v>0</v>
      </c>
      <c r="AM64" s="47">
        <f t="shared" si="63"/>
        <v>0</v>
      </c>
      <c r="AN64" s="47">
        <v>0</v>
      </c>
      <c r="AO64" s="47">
        <f t="shared" si="65"/>
        <v>0</v>
      </c>
      <c r="AP64" s="47">
        <v>0</v>
      </c>
      <c r="AQ64" s="47">
        <f t="shared" si="66"/>
        <v>0</v>
      </c>
      <c r="AR64" s="47">
        <v>0</v>
      </c>
      <c r="AS64" s="47">
        <f t="shared" si="68"/>
        <v>0</v>
      </c>
      <c r="AT64" s="47">
        <v>0</v>
      </c>
      <c r="AU64" s="47">
        <f t="shared" si="69"/>
        <v>0</v>
      </c>
      <c r="AV64" s="47">
        <v>0</v>
      </c>
      <c r="AW64" s="47">
        <f t="shared" si="71"/>
        <v>0</v>
      </c>
      <c r="AX64" s="47">
        <v>0</v>
      </c>
      <c r="AY64" s="47">
        <f t="shared" si="72"/>
        <v>0</v>
      </c>
      <c r="AZ64" s="47">
        <v>0</v>
      </c>
      <c r="BA64" s="47">
        <f t="shared" si="74"/>
        <v>0</v>
      </c>
      <c r="BB64" s="48">
        <f t="shared" si="75"/>
        <v>0</v>
      </c>
      <c r="BC64" s="49">
        <f t="shared" si="76"/>
        <v>0</v>
      </c>
      <c r="BD64" s="7" t="e">
        <f t="shared" si="77"/>
        <v>#DIV/0!</v>
      </c>
      <c r="BE64" s="47">
        <f t="shared" si="78"/>
        <v>0</v>
      </c>
      <c r="BF64" s="47">
        <f t="shared" si="79"/>
        <v>0</v>
      </c>
      <c r="BG64" s="50">
        <f t="shared" si="80"/>
        <v>0</v>
      </c>
      <c r="BH64" s="50">
        <f t="shared" si="81"/>
        <v>0</v>
      </c>
      <c r="BI64" s="50">
        <f t="shared" si="82"/>
        <v>0</v>
      </c>
      <c r="BJ64" s="50">
        <f t="shared" si="83"/>
        <v>0</v>
      </c>
      <c r="BK64" s="50">
        <f t="shared" si="84"/>
        <v>0</v>
      </c>
      <c r="BL64" s="50">
        <f t="shared" si="85"/>
        <v>0</v>
      </c>
      <c r="BM64" s="51">
        <f t="shared" si="86"/>
        <v>0</v>
      </c>
      <c r="BN64" s="52">
        <f t="shared" si="87"/>
        <v>0</v>
      </c>
      <c r="BO64" s="52">
        <f t="shared" si="88"/>
        <v>0</v>
      </c>
      <c r="BP64" s="51">
        <f t="shared" si="89"/>
        <v>0.32</v>
      </c>
      <c r="BQ64" s="53">
        <f t="shared" si="90"/>
        <v>0</v>
      </c>
      <c r="BR64" s="53">
        <f t="shared" si="91"/>
        <v>0</v>
      </c>
      <c r="BS64" s="54">
        <f t="shared" si="92"/>
        <v>0</v>
      </c>
      <c r="BT64" s="55">
        <f t="shared" si="93"/>
        <v>0</v>
      </c>
      <c r="BU64" s="10" t="e">
        <f t="shared" si="94"/>
        <v>#DIV/0!</v>
      </c>
      <c r="BV64" s="3"/>
    </row>
    <row r="65" spans="1:74" ht="11.65" hidden="1">
      <c r="A65" s="646"/>
      <c r="B65" s="61"/>
      <c r="C65" s="56"/>
      <c r="D65" s="44"/>
      <c r="E65" s="7"/>
      <c r="F65" s="45"/>
      <c r="G65" s="46">
        <f t="shared" si="38"/>
        <v>0</v>
      </c>
      <c r="H65" s="7"/>
      <c r="I65" s="46">
        <f t="shared" si="39"/>
        <v>0</v>
      </c>
      <c r="J65" s="47">
        <v>0</v>
      </c>
      <c r="K65" s="47">
        <f t="shared" si="40"/>
        <v>0</v>
      </c>
      <c r="L65" s="47">
        <f t="shared" si="41"/>
        <v>0</v>
      </c>
      <c r="M65" s="47">
        <f t="shared" si="42"/>
        <v>0</v>
      </c>
      <c r="N65" s="47">
        <f t="shared" si="43"/>
        <v>0</v>
      </c>
      <c r="O65" s="47">
        <f t="shared" si="44"/>
        <v>0</v>
      </c>
      <c r="P65" s="47">
        <v>0</v>
      </c>
      <c r="Q65" s="47">
        <f t="shared" si="45"/>
        <v>0</v>
      </c>
      <c r="R65" s="47">
        <v>0</v>
      </c>
      <c r="S65" s="47">
        <f t="shared" si="46"/>
        <v>0</v>
      </c>
      <c r="T65" s="47">
        <v>0</v>
      </c>
      <c r="U65" s="47">
        <f t="shared" si="48"/>
        <v>0</v>
      </c>
      <c r="V65" s="47">
        <v>0</v>
      </c>
      <c r="W65" s="47">
        <f t="shared" si="50"/>
        <v>0</v>
      </c>
      <c r="X65" s="47">
        <v>0</v>
      </c>
      <c r="Y65" s="47">
        <f t="shared" si="52"/>
        <v>0</v>
      </c>
      <c r="Z65" s="47">
        <f t="shared" si="53"/>
        <v>0</v>
      </c>
      <c r="AA65" s="47">
        <f t="shared" si="54"/>
        <v>0</v>
      </c>
      <c r="AB65" s="47">
        <f t="shared" si="55"/>
        <v>0</v>
      </c>
      <c r="AC65" s="47">
        <f t="shared" si="56"/>
        <v>0</v>
      </c>
      <c r="AD65" s="47">
        <v>0</v>
      </c>
      <c r="AE65" s="47">
        <f t="shared" si="58"/>
        <v>0</v>
      </c>
      <c r="AF65" s="47">
        <v>0</v>
      </c>
      <c r="AG65" s="47">
        <f t="shared" si="59"/>
        <v>0</v>
      </c>
      <c r="AH65" s="47">
        <v>0</v>
      </c>
      <c r="AI65" s="47">
        <f t="shared" si="60"/>
        <v>0</v>
      </c>
      <c r="AJ65" s="47">
        <v>0</v>
      </c>
      <c r="AK65" s="47">
        <f t="shared" si="61"/>
        <v>0</v>
      </c>
      <c r="AL65" s="47">
        <v>0</v>
      </c>
      <c r="AM65" s="47">
        <f t="shared" si="63"/>
        <v>0</v>
      </c>
      <c r="AN65" s="47">
        <v>0</v>
      </c>
      <c r="AO65" s="47">
        <f t="shared" si="65"/>
        <v>0</v>
      </c>
      <c r="AP65" s="47">
        <v>0</v>
      </c>
      <c r="AQ65" s="47">
        <f t="shared" si="66"/>
        <v>0</v>
      </c>
      <c r="AR65" s="47">
        <v>0</v>
      </c>
      <c r="AS65" s="47">
        <f t="shared" si="68"/>
        <v>0</v>
      </c>
      <c r="AT65" s="47">
        <v>0</v>
      </c>
      <c r="AU65" s="47">
        <f t="shared" si="69"/>
        <v>0</v>
      </c>
      <c r="AV65" s="47">
        <v>0</v>
      </c>
      <c r="AW65" s="47">
        <f t="shared" si="71"/>
        <v>0</v>
      </c>
      <c r="AX65" s="47">
        <v>0</v>
      </c>
      <c r="AY65" s="47">
        <f t="shared" si="72"/>
        <v>0</v>
      </c>
      <c r="AZ65" s="47">
        <v>0</v>
      </c>
      <c r="BA65" s="47">
        <f t="shared" si="74"/>
        <v>0</v>
      </c>
      <c r="BB65" s="48">
        <f t="shared" si="75"/>
        <v>0</v>
      </c>
      <c r="BC65" s="49">
        <f t="shared" si="76"/>
        <v>0</v>
      </c>
      <c r="BD65" s="7" t="e">
        <f t="shared" si="77"/>
        <v>#DIV/0!</v>
      </c>
      <c r="BE65" s="47">
        <f t="shared" si="78"/>
        <v>0</v>
      </c>
      <c r="BF65" s="47">
        <f t="shared" si="79"/>
        <v>0</v>
      </c>
      <c r="BG65" s="50">
        <f t="shared" si="80"/>
        <v>0</v>
      </c>
      <c r="BH65" s="50">
        <f t="shared" si="81"/>
        <v>0</v>
      </c>
      <c r="BI65" s="50">
        <f t="shared" si="82"/>
        <v>0</v>
      </c>
      <c r="BJ65" s="50">
        <f t="shared" si="83"/>
        <v>0</v>
      </c>
      <c r="BK65" s="50">
        <f t="shared" si="84"/>
        <v>0</v>
      </c>
      <c r="BL65" s="50">
        <f t="shared" si="85"/>
        <v>0</v>
      </c>
      <c r="BM65" s="51">
        <f t="shared" si="86"/>
        <v>0</v>
      </c>
      <c r="BN65" s="52">
        <f t="shared" si="87"/>
        <v>0</v>
      </c>
      <c r="BO65" s="52">
        <f t="shared" si="88"/>
        <v>0</v>
      </c>
      <c r="BP65" s="51">
        <f t="shared" si="89"/>
        <v>0.32</v>
      </c>
      <c r="BQ65" s="53">
        <f t="shared" si="90"/>
        <v>0</v>
      </c>
      <c r="BR65" s="53">
        <f t="shared" si="91"/>
        <v>0</v>
      </c>
      <c r="BS65" s="54">
        <f t="shared" si="92"/>
        <v>0</v>
      </c>
      <c r="BT65" s="55">
        <f t="shared" si="93"/>
        <v>0</v>
      </c>
      <c r="BU65" s="10" t="e">
        <f t="shared" si="94"/>
        <v>#DIV/0!</v>
      </c>
      <c r="BV65" s="3"/>
    </row>
    <row r="66" spans="1:74" ht="11.65" hidden="1">
      <c r="A66" s="646"/>
      <c r="B66" s="61"/>
      <c r="C66" s="56"/>
      <c r="D66" s="44"/>
      <c r="E66" s="7"/>
      <c r="F66" s="45"/>
      <c r="G66" s="46">
        <f t="shared" si="38"/>
        <v>0</v>
      </c>
      <c r="H66" s="7"/>
      <c r="I66" s="46">
        <f t="shared" si="39"/>
        <v>0</v>
      </c>
      <c r="J66" s="47">
        <v>0</v>
      </c>
      <c r="K66" s="47">
        <f t="shared" si="40"/>
        <v>0</v>
      </c>
      <c r="L66" s="47">
        <f t="shared" si="41"/>
        <v>0</v>
      </c>
      <c r="M66" s="47">
        <f t="shared" si="42"/>
        <v>0</v>
      </c>
      <c r="N66" s="47">
        <f t="shared" si="43"/>
        <v>0</v>
      </c>
      <c r="O66" s="47">
        <f t="shared" si="44"/>
        <v>0</v>
      </c>
      <c r="P66" s="47">
        <v>0</v>
      </c>
      <c r="Q66" s="47">
        <f t="shared" si="45"/>
        <v>0</v>
      </c>
      <c r="R66" s="47">
        <v>0</v>
      </c>
      <c r="S66" s="47">
        <f t="shared" si="46"/>
        <v>0</v>
      </c>
      <c r="T66" s="47">
        <v>0</v>
      </c>
      <c r="U66" s="47">
        <f t="shared" si="48"/>
        <v>0</v>
      </c>
      <c r="V66" s="47">
        <v>0</v>
      </c>
      <c r="W66" s="47">
        <f t="shared" si="50"/>
        <v>0</v>
      </c>
      <c r="X66" s="47">
        <v>0</v>
      </c>
      <c r="Y66" s="47">
        <f t="shared" si="52"/>
        <v>0</v>
      </c>
      <c r="Z66" s="47">
        <f t="shared" si="53"/>
        <v>0</v>
      </c>
      <c r="AA66" s="47">
        <f t="shared" si="54"/>
        <v>0</v>
      </c>
      <c r="AB66" s="47">
        <f t="shared" si="55"/>
        <v>0</v>
      </c>
      <c r="AC66" s="47">
        <f t="shared" si="56"/>
        <v>0</v>
      </c>
      <c r="AD66" s="47">
        <v>0</v>
      </c>
      <c r="AE66" s="47">
        <f t="shared" si="58"/>
        <v>0</v>
      </c>
      <c r="AF66" s="47">
        <v>0</v>
      </c>
      <c r="AG66" s="47">
        <f t="shared" si="59"/>
        <v>0</v>
      </c>
      <c r="AH66" s="47">
        <v>0</v>
      </c>
      <c r="AI66" s="47">
        <f t="shared" si="60"/>
        <v>0</v>
      </c>
      <c r="AJ66" s="47">
        <v>0</v>
      </c>
      <c r="AK66" s="47">
        <f t="shared" si="61"/>
        <v>0</v>
      </c>
      <c r="AL66" s="47">
        <v>0</v>
      </c>
      <c r="AM66" s="47">
        <f t="shared" si="63"/>
        <v>0</v>
      </c>
      <c r="AN66" s="47">
        <v>0</v>
      </c>
      <c r="AO66" s="47">
        <f t="shared" si="65"/>
        <v>0</v>
      </c>
      <c r="AP66" s="47">
        <v>0</v>
      </c>
      <c r="AQ66" s="47">
        <f t="shared" si="66"/>
        <v>0</v>
      </c>
      <c r="AR66" s="47">
        <v>0</v>
      </c>
      <c r="AS66" s="47">
        <f t="shared" si="68"/>
        <v>0</v>
      </c>
      <c r="AT66" s="47">
        <v>0</v>
      </c>
      <c r="AU66" s="47">
        <f t="shared" si="69"/>
        <v>0</v>
      </c>
      <c r="AV66" s="47">
        <v>0</v>
      </c>
      <c r="AW66" s="47">
        <f t="shared" si="71"/>
        <v>0</v>
      </c>
      <c r="AX66" s="47">
        <v>0</v>
      </c>
      <c r="AY66" s="47">
        <f t="shared" si="72"/>
        <v>0</v>
      </c>
      <c r="AZ66" s="47">
        <v>0</v>
      </c>
      <c r="BA66" s="47">
        <f t="shared" si="74"/>
        <v>0</v>
      </c>
      <c r="BB66" s="48">
        <f t="shared" si="75"/>
        <v>0</v>
      </c>
      <c r="BC66" s="49">
        <f t="shared" si="76"/>
        <v>0</v>
      </c>
      <c r="BD66" s="7" t="e">
        <f t="shared" si="77"/>
        <v>#DIV/0!</v>
      </c>
      <c r="BE66" s="47">
        <f t="shared" si="78"/>
        <v>0</v>
      </c>
      <c r="BF66" s="47">
        <f t="shared" si="79"/>
        <v>0</v>
      </c>
      <c r="BG66" s="50">
        <f t="shared" si="80"/>
        <v>0</v>
      </c>
      <c r="BH66" s="50">
        <f t="shared" si="81"/>
        <v>0</v>
      </c>
      <c r="BI66" s="50">
        <f t="shared" si="82"/>
        <v>0</v>
      </c>
      <c r="BJ66" s="50">
        <f t="shared" si="83"/>
        <v>0</v>
      </c>
      <c r="BK66" s="50">
        <f t="shared" si="84"/>
        <v>0</v>
      </c>
      <c r="BL66" s="50">
        <f t="shared" si="85"/>
        <v>0</v>
      </c>
      <c r="BM66" s="51">
        <f t="shared" si="86"/>
        <v>0</v>
      </c>
      <c r="BN66" s="52">
        <f t="shared" si="87"/>
        <v>0</v>
      </c>
      <c r="BO66" s="52">
        <f t="shared" si="88"/>
        <v>0</v>
      </c>
      <c r="BP66" s="51">
        <f t="shared" si="89"/>
        <v>0.32</v>
      </c>
      <c r="BQ66" s="53">
        <f t="shared" si="90"/>
        <v>0</v>
      </c>
      <c r="BR66" s="53">
        <f t="shared" si="91"/>
        <v>0</v>
      </c>
      <c r="BS66" s="54">
        <f t="shared" si="92"/>
        <v>0</v>
      </c>
      <c r="BT66" s="55">
        <f t="shared" si="93"/>
        <v>0</v>
      </c>
      <c r="BU66" s="10" t="e">
        <f t="shared" si="94"/>
        <v>#DIV/0!</v>
      </c>
      <c r="BV66" s="3"/>
    </row>
    <row r="67" spans="1:74" ht="11.65" hidden="1">
      <c r="A67" s="646"/>
      <c r="B67" s="61"/>
      <c r="C67" s="56"/>
      <c r="D67" s="44"/>
      <c r="E67" s="7"/>
      <c r="F67" s="45"/>
      <c r="G67" s="46">
        <f t="shared" si="38"/>
        <v>0</v>
      </c>
      <c r="H67" s="7"/>
      <c r="I67" s="46">
        <f t="shared" si="39"/>
        <v>0</v>
      </c>
      <c r="J67" s="47">
        <v>0</v>
      </c>
      <c r="K67" s="47">
        <f t="shared" si="40"/>
        <v>0</v>
      </c>
      <c r="L67" s="47">
        <f t="shared" si="41"/>
        <v>0</v>
      </c>
      <c r="M67" s="47">
        <f t="shared" si="42"/>
        <v>0</v>
      </c>
      <c r="N67" s="47">
        <f t="shared" si="43"/>
        <v>0</v>
      </c>
      <c r="O67" s="47">
        <f t="shared" si="44"/>
        <v>0</v>
      </c>
      <c r="P67" s="47">
        <v>0</v>
      </c>
      <c r="Q67" s="47">
        <f t="shared" si="45"/>
        <v>0</v>
      </c>
      <c r="R67" s="47">
        <v>0</v>
      </c>
      <c r="S67" s="47">
        <f t="shared" si="46"/>
        <v>0</v>
      </c>
      <c r="T67" s="47">
        <v>0</v>
      </c>
      <c r="U67" s="47">
        <f t="shared" si="48"/>
        <v>0</v>
      </c>
      <c r="V67" s="47">
        <v>0</v>
      </c>
      <c r="W67" s="47">
        <f t="shared" si="50"/>
        <v>0</v>
      </c>
      <c r="X67" s="47">
        <v>0</v>
      </c>
      <c r="Y67" s="47">
        <f t="shared" si="52"/>
        <v>0</v>
      </c>
      <c r="Z67" s="47">
        <f t="shared" si="53"/>
        <v>0</v>
      </c>
      <c r="AA67" s="47">
        <f t="shared" si="54"/>
        <v>0</v>
      </c>
      <c r="AB67" s="47">
        <f t="shared" si="55"/>
        <v>0</v>
      </c>
      <c r="AC67" s="47">
        <f t="shared" si="56"/>
        <v>0</v>
      </c>
      <c r="AD67" s="47">
        <v>0</v>
      </c>
      <c r="AE67" s="47">
        <f t="shared" si="58"/>
        <v>0</v>
      </c>
      <c r="AF67" s="47">
        <v>0</v>
      </c>
      <c r="AG67" s="47">
        <f t="shared" si="59"/>
        <v>0</v>
      </c>
      <c r="AH67" s="47">
        <v>0</v>
      </c>
      <c r="AI67" s="47">
        <f t="shared" si="60"/>
        <v>0</v>
      </c>
      <c r="AJ67" s="47">
        <v>0</v>
      </c>
      <c r="AK67" s="47">
        <f t="shared" si="61"/>
        <v>0</v>
      </c>
      <c r="AL67" s="47">
        <v>0</v>
      </c>
      <c r="AM67" s="47">
        <f t="shared" si="63"/>
        <v>0</v>
      </c>
      <c r="AN67" s="47">
        <v>0</v>
      </c>
      <c r="AO67" s="47">
        <f t="shared" si="65"/>
        <v>0</v>
      </c>
      <c r="AP67" s="47">
        <v>0</v>
      </c>
      <c r="AQ67" s="47">
        <f t="shared" si="66"/>
        <v>0</v>
      </c>
      <c r="AR67" s="47">
        <v>0</v>
      </c>
      <c r="AS67" s="47">
        <f t="shared" si="68"/>
        <v>0</v>
      </c>
      <c r="AT67" s="47">
        <v>0</v>
      </c>
      <c r="AU67" s="47">
        <f t="shared" si="69"/>
        <v>0</v>
      </c>
      <c r="AV67" s="47">
        <v>0</v>
      </c>
      <c r="AW67" s="47">
        <f t="shared" si="71"/>
        <v>0</v>
      </c>
      <c r="AX67" s="47">
        <v>0</v>
      </c>
      <c r="AY67" s="47">
        <f t="shared" si="72"/>
        <v>0</v>
      </c>
      <c r="AZ67" s="47">
        <v>0</v>
      </c>
      <c r="BA67" s="47">
        <f t="shared" si="74"/>
        <v>0</v>
      </c>
      <c r="BB67" s="48">
        <f t="shared" si="75"/>
        <v>0</v>
      </c>
      <c r="BC67" s="49">
        <f t="shared" si="76"/>
        <v>0</v>
      </c>
      <c r="BD67" s="7" t="e">
        <f t="shared" si="77"/>
        <v>#DIV/0!</v>
      </c>
      <c r="BE67" s="47">
        <f t="shared" si="78"/>
        <v>0</v>
      </c>
      <c r="BF67" s="47">
        <f t="shared" si="79"/>
        <v>0</v>
      </c>
      <c r="BG67" s="50">
        <f t="shared" si="80"/>
        <v>0</v>
      </c>
      <c r="BH67" s="50">
        <f t="shared" si="81"/>
        <v>0</v>
      </c>
      <c r="BI67" s="50">
        <f t="shared" si="82"/>
        <v>0</v>
      </c>
      <c r="BJ67" s="50">
        <f t="shared" si="83"/>
        <v>0</v>
      </c>
      <c r="BK67" s="50">
        <f t="shared" si="84"/>
        <v>0</v>
      </c>
      <c r="BL67" s="50">
        <f t="shared" si="85"/>
        <v>0</v>
      </c>
      <c r="BM67" s="51">
        <f t="shared" si="86"/>
        <v>0</v>
      </c>
      <c r="BN67" s="52">
        <f t="shared" si="87"/>
        <v>0</v>
      </c>
      <c r="BO67" s="52">
        <f t="shared" si="88"/>
        <v>0</v>
      </c>
      <c r="BP67" s="51">
        <f t="shared" si="89"/>
        <v>0.32</v>
      </c>
      <c r="BQ67" s="53">
        <f t="shared" si="90"/>
        <v>0</v>
      </c>
      <c r="BR67" s="53">
        <f t="shared" si="91"/>
        <v>0</v>
      </c>
      <c r="BS67" s="54">
        <f t="shared" si="92"/>
        <v>0</v>
      </c>
      <c r="BT67" s="55">
        <f t="shared" si="93"/>
        <v>0</v>
      </c>
      <c r="BU67" s="10" t="e">
        <f t="shared" si="94"/>
        <v>#DIV/0!</v>
      </c>
      <c r="BV67" s="3"/>
    </row>
    <row r="68" spans="1:74" ht="11.65" hidden="1">
      <c r="A68" s="646"/>
      <c r="B68" s="61"/>
      <c r="C68" s="56"/>
      <c r="D68" s="44"/>
      <c r="E68" s="7"/>
      <c r="F68" s="45"/>
      <c r="G68" s="46">
        <f t="shared" si="38"/>
        <v>0</v>
      </c>
      <c r="H68" s="7"/>
      <c r="I68" s="46">
        <f t="shared" si="39"/>
        <v>0</v>
      </c>
      <c r="J68" s="47">
        <v>0</v>
      </c>
      <c r="K68" s="47">
        <f t="shared" si="40"/>
        <v>0</v>
      </c>
      <c r="L68" s="47">
        <f t="shared" si="41"/>
        <v>0</v>
      </c>
      <c r="M68" s="47">
        <f t="shared" si="42"/>
        <v>0</v>
      </c>
      <c r="N68" s="47">
        <f t="shared" si="43"/>
        <v>0</v>
      </c>
      <c r="O68" s="47">
        <f t="shared" si="44"/>
        <v>0</v>
      </c>
      <c r="P68" s="47">
        <v>0</v>
      </c>
      <c r="Q68" s="47">
        <f t="shared" si="45"/>
        <v>0</v>
      </c>
      <c r="R68" s="47">
        <v>0</v>
      </c>
      <c r="S68" s="47">
        <f t="shared" si="46"/>
        <v>0</v>
      </c>
      <c r="T68" s="47">
        <v>0</v>
      </c>
      <c r="U68" s="47">
        <f t="shared" si="48"/>
        <v>0</v>
      </c>
      <c r="V68" s="47">
        <v>0</v>
      </c>
      <c r="W68" s="47">
        <f t="shared" si="50"/>
        <v>0</v>
      </c>
      <c r="X68" s="47">
        <v>0</v>
      </c>
      <c r="Y68" s="47">
        <f t="shared" si="52"/>
        <v>0</v>
      </c>
      <c r="Z68" s="47">
        <f t="shared" si="53"/>
        <v>0</v>
      </c>
      <c r="AA68" s="47">
        <f t="shared" si="54"/>
        <v>0</v>
      </c>
      <c r="AB68" s="47">
        <f t="shared" si="55"/>
        <v>0</v>
      </c>
      <c r="AC68" s="47">
        <f t="shared" si="56"/>
        <v>0</v>
      </c>
      <c r="AD68" s="47">
        <v>0</v>
      </c>
      <c r="AE68" s="47">
        <f t="shared" si="58"/>
        <v>0</v>
      </c>
      <c r="AF68" s="47">
        <v>0</v>
      </c>
      <c r="AG68" s="47">
        <f t="shared" si="59"/>
        <v>0</v>
      </c>
      <c r="AH68" s="47">
        <v>0</v>
      </c>
      <c r="AI68" s="47">
        <f t="shared" si="60"/>
        <v>0</v>
      </c>
      <c r="AJ68" s="47">
        <v>0</v>
      </c>
      <c r="AK68" s="47">
        <f t="shared" si="61"/>
        <v>0</v>
      </c>
      <c r="AL68" s="47">
        <v>0</v>
      </c>
      <c r="AM68" s="47">
        <f t="shared" si="63"/>
        <v>0</v>
      </c>
      <c r="AN68" s="47">
        <v>0</v>
      </c>
      <c r="AO68" s="47">
        <f t="shared" si="65"/>
        <v>0</v>
      </c>
      <c r="AP68" s="47">
        <v>0</v>
      </c>
      <c r="AQ68" s="47">
        <f t="shared" si="66"/>
        <v>0</v>
      </c>
      <c r="AR68" s="47">
        <v>0</v>
      </c>
      <c r="AS68" s="47">
        <f t="shared" si="68"/>
        <v>0</v>
      </c>
      <c r="AT68" s="47">
        <v>0</v>
      </c>
      <c r="AU68" s="47">
        <f t="shared" si="69"/>
        <v>0</v>
      </c>
      <c r="AV68" s="47">
        <v>0</v>
      </c>
      <c r="AW68" s="47">
        <f t="shared" si="71"/>
        <v>0</v>
      </c>
      <c r="AX68" s="47">
        <v>0</v>
      </c>
      <c r="AY68" s="47">
        <f t="shared" si="72"/>
        <v>0</v>
      </c>
      <c r="AZ68" s="47">
        <v>0</v>
      </c>
      <c r="BA68" s="47">
        <f t="shared" si="74"/>
        <v>0</v>
      </c>
      <c r="BB68" s="48">
        <f t="shared" si="75"/>
        <v>0</v>
      </c>
      <c r="BC68" s="49">
        <f t="shared" si="76"/>
        <v>0</v>
      </c>
      <c r="BD68" s="7" t="e">
        <f t="shared" si="77"/>
        <v>#DIV/0!</v>
      </c>
      <c r="BE68" s="47">
        <f t="shared" si="78"/>
        <v>0</v>
      </c>
      <c r="BF68" s="47">
        <f t="shared" si="79"/>
        <v>0</v>
      </c>
      <c r="BG68" s="50">
        <f t="shared" si="80"/>
        <v>0</v>
      </c>
      <c r="BH68" s="50">
        <f t="shared" si="81"/>
        <v>0</v>
      </c>
      <c r="BI68" s="50">
        <f t="shared" si="82"/>
        <v>0</v>
      </c>
      <c r="BJ68" s="50">
        <f t="shared" si="83"/>
        <v>0</v>
      </c>
      <c r="BK68" s="50">
        <f t="shared" si="84"/>
        <v>0</v>
      </c>
      <c r="BL68" s="50">
        <f t="shared" si="85"/>
        <v>0</v>
      </c>
      <c r="BM68" s="51">
        <f t="shared" si="86"/>
        <v>0</v>
      </c>
      <c r="BN68" s="52">
        <f t="shared" si="87"/>
        <v>0</v>
      </c>
      <c r="BO68" s="52">
        <f t="shared" si="88"/>
        <v>0</v>
      </c>
      <c r="BP68" s="51">
        <f t="shared" si="89"/>
        <v>0.32</v>
      </c>
      <c r="BQ68" s="53">
        <f t="shared" si="90"/>
        <v>0</v>
      </c>
      <c r="BR68" s="53">
        <f t="shared" si="91"/>
        <v>0</v>
      </c>
      <c r="BS68" s="54">
        <f t="shared" si="92"/>
        <v>0</v>
      </c>
      <c r="BT68" s="55">
        <f t="shared" si="93"/>
        <v>0</v>
      </c>
      <c r="BU68" s="10" t="e">
        <f t="shared" si="94"/>
        <v>#DIV/0!</v>
      </c>
      <c r="BV68" s="3"/>
    </row>
    <row r="69" spans="1:74" ht="11.65" hidden="1">
      <c r="A69" s="646"/>
      <c r="B69" s="61"/>
      <c r="C69" s="56"/>
      <c r="D69" s="44"/>
      <c r="E69" s="7"/>
      <c r="F69" s="45"/>
      <c r="G69" s="46">
        <f t="shared" si="38"/>
        <v>0</v>
      </c>
      <c r="H69" s="7"/>
      <c r="I69" s="46">
        <f t="shared" si="39"/>
        <v>0</v>
      </c>
      <c r="J69" s="47">
        <v>0</v>
      </c>
      <c r="K69" s="47">
        <f t="shared" si="40"/>
        <v>0</v>
      </c>
      <c r="L69" s="47">
        <f t="shared" si="41"/>
        <v>0</v>
      </c>
      <c r="M69" s="47">
        <f t="shared" si="42"/>
        <v>0</v>
      </c>
      <c r="N69" s="47">
        <f t="shared" si="43"/>
        <v>0</v>
      </c>
      <c r="O69" s="47">
        <f t="shared" si="44"/>
        <v>0</v>
      </c>
      <c r="P69" s="47">
        <v>0</v>
      </c>
      <c r="Q69" s="47">
        <f t="shared" si="45"/>
        <v>0</v>
      </c>
      <c r="R69" s="47">
        <v>0</v>
      </c>
      <c r="S69" s="47">
        <f t="shared" si="46"/>
        <v>0</v>
      </c>
      <c r="T69" s="47">
        <v>0</v>
      </c>
      <c r="U69" s="47">
        <f t="shared" si="48"/>
        <v>0</v>
      </c>
      <c r="V69" s="47">
        <v>0</v>
      </c>
      <c r="W69" s="47">
        <f t="shared" si="50"/>
        <v>0</v>
      </c>
      <c r="X69" s="47">
        <v>0</v>
      </c>
      <c r="Y69" s="47">
        <f t="shared" si="52"/>
        <v>0</v>
      </c>
      <c r="Z69" s="47">
        <f t="shared" si="53"/>
        <v>0</v>
      </c>
      <c r="AA69" s="47">
        <f t="shared" si="54"/>
        <v>0</v>
      </c>
      <c r="AB69" s="47">
        <f t="shared" si="55"/>
        <v>0</v>
      </c>
      <c r="AC69" s="47">
        <f t="shared" si="56"/>
        <v>0</v>
      </c>
      <c r="AD69" s="47">
        <v>0</v>
      </c>
      <c r="AE69" s="47">
        <f t="shared" si="58"/>
        <v>0</v>
      </c>
      <c r="AF69" s="47">
        <v>0</v>
      </c>
      <c r="AG69" s="47">
        <f t="shared" si="59"/>
        <v>0</v>
      </c>
      <c r="AH69" s="47">
        <v>0</v>
      </c>
      <c r="AI69" s="47">
        <f t="shared" si="60"/>
        <v>0</v>
      </c>
      <c r="AJ69" s="47">
        <v>0</v>
      </c>
      <c r="AK69" s="47">
        <f t="shared" si="61"/>
        <v>0</v>
      </c>
      <c r="AL69" s="47">
        <v>0</v>
      </c>
      <c r="AM69" s="47">
        <f t="shared" si="63"/>
        <v>0</v>
      </c>
      <c r="AN69" s="47">
        <v>0</v>
      </c>
      <c r="AO69" s="47">
        <f t="shared" si="65"/>
        <v>0</v>
      </c>
      <c r="AP69" s="47">
        <v>0</v>
      </c>
      <c r="AQ69" s="47">
        <f t="shared" si="66"/>
        <v>0</v>
      </c>
      <c r="AR69" s="47">
        <v>0</v>
      </c>
      <c r="AS69" s="47">
        <f t="shared" si="68"/>
        <v>0</v>
      </c>
      <c r="AT69" s="47">
        <v>0</v>
      </c>
      <c r="AU69" s="47">
        <f t="shared" si="69"/>
        <v>0</v>
      </c>
      <c r="AV69" s="47">
        <v>0</v>
      </c>
      <c r="AW69" s="47">
        <f t="shared" si="71"/>
        <v>0</v>
      </c>
      <c r="AX69" s="47">
        <v>0</v>
      </c>
      <c r="AY69" s="47">
        <f t="shared" si="72"/>
        <v>0</v>
      </c>
      <c r="AZ69" s="47">
        <v>0</v>
      </c>
      <c r="BA69" s="47">
        <f t="shared" si="74"/>
        <v>0</v>
      </c>
      <c r="BB69" s="48">
        <f t="shared" si="75"/>
        <v>0</v>
      </c>
      <c r="BC69" s="49">
        <f t="shared" si="76"/>
        <v>0</v>
      </c>
      <c r="BD69" s="7" t="e">
        <f t="shared" si="77"/>
        <v>#DIV/0!</v>
      </c>
      <c r="BE69" s="47">
        <f t="shared" si="78"/>
        <v>0</v>
      </c>
      <c r="BF69" s="47">
        <f t="shared" si="79"/>
        <v>0</v>
      </c>
      <c r="BG69" s="50">
        <f t="shared" si="80"/>
        <v>0</v>
      </c>
      <c r="BH69" s="50">
        <f t="shared" si="81"/>
        <v>0</v>
      </c>
      <c r="BI69" s="50">
        <f t="shared" si="82"/>
        <v>0</v>
      </c>
      <c r="BJ69" s="50">
        <f t="shared" si="83"/>
        <v>0</v>
      </c>
      <c r="BK69" s="50">
        <f t="shared" si="84"/>
        <v>0</v>
      </c>
      <c r="BL69" s="50">
        <f t="shared" si="85"/>
        <v>0</v>
      </c>
      <c r="BM69" s="51">
        <f t="shared" si="86"/>
        <v>0</v>
      </c>
      <c r="BN69" s="52">
        <f t="shared" si="87"/>
        <v>0</v>
      </c>
      <c r="BO69" s="52">
        <f t="shared" si="88"/>
        <v>0</v>
      </c>
      <c r="BP69" s="51">
        <f t="shared" si="89"/>
        <v>0.32</v>
      </c>
      <c r="BQ69" s="53">
        <f t="shared" si="90"/>
        <v>0</v>
      </c>
      <c r="BR69" s="53">
        <f t="shared" si="91"/>
        <v>0</v>
      </c>
      <c r="BS69" s="54">
        <f t="shared" si="92"/>
        <v>0</v>
      </c>
      <c r="BT69" s="55">
        <f t="shared" si="93"/>
        <v>0</v>
      </c>
      <c r="BU69" s="10" t="e">
        <f t="shared" si="94"/>
        <v>#DIV/0!</v>
      </c>
      <c r="BV69" s="3"/>
    </row>
    <row r="70" spans="1:74" ht="11.65" hidden="1">
      <c r="A70" s="646"/>
      <c r="B70" s="61"/>
      <c r="C70" s="56"/>
      <c r="D70" s="44"/>
      <c r="E70" s="7"/>
      <c r="F70" s="45"/>
      <c r="G70" s="46">
        <f t="shared" si="38"/>
        <v>0</v>
      </c>
      <c r="H70" s="7"/>
      <c r="I70" s="46">
        <f t="shared" si="39"/>
        <v>0</v>
      </c>
      <c r="J70" s="47">
        <v>0</v>
      </c>
      <c r="K70" s="47">
        <f t="shared" si="40"/>
        <v>0</v>
      </c>
      <c r="L70" s="47">
        <f t="shared" si="41"/>
        <v>0</v>
      </c>
      <c r="M70" s="47">
        <f t="shared" si="42"/>
        <v>0</v>
      </c>
      <c r="N70" s="47">
        <f t="shared" si="43"/>
        <v>0</v>
      </c>
      <c r="O70" s="47">
        <f t="shared" si="44"/>
        <v>0</v>
      </c>
      <c r="P70" s="47">
        <v>0</v>
      </c>
      <c r="Q70" s="47">
        <f t="shared" si="45"/>
        <v>0</v>
      </c>
      <c r="R70" s="47">
        <v>0</v>
      </c>
      <c r="S70" s="47">
        <f t="shared" si="46"/>
        <v>0</v>
      </c>
      <c r="T70" s="47">
        <v>0</v>
      </c>
      <c r="U70" s="47">
        <f t="shared" si="48"/>
        <v>0</v>
      </c>
      <c r="V70" s="47">
        <v>0</v>
      </c>
      <c r="W70" s="47">
        <f t="shared" si="50"/>
        <v>0</v>
      </c>
      <c r="X70" s="47">
        <v>0</v>
      </c>
      <c r="Y70" s="47">
        <f t="shared" si="52"/>
        <v>0</v>
      </c>
      <c r="Z70" s="47">
        <f t="shared" si="53"/>
        <v>0</v>
      </c>
      <c r="AA70" s="47">
        <f t="shared" si="54"/>
        <v>0</v>
      </c>
      <c r="AB70" s="47">
        <f t="shared" si="55"/>
        <v>0</v>
      </c>
      <c r="AC70" s="47">
        <f t="shared" si="56"/>
        <v>0</v>
      </c>
      <c r="AD70" s="47">
        <v>0</v>
      </c>
      <c r="AE70" s="47">
        <f t="shared" si="58"/>
        <v>0</v>
      </c>
      <c r="AF70" s="47">
        <v>0</v>
      </c>
      <c r="AG70" s="47">
        <f t="shared" si="59"/>
        <v>0</v>
      </c>
      <c r="AH70" s="47">
        <v>0</v>
      </c>
      <c r="AI70" s="47">
        <f t="shared" si="60"/>
        <v>0</v>
      </c>
      <c r="AJ70" s="47">
        <v>0</v>
      </c>
      <c r="AK70" s="47">
        <f t="shared" si="61"/>
        <v>0</v>
      </c>
      <c r="AL70" s="47">
        <v>0</v>
      </c>
      <c r="AM70" s="47">
        <f t="shared" si="63"/>
        <v>0</v>
      </c>
      <c r="AN70" s="47">
        <v>0</v>
      </c>
      <c r="AO70" s="47">
        <f t="shared" si="65"/>
        <v>0</v>
      </c>
      <c r="AP70" s="47">
        <v>0</v>
      </c>
      <c r="AQ70" s="47">
        <f t="shared" si="66"/>
        <v>0</v>
      </c>
      <c r="AR70" s="47">
        <v>0</v>
      </c>
      <c r="AS70" s="47">
        <f t="shared" si="68"/>
        <v>0</v>
      </c>
      <c r="AT70" s="47">
        <v>0</v>
      </c>
      <c r="AU70" s="47">
        <f t="shared" si="69"/>
        <v>0</v>
      </c>
      <c r="AV70" s="47">
        <v>0</v>
      </c>
      <c r="AW70" s="47">
        <f t="shared" si="71"/>
        <v>0</v>
      </c>
      <c r="AX70" s="47">
        <v>0</v>
      </c>
      <c r="AY70" s="47">
        <f t="shared" si="72"/>
        <v>0</v>
      </c>
      <c r="AZ70" s="47">
        <v>0</v>
      </c>
      <c r="BA70" s="47">
        <f t="shared" si="74"/>
        <v>0</v>
      </c>
      <c r="BB70" s="48">
        <f t="shared" si="75"/>
        <v>0</v>
      </c>
      <c r="BC70" s="49">
        <f t="shared" si="76"/>
        <v>0</v>
      </c>
      <c r="BD70" s="7" t="e">
        <f t="shared" si="77"/>
        <v>#DIV/0!</v>
      </c>
      <c r="BE70" s="47">
        <f t="shared" si="78"/>
        <v>0</v>
      </c>
      <c r="BF70" s="47">
        <f t="shared" si="79"/>
        <v>0</v>
      </c>
      <c r="BG70" s="50">
        <f t="shared" si="80"/>
        <v>0</v>
      </c>
      <c r="BH70" s="50">
        <f t="shared" si="81"/>
        <v>0</v>
      </c>
      <c r="BI70" s="50">
        <f t="shared" si="82"/>
        <v>0</v>
      </c>
      <c r="BJ70" s="50">
        <f t="shared" si="83"/>
        <v>0</v>
      </c>
      <c r="BK70" s="50">
        <f t="shared" si="84"/>
        <v>0</v>
      </c>
      <c r="BL70" s="50">
        <f t="shared" si="85"/>
        <v>0</v>
      </c>
      <c r="BM70" s="51">
        <f t="shared" si="86"/>
        <v>0</v>
      </c>
      <c r="BN70" s="52">
        <f t="shared" si="87"/>
        <v>0</v>
      </c>
      <c r="BO70" s="52">
        <f t="shared" si="88"/>
        <v>0</v>
      </c>
      <c r="BP70" s="51">
        <f t="shared" si="89"/>
        <v>0.32</v>
      </c>
      <c r="BQ70" s="53">
        <f t="shared" si="90"/>
        <v>0</v>
      </c>
      <c r="BR70" s="53">
        <f t="shared" si="91"/>
        <v>0</v>
      </c>
      <c r="BS70" s="54">
        <f t="shared" si="92"/>
        <v>0</v>
      </c>
      <c r="BT70" s="55">
        <f t="shared" si="93"/>
        <v>0</v>
      </c>
      <c r="BU70" s="10" t="e">
        <f t="shared" si="94"/>
        <v>#DIV/0!</v>
      </c>
      <c r="BV70" s="3"/>
    </row>
    <row r="71" spans="1:74" ht="11.65" hidden="1">
      <c r="A71" s="646"/>
      <c r="B71" s="61"/>
      <c r="C71" s="56"/>
      <c r="D71" s="44"/>
      <c r="E71" s="7"/>
      <c r="F71" s="45"/>
      <c r="G71" s="46">
        <f t="shared" si="38"/>
        <v>0</v>
      </c>
      <c r="H71" s="7"/>
      <c r="I71" s="46">
        <f t="shared" si="39"/>
        <v>0</v>
      </c>
      <c r="J71" s="47">
        <v>0</v>
      </c>
      <c r="K71" s="47">
        <f t="shared" si="40"/>
        <v>0</v>
      </c>
      <c r="L71" s="47">
        <f t="shared" si="41"/>
        <v>0</v>
      </c>
      <c r="M71" s="47">
        <f t="shared" si="42"/>
        <v>0</v>
      </c>
      <c r="N71" s="47">
        <f t="shared" si="43"/>
        <v>0</v>
      </c>
      <c r="O71" s="47">
        <f t="shared" si="44"/>
        <v>0</v>
      </c>
      <c r="P71" s="47">
        <v>0</v>
      </c>
      <c r="Q71" s="47">
        <f t="shared" si="45"/>
        <v>0</v>
      </c>
      <c r="R71" s="47">
        <v>0</v>
      </c>
      <c r="S71" s="47">
        <f t="shared" si="46"/>
        <v>0</v>
      </c>
      <c r="T71" s="47">
        <v>0</v>
      </c>
      <c r="U71" s="47">
        <f t="shared" si="48"/>
        <v>0</v>
      </c>
      <c r="V71" s="47">
        <v>0</v>
      </c>
      <c r="W71" s="47">
        <f t="shared" si="50"/>
        <v>0</v>
      </c>
      <c r="X71" s="47">
        <v>0</v>
      </c>
      <c r="Y71" s="47">
        <f t="shared" si="52"/>
        <v>0</v>
      </c>
      <c r="Z71" s="47">
        <f t="shared" si="53"/>
        <v>0</v>
      </c>
      <c r="AA71" s="47">
        <f t="shared" si="54"/>
        <v>0</v>
      </c>
      <c r="AB71" s="47">
        <f t="shared" si="55"/>
        <v>0</v>
      </c>
      <c r="AC71" s="47">
        <f t="shared" si="56"/>
        <v>0</v>
      </c>
      <c r="AD71" s="47">
        <v>0</v>
      </c>
      <c r="AE71" s="47">
        <f t="shared" si="58"/>
        <v>0</v>
      </c>
      <c r="AF71" s="47">
        <v>0</v>
      </c>
      <c r="AG71" s="47">
        <f t="shared" si="59"/>
        <v>0</v>
      </c>
      <c r="AH71" s="47">
        <v>0</v>
      </c>
      <c r="AI71" s="47">
        <f t="shared" si="60"/>
        <v>0</v>
      </c>
      <c r="AJ71" s="47">
        <v>0</v>
      </c>
      <c r="AK71" s="47">
        <f t="shared" si="61"/>
        <v>0</v>
      </c>
      <c r="AL71" s="47">
        <v>0</v>
      </c>
      <c r="AM71" s="47">
        <f t="shared" si="63"/>
        <v>0</v>
      </c>
      <c r="AN71" s="47">
        <v>0</v>
      </c>
      <c r="AO71" s="47">
        <f t="shared" si="65"/>
        <v>0</v>
      </c>
      <c r="AP71" s="47">
        <v>0</v>
      </c>
      <c r="AQ71" s="47">
        <f t="shared" si="66"/>
        <v>0</v>
      </c>
      <c r="AR71" s="47">
        <v>0</v>
      </c>
      <c r="AS71" s="47">
        <f t="shared" si="68"/>
        <v>0</v>
      </c>
      <c r="AT71" s="47">
        <v>0</v>
      </c>
      <c r="AU71" s="47">
        <f t="shared" si="69"/>
        <v>0</v>
      </c>
      <c r="AV71" s="47">
        <v>0</v>
      </c>
      <c r="AW71" s="47">
        <f t="shared" si="71"/>
        <v>0</v>
      </c>
      <c r="AX71" s="47">
        <v>0</v>
      </c>
      <c r="AY71" s="47">
        <f t="shared" si="72"/>
        <v>0</v>
      </c>
      <c r="AZ71" s="47">
        <v>0</v>
      </c>
      <c r="BA71" s="47">
        <f t="shared" si="74"/>
        <v>0</v>
      </c>
      <c r="BB71" s="48">
        <f t="shared" si="75"/>
        <v>0</v>
      </c>
      <c r="BC71" s="49">
        <f t="shared" si="76"/>
        <v>0</v>
      </c>
      <c r="BD71" s="7" t="e">
        <f t="shared" si="77"/>
        <v>#DIV/0!</v>
      </c>
      <c r="BE71" s="47">
        <f t="shared" si="78"/>
        <v>0</v>
      </c>
      <c r="BF71" s="47">
        <f t="shared" si="79"/>
        <v>0</v>
      </c>
      <c r="BG71" s="50">
        <f t="shared" si="80"/>
        <v>0</v>
      </c>
      <c r="BH71" s="50">
        <f t="shared" si="81"/>
        <v>0</v>
      </c>
      <c r="BI71" s="50">
        <f t="shared" si="82"/>
        <v>0</v>
      </c>
      <c r="BJ71" s="50">
        <f t="shared" si="83"/>
        <v>0</v>
      </c>
      <c r="BK71" s="50">
        <f t="shared" si="84"/>
        <v>0</v>
      </c>
      <c r="BL71" s="50">
        <f t="shared" si="85"/>
        <v>0</v>
      </c>
      <c r="BM71" s="51">
        <f t="shared" si="86"/>
        <v>0</v>
      </c>
      <c r="BN71" s="52">
        <f t="shared" si="87"/>
        <v>0</v>
      </c>
      <c r="BO71" s="52">
        <f t="shared" si="88"/>
        <v>0</v>
      </c>
      <c r="BP71" s="51">
        <f t="shared" si="89"/>
        <v>0.32</v>
      </c>
      <c r="BQ71" s="53">
        <f t="shared" si="90"/>
        <v>0</v>
      </c>
      <c r="BR71" s="53">
        <f t="shared" si="91"/>
        <v>0</v>
      </c>
      <c r="BS71" s="54">
        <f t="shared" si="92"/>
        <v>0</v>
      </c>
      <c r="BT71" s="55">
        <f t="shared" si="93"/>
        <v>0</v>
      </c>
      <c r="BU71" s="10" t="e">
        <f t="shared" si="94"/>
        <v>#DIV/0!</v>
      </c>
      <c r="BV71" s="3"/>
    </row>
    <row r="72" spans="1:74" ht="11.65" hidden="1">
      <c r="A72" s="646"/>
      <c r="B72" s="61"/>
      <c r="C72" s="56"/>
      <c r="D72" s="44"/>
      <c r="E72" s="7"/>
      <c r="F72" s="45"/>
      <c r="G72" s="46">
        <f t="shared" si="38"/>
        <v>0</v>
      </c>
      <c r="H72" s="7"/>
      <c r="I72" s="46">
        <f t="shared" si="39"/>
        <v>0</v>
      </c>
      <c r="J72" s="47">
        <v>0</v>
      </c>
      <c r="K72" s="47">
        <f t="shared" si="40"/>
        <v>0</v>
      </c>
      <c r="L72" s="47">
        <f t="shared" si="41"/>
        <v>0</v>
      </c>
      <c r="M72" s="47">
        <f t="shared" si="42"/>
        <v>0</v>
      </c>
      <c r="N72" s="47">
        <f t="shared" si="43"/>
        <v>0</v>
      </c>
      <c r="O72" s="47">
        <f t="shared" si="44"/>
        <v>0</v>
      </c>
      <c r="P72" s="47">
        <v>0</v>
      </c>
      <c r="Q72" s="47">
        <f t="shared" si="45"/>
        <v>0</v>
      </c>
      <c r="R72" s="47">
        <v>0</v>
      </c>
      <c r="S72" s="47">
        <f t="shared" si="46"/>
        <v>0</v>
      </c>
      <c r="T72" s="47">
        <v>0</v>
      </c>
      <c r="U72" s="47">
        <f t="shared" si="48"/>
        <v>0</v>
      </c>
      <c r="V72" s="47">
        <v>0</v>
      </c>
      <c r="W72" s="47">
        <f t="shared" si="50"/>
        <v>0</v>
      </c>
      <c r="X72" s="47">
        <v>0</v>
      </c>
      <c r="Y72" s="47">
        <f t="shared" si="52"/>
        <v>0</v>
      </c>
      <c r="Z72" s="47">
        <f t="shared" si="53"/>
        <v>0</v>
      </c>
      <c r="AA72" s="47">
        <f t="shared" si="54"/>
        <v>0</v>
      </c>
      <c r="AB72" s="47">
        <f t="shared" si="55"/>
        <v>0</v>
      </c>
      <c r="AC72" s="47">
        <f t="shared" si="56"/>
        <v>0</v>
      </c>
      <c r="AD72" s="47">
        <v>0</v>
      </c>
      <c r="AE72" s="47">
        <f t="shared" si="58"/>
        <v>0</v>
      </c>
      <c r="AF72" s="47">
        <v>0</v>
      </c>
      <c r="AG72" s="47">
        <f t="shared" si="59"/>
        <v>0</v>
      </c>
      <c r="AH72" s="47">
        <v>0</v>
      </c>
      <c r="AI72" s="47">
        <f t="shared" si="60"/>
        <v>0</v>
      </c>
      <c r="AJ72" s="47">
        <v>0</v>
      </c>
      <c r="AK72" s="47">
        <f t="shared" si="61"/>
        <v>0</v>
      </c>
      <c r="AL72" s="47">
        <v>0</v>
      </c>
      <c r="AM72" s="47">
        <f t="shared" si="63"/>
        <v>0</v>
      </c>
      <c r="AN72" s="47">
        <v>0</v>
      </c>
      <c r="AO72" s="47">
        <f t="shared" si="65"/>
        <v>0</v>
      </c>
      <c r="AP72" s="47">
        <v>0</v>
      </c>
      <c r="AQ72" s="47">
        <f t="shared" si="66"/>
        <v>0</v>
      </c>
      <c r="AR72" s="47">
        <v>0</v>
      </c>
      <c r="AS72" s="47">
        <f t="shared" si="68"/>
        <v>0</v>
      </c>
      <c r="AT72" s="47">
        <v>0</v>
      </c>
      <c r="AU72" s="47">
        <f t="shared" si="69"/>
        <v>0</v>
      </c>
      <c r="AV72" s="47">
        <v>0</v>
      </c>
      <c r="AW72" s="47">
        <f t="shared" si="71"/>
        <v>0</v>
      </c>
      <c r="AX72" s="47">
        <v>0</v>
      </c>
      <c r="AY72" s="47">
        <f t="shared" si="72"/>
        <v>0</v>
      </c>
      <c r="AZ72" s="47">
        <v>0</v>
      </c>
      <c r="BA72" s="47">
        <f t="shared" si="74"/>
        <v>0</v>
      </c>
      <c r="BB72" s="48">
        <f t="shared" si="75"/>
        <v>0</v>
      </c>
      <c r="BC72" s="49">
        <f t="shared" si="76"/>
        <v>0</v>
      </c>
      <c r="BD72" s="7" t="e">
        <f t="shared" si="77"/>
        <v>#DIV/0!</v>
      </c>
      <c r="BE72" s="47">
        <f t="shared" si="78"/>
        <v>0</v>
      </c>
      <c r="BF72" s="47">
        <f t="shared" si="79"/>
        <v>0</v>
      </c>
      <c r="BG72" s="50">
        <f t="shared" si="80"/>
        <v>0</v>
      </c>
      <c r="BH72" s="50">
        <f t="shared" si="81"/>
        <v>0</v>
      </c>
      <c r="BI72" s="50">
        <f t="shared" si="82"/>
        <v>0</v>
      </c>
      <c r="BJ72" s="50">
        <f t="shared" si="83"/>
        <v>0</v>
      </c>
      <c r="BK72" s="50">
        <f t="shared" si="84"/>
        <v>0</v>
      </c>
      <c r="BL72" s="50">
        <f t="shared" si="85"/>
        <v>0</v>
      </c>
      <c r="BM72" s="51">
        <f t="shared" si="86"/>
        <v>0</v>
      </c>
      <c r="BN72" s="52">
        <f t="shared" si="87"/>
        <v>0</v>
      </c>
      <c r="BO72" s="52">
        <f t="shared" si="88"/>
        <v>0</v>
      </c>
      <c r="BP72" s="51">
        <f t="shared" si="89"/>
        <v>0.32</v>
      </c>
      <c r="BQ72" s="53">
        <f t="shared" si="90"/>
        <v>0</v>
      </c>
      <c r="BR72" s="53">
        <f t="shared" si="91"/>
        <v>0</v>
      </c>
      <c r="BS72" s="54">
        <f t="shared" si="92"/>
        <v>0</v>
      </c>
      <c r="BT72" s="55">
        <f t="shared" si="93"/>
        <v>0</v>
      </c>
      <c r="BU72" s="10" t="e">
        <f t="shared" si="94"/>
        <v>#DIV/0!</v>
      </c>
      <c r="BV72" s="3"/>
    </row>
    <row r="73" spans="1:74" ht="11.65" hidden="1">
      <c r="A73" s="646"/>
      <c r="B73" s="61"/>
      <c r="C73" s="56"/>
      <c r="D73" s="44"/>
      <c r="E73" s="7"/>
      <c r="F73" s="45"/>
      <c r="G73" s="46">
        <f t="shared" si="38"/>
        <v>0</v>
      </c>
      <c r="H73" s="7"/>
      <c r="I73" s="46">
        <f t="shared" si="39"/>
        <v>0</v>
      </c>
      <c r="J73" s="47">
        <v>0</v>
      </c>
      <c r="K73" s="47">
        <f t="shared" si="40"/>
        <v>0</v>
      </c>
      <c r="L73" s="47">
        <f t="shared" si="41"/>
        <v>0</v>
      </c>
      <c r="M73" s="47">
        <f t="shared" si="42"/>
        <v>0</v>
      </c>
      <c r="N73" s="47">
        <f t="shared" si="43"/>
        <v>0</v>
      </c>
      <c r="O73" s="47">
        <f t="shared" si="44"/>
        <v>0</v>
      </c>
      <c r="P73" s="47">
        <v>0</v>
      </c>
      <c r="Q73" s="47">
        <f t="shared" si="45"/>
        <v>0</v>
      </c>
      <c r="R73" s="47">
        <v>0</v>
      </c>
      <c r="S73" s="47">
        <f t="shared" si="46"/>
        <v>0</v>
      </c>
      <c r="T73" s="47">
        <v>0</v>
      </c>
      <c r="U73" s="47">
        <f t="shared" si="48"/>
        <v>0</v>
      </c>
      <c r="V73" s="47">
        <v>0</v>
      </c>
      <c r="W73" s="47">
        <f t="shared" si="50"/>
        <v>0</v>
      </c>
      <c r="X73" s="47">
        <v>0</v>
      </c>
      <c r="Y73" s="47">
        <f t="shared" si="52"/>
        <v>0</v>
      </c>
      <c r="Z73" s="47">
        <f t="shared" si="53"/>
        <v>0</v>
      </c>
      <c r="AA73" s="47">
        <f t="shared" si="54"/>
        <v>0</v>
      </c>
      <c r="AB73" s="47">
        <f t="shared" si="55"/>
        <v>0</v>
      </c>
      <c r="AC73" s="47">
        <f t="shared" si="56"/>
        <v>0</v>
      </c>
      <c r="AD73" s="47">
        <v>0</v>
      </c>
      <c r="AE73" s="47">
        <f t="shared" si="58"/>
        <v>0</v>
      </c>
      <c r="AF73" s="47">
        <v>0</v>
      </c>
      <c r="AG73" s="47">
        <f t="shared" si="59"/>
        <v>0</v>
      </c>
      <c r="AH73" s="47">
        <v>0</v>
      </c>
      <c r="AI73" s="47">
        <f t="shared" si="60"/>
        <v>0</v>
      </c>
      <c r="AJ73" s="47">
        <v>0</v>
      </c>
      <c r="AK73" s="47">
        <f t="shared" si="61"/>
        <v>0</v>
      </c>
      <c r="AL73" s="47">
        <v>0</v>
      </c>
      <c r="AM73" s="47">
        <f t="shared" si="63"/>
        <v>0</v>
      </c>
      <c r="AN73" s="47">
        <v>0</v>
      </c>
      <c r="AO73" s="47">
        <f t="shared" si="65"/>
        <v>0</v>
      </c>
      <c r="AP73" s="47">
        <v>0</v>
      </c>
      <c r="AQ73" s="47">
        <f t="shared" si="66"/>
        <v>0</v>
      </c>
      <c r="AR73" s="47">
        <v>0</v>
      </c>
      <c r="AS73" s="47">
        <f t="shared" si="68"/>
        <v>0</v>
      </c>
      <c r="AT73" s="47">
        <v>0</v>
      </c>
      <c r="AU73" s="47">
        <f t="shared" si="69"/>
        <v>0</v>
      </c>
      <c r="AV73" s="47">
        <v>0</v>
      </c>
      <c r="AW73" s="47">
        <f t="shared" si="71"/>
        <v>0</v>
      </c>
      <c r="AX73" s="47">
        <v>0</v>
      </c>
      <c r="AY73" s="47">
        <f t="shared" si="72"/>
        <v>0</v>
      </c>
      <c r="AZ73" s="47">
        <v>0</v>
      </c>
      <c r="BA73" s="47">
        <f t="shared" si="74"/>
        <v>0</v>
      </c>
      <c r="BB73" s="48">
        <f t="shared" si="75"/>
        <v>0</v>
      </c>
      <c r="BC73" s="49">
        <f t="shared" si="76"/>
        <v>0</v>
      </c>
      <c r="BD73" s="7" t="e">
        <f t="shared" si="77"/>
        <v>#DIV/0!</v>
      </c>
      <c r="BE73" s="47">
        <f t="shared" si="78"/>
        <v>0</v>
      </c>
      <c r="BF73" s="47">
        <f t="shared" si="79"/>
        <v>0</v>
      </c>
      <c r="BG73" s="50">
        <f t="shared" si="80"/>
        <v>0</v>
      </c>
      <c r="BH73" s="50">
        <f t="shared" si="81"/>
        <v>0</v>
      </c>
      <c r="BI73" s="50">
        <f t="shared" si="82"/>
        <v>0</v>
      </c>
      <c r="BJ73" s="50">
        <f t="shared" si="83"/>
        <v>0</v>
      </c>
      <c r="BK73" s="50">
        <f t="shared" si="84"/>
        <v>0</v>
      </c>
      <c r="BL73" s="50">
        <f t="shared" si="85"/>
        <v>0</v>
      </c>
      <c r="BM73" s="51">
        <f t="shared" si="86"/>
        <v>0</v>
      </c>
      <c r="BN73" s="52">
        <f t="shared" si="87"/>
        <v>0</v>
      </c>
      <c r="BO73" s="52">
        <f t="shared" si="88"/>
        <v>0</v>
      </c>
      <c r="BP73" s="51">
        <f t="shared" si="89"/>
        <v>0.32</v>
      </c>
      <c r="BQ73" s="53">
        <f t="shared" si="90"/>
        <v>0</v>
      </c>
      <c r="BR73" s="53">
        <f t="shared" si="91"/>
        <v>0</v>
      </c>
      <c r="BS73" s="54">
        <f t="shared" si="92"/>
        <v>0</v>
      </c>
      <c r="BT73" s="55">
        <f t="shared" si="93"/>
        <v>0</v>
      </c>
      <c r="BU73" s="10" t="e">
        <f t="shared" si="94"/>
        <v>#DIV/0!</v>
      </c>
      <c r="BV73" s="3"/>
    </row>
    <row r="74" spans="1:74" ht="11.65" hidden="1">
      <c r="A74" s="646"/>
      <c r="B74" s="61"/>
      <c r="C74" s="56"/>
      <c r="D74" s="44"/>
      <c r="E74" s="7"/>
      <c r="F74" s="45"/>
      <c r="G74" s="46">
        <f t="shared" si="38"/>
        <v>0</v>
      </c>
      <c r="H74" s="7"/>
      <c r="I74" s="46">
        <f t="shared" si="39"/>
        <v>0</v>
      </c>
      <c r="J74" s="47">
        <v>0</v>
      </c>
      <c r="K74" s="47">
        <f t="shared" si="40"/>
        <v>0</v>
      </c>
      <c r="L74" s="47">
        <f t="shared" si="41"/>
        <v>0</v>
      </c>
      <c r="M74" s="47">
        <f t="shared" si="42"/>
        <v>0</v>
      </c>
      <c r="N74" s="47">
        <f t="shared" si="43"/>
        <v>0</v>
      </c>
      <c r="O74" s="47">
        <f t="shared" si="44"/>
        <v>0</v>
      </c>
      <c r="P74" s="47">
        <v>0</v>
      </c>
      <c r="Q74" s="47">
        <f t="shared" si="45"/>
        <v>0</v>
      </c>
      <c r="R74" s="47">
        <v>0</v>
      </c>
      <c r="S74" s="47">
        <f t="shared" si="46"/>
        <v>0</v>
      </c>
      <c r="T74" s="47">
        <v>0</v>
      </c>
      <c r="U74" s="47">
        <f t="shared" si="48"/>
        <v>0</v>
      </c>
      <c r="V74" s="47">
        <v>0</v>
      </c>
      <c r="W74" s="47">
        <f t="shared" si="50"/>
        <v>0</v>
      </c>
      <c r="X74" s="47">
        <v>0</v>
      </c>
      <c r="Y74" s="47">
        <f t="shared" si="52"/>
        <v>0</v>
      </c>
      <c r="Z74" s="47">
        <f t="shared" si="53"/>
        <v>0</v>
      </c>
      <c r="AA74" s="47">
        <f t="shared" si="54"/>
        <v>0</v>
      </c>
      <c r="AB74" s="47">
        <f t="shared" si="55"/>
        <v>0</v>
      </c>
      <c r="AC74" s="47">
        <f t="shared" si="56"/>
        <v>0</v>
      </c>
      <c r="AD74" s="47">
        <v>0</v>
      </c>
      <c r="AE74" s="47">
        <f t="shared" si="58"/>
        <v>0</v>
      </c>
      <c r="AF74" s="47">
        <v>0</v>
      </c>
      <c r="AG74" s="47">
        <f t="shared" si="59"/>
        <v>0</v>
      </c>
      <c r="AH74" s="47">
        <v>0</v>
      </c>
      <c r="AI74" s="47">
        <f t="shared" si="60"/>
        <v>0</v>
      </c>
      <c r="AJ74" s="47">
        <v>0</v>
      </c>
      <c r="AK74" s="47">
        <f t="shared" si="61"/>
        <v>0</v>
      </c>
      <c r="AL74" s="47">
        <v>0</v>
      </c>
      <c r="AM74" s="47">
        <f t="shared" si="63"/>
        <v>0</v>
      </c>
      <c r="AN74" s="47">
        <v>0</v>
      </c>
      <c r="AO74" s="47">
        <f t="shared" si="65"/>
        <v>0</v>
      </c>
      <c r="AP74" s="47">
        <v>0</v>
      </c>
      <c r="AQ74" s="47">
        <f t="shared" si="66"/>
        <v>0</v>
      </c>
      <c r="AR74" s="47">
        <v>0</v>
      </c>
      <c r="AS74" s="47">
        <f t="shared" si="68"/>
        <v>0</v>
      </c>
      <c r="AT74" s="47">
        <v>0</v>
      </c>
      <c r="AU74" s="47">
        <f t="shared" si="69"/>
        <v>0</v>
      </c>
      <c r="AV74" s="47">
        <v>0</v>
      </c>
      <c r="AW74" s="47">
        <f t="shared" si="71"/>
        <v>0</v>
      </c>
      <c r="AX74" s="47">
        <v>0</v>
      </c>
      <c r="AY74" s="47">
        <f t="shared" si="72"/>
        <v>0</v>
      </c>
      <c r="AZ74" s="47">
        <v>0</v>
      </c>
      <c r="BA74" s="47">
        <f t="shared" si="74"/>
        <v>0</v>
      </c>
      <c r="BB74" s="48">
        <f t="shared" si="75"/>
        <v>0</v>
      </c>
      <c r="BC74" s="49">
        <f t="shared" si="76"/>
        <v>0</v>
      </c>
      <c r="BD74" s="7" t="e">
        <f t="shared" si="77"/>
        <v>#DIV/0!</v>
      </c>
      <c r="BE74" s="47">
        <f t="shared" si="78"/>
        <v>0</v>
      </c>
      <c r="BF74" s="47">
        <f t="shared" si="79"/>
        <v>0</v>
      </c>
      <c r="BG74" s="50">
        <f t="shared" si="80"/>
        <v>0</v>
      </c>
      <c r="BH74" s="50">
        <f t="shared" si="81"/>
        <v>0</v>
      </c>
      <c r="BI74" s="50">
        <f t="shared" si="82"/>
        <v>0</v>
      </c>
      <c r="BJ74" s="50">
        <f t="shared" si="83"/>
        <v>0</v>
      </c>
      <c r="BK74" s="50">
        <f t="shared" si="84"/>
        <v>0</v>
      </c>
      <c r="BL74" s="50">
        <f t="shared" si="85"/>
        <v>0</v>
      </c>
      <c r="BM74" s="51">
        <f t="shared" si="86"/>
        <v>0</v>
      </c>
      <c r="BN74" s="52">
        <f t="shared" si="87"/>
        <v>0</v>
      </c>
      <c r="BO74" s="52">
        <f t="shared" si="88"/>
        <v>0</v>
      </c>
      <c r="BP74" s="51">
        <f t="shared" si="89"/>
        <v>0.32</v>
      </c>
      <c r="BQ74" s="53">
        <f t="shared" si="90"/>
        <v>0</v>
      </c>
      <c r="BR74" s="53">
        <f t="shared" si="91"/>
        <v>0</v>
      </c>
      <c r="BS74" s="54">
        <f t="shared" si="92"/>
        <v>0</v>
      </c>
      <c r="BT74" s="55">
        <f t="shared" si="93"/>
        <v>0</v>
      </c>
      <c r="BU74" s="10" t="e">
        <f t="shared" si="94"/>
        <v>#DIV/0!</v>
      </c>
      <c r="BV74" s="3"/>
    </row>
    <row r="75" spans="1:74" ht="11.65" hidden="1">
      <c r="A75" s="646"/>
      <c r="B75" s="61"/>
      <c r="C75" s="56"/>
      <c r="D75" s="44"/>
      <c r="E75" s="7"/>
      <c r="F75" s="45"/>
      <c r="G75" s="46">
        <f t="shared" si="38"/>
        <v>0</v>
      </c>
      <c r="H75" s="7"/>
      <c r="I75" s="46">
        <f t="shared" si="39"/>
        <v>0</v>
      </c>
      <c r="J75" s="47">
        <v>0</v>
      </c>
      <c r="K75" s="47">
        <f t="shared" si="40"/>
        <v>0</v>
      </c>
      <c r="L75" s="47">
        <f t="shared" si="41"/>
        <v>0</v>
      </c>
      <c r="M75" s="47">
        <f t="shared" si="42"/>
        <v>0</v>
      </c>
      <c r="N75" s="47">
        <f t="shared" si="43"/>
        <v>0</v>
      </c>
      <c r="O75" s="47">
        <f t="shared" si="44"/>
        <v>0</v>
      </c>
      <c r="P75" s="47">
        <v>0</v>
      </c>
      <c r="Q75" s="47">
        <f t="shared" si="45"/>
        <v>0</v>
      </c>
      <c r="R75" s="47">
        <v>0</v>
      </c>
      <c r="S75" s="47">
        <f t="shared" si="46"/>
        <v>0</v>
      </c>
      <c r="T75" s="47">
        <v>0</v>
      </c>
      <c r="U75" s="47">
        <f t="shared" si="48"/>
        <v>0</v>
      </c>
      <c r="V75" s="47">
        <v>0</v>
      </c>
      <c r="W75" s="47">
        <f t="shared" si="50"/>
        <v>0</v>
      </c>
      <c r="X75" s="47">
        <v>0</v>
      </c>
      <c r="Y75" s="47">
        <f t="shared" si="52"/>
        <v>0</v>
      </c>
      <c r="Z75" s="47">
        <f t="shared" si="53"/>
        <v>0</v>
      </c>
      <c r="AA75" s="47">
        <f t="shared" si="54"/>
        <v>0</v>
      </c>
      <c r="AB75" s="47">
        <f t="shared" si="55"/>
        <v>0</v>
      </c>
      <c r="AC75" s="47">
        <f t="shared" si="56"/>
        <v>0</v>
      </c>
      <c r="AD75" s="47">
        <v>0</v>
      </c>
      <c r="AE75" s="47">
        <f t="shared" si="58"/>
        <v>0</v>
      </c>
      <c r="AF75" s="47">
        <v>0</v>
      </c>
      <c r="AG75" s="47">
        <f t="shared" si="59"/>
        <v>0</v>
      </c>
      <c r="AH75" s="47">
        <v>0</v>
      </c>
      <c r="AI75" s="47">
        <f t="shared" si="60"/>
        <v>0</v>
      </c>
      <c r="AJ75" s="47">
        <v>0</v>
      </c>
      <c r="AK75" s="47">
        <f t="shared" si="61"/>
        <v>0</v>
      </c>
      <c r="AL75" s="47">
        <v>0</v>
      </c>
      <c r="AM75" s="47">
        <f t="shared" si="63"/>
        <v>0</v>
      </c>
      <c r="AN75" s="47">
        <v>0</v>
      </c>
      <c r="AO75" s="47">
        <f t="shared" si="65"/>
        <v>0</v>
      </c>
      <c r="AP75" s="47">
        <v>0</v>
      </c>
      <c r="AQ75" s="47">
        <f t="shared" si="66"/>
        <v>0</v>
      </c>
      <c r="AR75" s="47">
        <v>0</v>
      </c>
      <c r="AS75" s="47">
        <f t="shared" si="68"/>
        <v>0</v>
      </c>
      <c r="AT75" s="47">
        <v>0</v>
      </c>
      <c r="AU75" s="47">
        <f t="shared" si="69"/>
        <v>0</v>
      </c>
      <c r="AV75" s="47">
        <v>0</v>
      </c>
      <c r="AW75" s="47">
        <f t="shared" si="71"/>
        <v>0</v>
      </c>
      <c r="AX75" s="47">
        <v>0</v>
      </c>
      <c r="AY75" s="47">
        <f t="shared" si="72"/>
        <v>0</v>
      </c>
      <c r="AZ75" s="47">
        <v>0</v>
      </c>
      <c r="BA75" s="47">
        <f t="shared" si="74"/>
        <v>0</v>
      </c>
      <c r="BB75" s="48">
        <f t="shared" si="75"/>
        <v>0</v>
      </c>
      <c r="BC75" s="49">
        <f t="shared" si="76"/>
        <v>0</v>
      </c>
      <c r="BD75" s="7" t="e">
        <f t="shared" si="77"/>
        <v>#DIV/0!</v>
      </c>
      <c r="BE75" s="47">
        <f t="shared" si="78"/>
        <v>0</v>
      </c>
      <c r="BF75" s="47">
        <f t="shared" si="79"/>
        <v>0</v>
      </c>
      <c r="BG75" s="50">
        <f t="shared" si="80"/>
        <v>0</v>
      </c>
      <c r="BH75" s="50">
        <f t="shared" si="81"/>
        <v>0</v>
      </c>
      <c r="BI75" s="50">
        <f t="shared" si="82"/>
        <v>0</v>
      </c>
      <c r="BJ75" s="50">
        <f t="shared" si="83"/>
        <v>0</v>
      </c>
      <c r="BK75" s="50">
        <f t="shared" si="84"/>
        <v>0</v>
      </c>
      <c r="BL75" s="50">
        <f t="shared" si="85"/>
        <v>0</v>
      </c>
      <c r="BM75" s="51">
        <f t="shared" si="86"/>
        <v>0</v>
      </c>
      <c r="BN75" s="52">
        <f t="shared" si="87"/>
        <v>0</v>
      </c>
      <c r="BO75" s="52">
        <f t="shared" si="88"/>
        <v>0</v>
      </c>
      <c r="BP75" s="51">
        <f t="shared" si="89"/>
        <v>0.32</v>
      </c>
      <c r="BQ75" s="53">
        <f t="shared" si="90"/>
        <v>0</v>
      </c>
      <c r="BR75" s="53">
        <f t="shared" si="91"/>
        <v>0</v>
      </c>
      <c r="BS75" s="54">
        <f t="shared" si="92"/>
        <v>0</v>
      </c>
      <c r="BT75" s="55">
        <f t="shared" si="93"/>
        <v>0</v>
      </c>
      <c r="BU75" s="10" t="e">
        <f t="shared" si="94"/>
        <v>#DIV/0!</v>
      </c>
      <c r="BV75" s="3"/>
    </row>
    <row r="76" spans="1:74" ht="11.65" hidden="1">
      <c r="A76" s="646"/>
      <c r="B76" s="61"/>
      <c r="C76" s="56"/>
      <c r="D76" s="44"/>
      <c r="E76" s="7"/>
      <c r="F76" s="45"/>
      <c r="G76" s="46">
        <f t="shared" si="38"/>
        <v>0</v>
      </c>
      <c r="H76" s="7"/>
      <c r="I76" s="46">
        <f t="shared" si="39"/>
        <v>0</v>
      </c>
      <c r="J76" s="47">
        <v>0</v>
      </c>
      <c r="K76" s="47">
        <f t="shared" si="40"/>
        <v>0</v>
      </c>
      <c r="L76" s="47">
        <f t="shared" si="41"/>
        <v>0</v>
      </c>
      <c r="M76" s="47">
        <f t="shared" si="42"/>
        <v>0</v>
      </c>
      <c r="N76" s="47">
        <f t="shared" si="43"/>
        <v>0</v>
      </c>
      <c r="O76" s="47">
        <f t="shared" si="44"/>
        <v>0</v>
      </c>
      <c r="P76" s="47">
        <v>0</v>
      </c>
      <c r="Q76" s="47">
        <f t="shared" si="45"/>
        <v>0</v>
      </c>
      <c r="R76" s="47">
        <v>0</v>
      </c>
      <c r="S76" s="47">
        <f t="shared" si="46"/>
        <v>0</v>
      </c>
      <c r="T76" s="47">
        <v>0</v>
      </c>
      <c r="U76" s="47">
        <f t="shared" si="48"/>
        <v>0</v>
      </c>
      <c r="V76" s="47">
        <v>0</v>
      </c>
      <c r="W76" s="47">
        <f t="shared" si="50"/>
        <v>0</v>
      </c>
      <c r="X76" s="47">
        <v>0</v>
      </c>
      <c r="Y76" s="47">
        <f t="shared" si="52"/>
        <v>0</v>
      </c>
      <c r="Z76" s="47">
        <f t="shared" si="53"/>
        <v>0</v>
      </c>
      <c r="AA76" s="47">
        <f t="shared" si="54"/>
        <v>0</v>
      </c>
      <c r="AB76" s="47">
        <f t="shared" si="55"/>
        <v>0</v>
      </c>
      <c r="AC76" s="47">
        <f t="shared" si="56"/>
        <v>0</v>
      </c>
      <c r="AD76" s="47">
        <v>0</v>
      </c>
      <c r="AE76" s="47">
        <f t="shared" si="58"/>
        <v>0</v>
      </c>
      <c r="AF76" s="47">
        <v>0</v>
      </c>
      <c r="AG76" s="47">
        <f t="shared" si="59"/>
        <v>0</v>
      </c>
      <c r="AH76" s="47">
        <v>0</v>
      </c>
      <c r="AI76" s="47">
        <f t="shared" si="60"/>
        <v>0</v>
      </c>
      <c r="AJ76" s="47">
        <v>0</v>
      </c>
      <c r="AK76" s="47">
        <f t="shared" si="61"/>
        <v>0</v>
      </c>
      <c r="AL76" s="47">
        <v>0</v>
      </c>
      <c r="AM76" s="47">
        <f t="shared" si="63"/>
        <v>0</v>
      </c>
      <c r="AN76" s="47">
        <v>0</v>
      </c>
      <c r="AO76" s="47">
        <f t="shared" si="65"/>
        <v>0</v>
      </c>
      <c r="AP76" s="47">
        <v>0</v>
      </c>
      <c r="AQ76" s="47">
        <f t="shared" si="66"/>
        <v>0</v>
      </c>
      <c r="AR76" s="47">
        <v>0</v>
      </c>
      <c r="AS76" s="47">
        <f t="shared" si="68"/>
        <v>0</v>
      </c>
      <c r="AT76" s="47">
        <v>0</v>
      </c>
      <c r="AU76" s="47">
        <f t="shared" si="69"/>
        <v>0</v>
      </c>
      <c r="AV76" s="47">
        <v>0</v>
      </c>
      <c r="AW76" s="47">
        <f t="shared" si="71"/>
        <v>0</v>
      </c>
      <c r="AX76" s="47">
        <v>0</v>
      </c>
      <c r="AY76" s="47">
        <f t="shared" si="72"/>
        <v>0</v>
      </c>
      <c r="AZ76" s="47">
        <v>0</v>
      </c>
      <c r="BA76" s="47">
        <f t="shared" si="74"/>
        <v>0</v>
      </c>
      <c r="BB76" s="48">
        <f t="shared" si="75"/>
        <v>0</v>
      </c>
      <c r="BC76" s="49">
        <f t="shared" si="76"/>
        <v>0</v>
      </c>
      <c r="BD76" s="7" t="e">
        <f t="shared" si="77"/>
        <v>#DIV/0!</v>
      </c>
      <c r="BE76" s="47">
        <f t="shared" si="78"/>
        <v>0</v>
      </c>
      <c r="BF76" s="47">
        <f t="shared" si="79"/>
        <v>0</v>
      </c>
      <c r="BG76" s="50">
        <f t="shared" si="80"/>
        <v>0</v>
      </c>
      <c r="BH76" s="50">
        <f t="shared" si="81"/>
        <v>0</v>
      </c>
      <c r="BI76" s="50">
        <f t="shared" si="82"/>
        <v>0</v>
      </c>
      <c r="BJ76" s="50">
        <f t="shared" si="83"/>
        <v>0</v>
      </c>
      <c r="BK76" s="50">
        <f t="shared" si="84"/>
        <v>0</v>
      </c>
      <c r="BL76" s="50">
        <f t="shared" si="85"/>
        <v>0</v>
      </c>
      <c r="BM76" s="51">
        <f t="shared" si="86"/>
        <v>0</v>
      </c>
      <c r="BN76" s="52">
        <f t="shared" si="87"/>
        <v>0</v>
      </c>
      <c r="BO76" s="52">
        <f t="shared" si="88"/>
        <v>0</v>
      </c>
      <c r="BP76" s="51">
        <f t="shared" si="89"/>
        <v>0.32</v>
      </c>
      <c r="BQ76" s="53">
        <f t="shared" si="90"/>
        <v>0</v>
      </c>
      <c r="BR76" s="53">
        <f t="shared" si="91"/>
        <v>0</v>
      </c>
      <c r="BS76" s="54">
        <f t="shared" si="92"/>
        <v>0</v>
      </c>
      <c r="BT76" s="55">
        <f t="shared" si="93"/>
        <v>0</v>
      </c>
      <c r="BU76" s="10" t="e">
        <f t="shared" si="94"/>
        <v>#DIV/0!</v>
      </c>
      <c r="BV76" s="3"/>
    </row>
    <row r="77" spans="1:74" ht="11.65" hidden="1">
      <c r="A77" s="646"/>
      <c r="B77" s="61"/>
      <c r="C77" s="56"/>
      <c r="D77" s="44"/>
      <c r="E77" s="7"/>
      <c r="F77" s="45"/>
      <c r="G77" s="46">
        <f t="shared" si="38"/>
        <v>0</v>
      </c>
      <c r="H77" s="7"/>
      <c r="I77" s="46">
        <f t="shared" si="39"/>
        <v>0</v>
      </c>
      <c r="J77" s="47">
        <v>0</v>
      </c>
      <c r="K77" s="47">
        <f t="shared" si="40"/>
        <v>0</v>
      </c>
      <c r="L77" s="47">
        <f t="shared" si="41"/>
        <v>0</v>
      </c>
      <c r="M77" s="47">
        <f t="shared" si="42"/>
        <v>0</v>
      </c>
      <c r="N77" s="47">
        <f t="shared" si="43"/>
        <v>0</v>
      </c>
      <c r="O77" s="47">
        <f t="shared" si="44"/>
        <v>0</v>
      </c>
      <c r="P77" s="47">
        <v>0</v>
      </c>
      <c r="Q77" s="47">
        <f t="shared" si="45"/>
        <v>0</v>
      </c>
      <c r="R77" s="47">
        <v>0</v>
      </c>
      <c r="S77" s="47">
        <f t="shared" si="46"/>
        <v>0</v>
      </c>
      <c r="T77" s="47">
        <v>0</v>
      </c>
      <c r="U77" s="47">
        <f t="shared" si="48"/>
        <v>0</v>
      </c>
      <c r="V77" s="47">
        <v>0</v>
      </c>
      <c r="W77" s="47">
        <f t="shared" si="50"/>
        <v>0</v>
      </c>
      <c r="X77" s="47">
        <v>0</v>
      </c>
      <c r="Y77" s="47">
        <f t="shared" si="52"/>
        <v>0</v>
      </c>
      <c r="Z77" s="47">
        <f t="shared" si="53"/>
        <v>0</v>
      </c>
      <c r="AA77" s="47">
        <f t="shared" si="54"/>
        <v>0</v>
      </c>
      <c r="AB77" s="47">
        <f t="shared" si="55"/>
        <v>0</v>
      </c>
      <c r="AC77" s="47">
        <f t="shared" si="56"/>
        <v>0</v>
      </c>
      <c r="AD77" s="47">
        <v>0</v>
      </c>
      <c r="AE77" s="47">
        <f t="shared" si="58"/>
        <v>0</v>
      </c>
      <c r="AF77" s="47">
        <v>0</v>
      </c>
      <c r="AG77" s="47">
        <f t="shared" si="59"/>
        <v>0</v>
      </c>
      <c r="AH77" s="47">
        <v>0</v>
      </c>
      <c r="AI77" s="47">
        <f t="shared" si="60"/>
        <v>0</v>
      </c>
      <c r="AJ77" s="47">
        <v>0</v>
      </c>
      <c r="AK77" s="47">
        <f t="shared" si="61"/>
        <v>0</v>
      </c>
      <c r="AL77" s="47">
        <v>0</v>
      </c>
      <c r="AM77" s="47">
        <f t="shared" si="63"/>
        <v>0</v>
      </c>
      <c r="AN77" s="47">
        <v>0</v>
      </c>
      <c r="AO77" s="47">
        <f t="shared" si="65"/>
        <v>0</v>
      </c>
      <c r="AP77" s="47">
        <v>0</v>
      </c>
      <c r="AQ77" s="47">
        <f t="shared" si="66"/>
        <v>0</v>
      </c>
      <c r="AR77" s="47">
        <v>0</v>
      </c>
      <c r="AS77" s="47">
        <f t="shared" si="68"/>
        <v>0</v>
      </c>
      <c r="AT77" s="47">
        <v>0</v>
      </c>
      <c r="AU77" s="47">
        <f t="shared" si="69"/>
        <v>0</v>
      </c>
      <c r="AV77" s="47">
        <v>0</v>
      </c>
      <c r="AW77" s="47">
        <f t="shared" si="71"/>
        <v>0</v>
      </c>
      <c r="AX77" s="47">
        <v>0</v>
      </c>
      <c r="AY77" s="47">
        <f t="shared" si="72"/>
        <v>0</v>
      </c>
      <c r="AZ77" s="47">
        <v>0</v>
      </c>
      <c r="BA77" s="47">
        <f t="shared" si="74"/>
        <v>0</v>
      </c>
      <c r="BB77" s="48">
        <f t="shared" si="75"/>
        <v>0</v>
      </c>
      <c r="BC77" s="49">
        <f t="shared" si="76"/>
        <v>0</v>
      </c>
      <c r="BD77" s="7" t="e">
        <f t="shared" si="77"/>
        <v>#DIV/0!</v>
      </c>
      <c r="BE77" s="47">
        <f t="shared" si="78"/>
        <v>0</v>
      </c>
      <c r="BF77" s="47">
        <f t="shared" si="79"/>
        <v>0</v>
      </c>
      <c r="BG77" s="50">
        <f t="shared" si="80"/>
        <v>0</v>
      </c>
      <c r="BH77" s="50">
        <f t="shared" si="81"/>
        <v>0</v>
      </c>
      <c r="BI77" s="50">
        <f t="shared" si="82"/>
        <v>0</v>
      </c>
      <c r="BJ77" s="50">
        <f t="shared" si="83"/>
        <v>0</v>
      </c>
      <c r="BK77" s="50">
        <f t="shared" si="84"/>
        <v>0</v>
      </c>
      <c r="BL77" s="50">
        <f t="shared" si="85"/>
        <v>0</v>
      </c>
      <c r="BM77" s="51">
        <f t="shared" si="86"/>
        <v>0</v>
      </c>
      <c r="BN77" s="52">
        <f t="shared" si="87"/>
        <v>0</v>
      </c>
      <c r="BO77" s="52">
        <f t="shared" si="88"/>
        <v>0</v>
      </c>
      <c r="BP77" s="51">
        <f t="shared" si="89"/>
        <v>0.32</v>
      </c>
      <c r="BQ77" s="53">
        <f t="shared" si="90"/>
        <v>0</v>
      </c>
      <c r="BR77" s="53">
        <f t="shared" si="91"/>
        <v>0</v>
      </c>
      <c r="BS77" s="54">
        <f t="shared" si="92"/>
        <v>0</v>
      </c>
      <c r="BT77" s="55">
        <f t="shared" si="93"/>
        <v>0</v>
      </c>
      <c r="BU77" s="10" t="e">
        <f t="shared" si="94"/>
        <v>#DIV/0!</v>
      </c>
      <c r="BV77" s="3"/>
    </row>
    <row r="78" spans="1:74" ht="11.65" hidden="1">
      <c r="A78" s="646"/>
      <c r="B78" s="61"/>
      <c r="C78" s="56"/>
      <c r="D78" s="44"/>
      <c r="E78" s="7"/>
      <c r="F78" s="45"/>
      <c r="G78" s="46">
        <f t="shared" ref="G78:G141" si="107">(D78*F78)/1000000</f>
        <v>0</v>
      </c>
      <c r="H78" s="7"/>
      <c r="I78" s="46">
        <f t="shared" ref="I78:I141" si="108">G78*H78</f>
        <v>0</v>
      </c>
      <c r="J78" s="47">
        <v>0</v>
      </c>
      <c r="K78" s="47">
        <f t="shared" ref="K78:K141" si="109">J78*$K$5</f>
        <v>0</v>
      </c>
      <c r="L78" s="47">
        <f t="shared" ref="L78:L141" si="110">K78*$L$5</f>
        <v>0</v>
      </c>
      <c r="M78" s="47">
        <f t="shared" ref="M78:M141" si="111">L78*$M$5</f>
        <v>0</v>
      </c>
      <c r="N78" s="47">
        <f t="shared" ref="N78:N141" si="112">M78</f>
        <v>0</v>
      </c>
      <c r="O78" s="47">
        <f t="shared" ref="O78:O141" si="113">N78*H78</f>
        <v>0</v>
      </c>
      <c r="P78" s="47">
        <v>0</v>
      </c>
      <c r="Q78" s="47">
        <f t="shared" ref="Q78:Q141" si="114">P78*$Q$5</f>
        <v>0</v>
      </c>
      <c r="R78" s="47">
        <v>0</v>
      </c>
      <c r="S78" s="47">
        <f t="shared" ref="S78:S141" si="115">R78*H78</f>
        <v>0</v>
      </c>
      <c r="T78" s="47">
        <v>0</v>
      </c>
      <c r="U78" s="47">
        <f t="shared" ref="U78:U141" si="116">T78*$U$5</f>
        <v>0</v>
      </c>
      <c r="V78" s="47">
        <v>0</v>
      </c>
      <c r="W78" s="47">
        <f t="shared" ref="W78:W141" si="117">V78*H78</f>
        <v>0</v>
      </c>
      <c r="X78" s="47">
        <v>0</v>
      </c>
      <c r="Y78" s="47">
        <f t="shared" ref="Y78:Y141" si="118">X78*$Y$5</f>
        <v>0</v>
      </c>
      <c r="Z78" s="47">
        <f t="shared" ref="Z78:Z141" si="119">Y78*$Z$5</f>
        <v>0</v>
      </c>
      <c r="AA78" s="47">
        <f t="shared" ref="AA78:AA141" si="120">Z78*$AA$5</f>
        <v>0</v>
      </c>
      <c r="AB78" s="47">
        <f t="shared" ref="AB78:AB141" si="121">AA78</f>
        <v>0</v>
      </c>
      <c r="AC78" s="47">
        <f t="shared" ref="AC78:AC141" si="122">AB78*H78</f>
        <v>0</v>
      </c>
      <c r="AD78" s="47">
        <v>0</v>
      </c>
      <c r="AE78" s="47">
        <f t="shared" ref="AE78:AE141" si="123">AD78*H78</f>
        <v>0</v>
      </c>
      <c r="AF78" s="47">
        <v>0</v>
      </c>
      <c r="AG78" s="47">
        <f t="shared" ref="AG78:AG141" si="124">AF78*H78</f>
        <v>0</v>
      </c>
      <c r="AH78" s="47">
        <v>0</v>
      </c>
      <c r="AI78" s="47">
        <f t="shared" ref="AI78:AI141" si="125">AH78*H78</f>
        <v>0</v>
      </c>
      <c r="AJ78" s="47">
        <v>0</v>
      </c>
      <c r="AK78" s="47">
        <f t="shared" ref="AK78:AK141" si="126">AJ78*H78</f>
        <v>0</v>
      </c>
      <c r="AL78" s="47">
        <v>0</v>
      </c>
      <c r="AM78" s="47">
        <f t="shared" ref="AM78:AM141" si="127">AL78*H78</f>
        <v>0</v>
      </c>
      <c r="AN78" s="47">
        <v>0</v>
      </c>
      <c r="AO78" s="47">
        <f t="shared" ref="AO78:AO141" si="128">AN78*H78</f>
        <v>0</v>
      </c>
      <c r="AP78" s="47">
        <v>0</v>
      </c>
      <c r="AQ78" s="47">
        <f t="shared" ref="AQ78:AQ141" si="129">AP78*H78</f>
        <v>0</v>
      </c>
      <c r="AR78" s="47">
        <v>0</v>
      </c>
      <c r="AS78" s="47">
        <f t="shared" ref="AS78:AS141" si="130">AR78*H78</f>
        <v>0</v>
      </c>
      <c r="AT78" s="47">
        <v>0</v>
      </c>
      <c r="AU78" s="47">
        <f t="shared" ref="AU78:AU141" si="131">AT78*H78</f>
        <v>0</v>
      </c>
      <c r="AV78" s="47">
        <v>0</v>
      </c>
      <c r="AW78" s="47">
        <f t="shared" ref="AW78:AW141" si="132">AV78*H78</f>
        <v>0</v>
      </c>
      <c r="AX78" s="47">
        <v>0</v>
      </c>
      <c r="AY78" s="47">
        <f t="shared" ref="AY78:AY141" si="133">AX78*H78</f>
        <v>0</v>
      </c>
      <c r="AZ78" s="47">
        <v>0</v>
      </c>
      <c r="BA78" s="47">
        <f t="shared" ref="BA78:BA141" si="134">AZ78*H78</f>
        <v>0</v>
      </c>
      <c r="BB78" s="48">
        <f t="shared" ref="BB78:BB141" si="135">N78+R78+V78+AB78+AD78+AF78+AH78+AJ78+AL78+AN78+AP78+AR78+AT78+AV78+AX78+AZ78</f>
        <v>0</v>
      </c>
      <c r="BC78" s="49">
        <f t="shared" ref="BC78:BC141" si="136">O78+S78+W78+AC78+AE78+AG78+AI78+AK78+AM78+AO78+AQ78+AS78+AU78+AW78+AY78+BA78</f>
        <v>0</v>
      </c>
      <c r="BD78" s="7" t="e">
        <f t="shared" ref="BD78:BD141" si="137">BC78/I78</f>
        <v>#DIV/0!</v>
      </c>
      <c r="BE78" s="47">
        <f t="shared" ref="BE78:BE141" si="138">BB78*$BE$5</f>
        <v>0</v>
      </c>
      <c r="BF78" s="47">
        <f t="shared" ref="BF78:BF141" si="139">BC78*$BE$5</f>
        <v>0</v>
      </c>
      <c r="BG78" s="50">
        <f t="shared" ref="BG78:BG141" si="140">BB78*$BG$5</f>
        <v>0</v>
      </c>
      <c r="BH78" s="50">
        <f t="shared" ref="BH78:BH141" si="141">BC78*$BG$5</f>
        <v>0</v>
      </c>
      <c r="BI78" s="50">
        <f t="shared" ref="BI78:BI141" si="142">BB78*$BI$5</f>
        <v>0</v>
      </c>
      <c r="BJ78" s="50">
        <f t="shared" ref="BJ78:BJ141" si="143">BC78*$BI$5</f>
        <v>0</v>
      </c>
      <c r="BK78" s="50">
        <f t="shared" ref="BK78:BK141" si="144">BB78*$BK$5</f>
        <v>0</v>
      </c>
      <c r="BL78" s="50">
        <f t="shared" ref="BL78:BL141" si="145">BC78*$BK$5</f>
        <v>0</v>
      </c>
      <c r="BM78" s="51">
        <f t="shared" ref="BM78:BM141" si="146">$BM$5</f>
        <v>0</v>
      </c>
      <c r="BN78" s="52">
        <f t="shared" ref="BN78:BN141" si="147">BB78*BM78</f>
        <v>0</v>
      </c>
      <c r="BO78" s="52">
        <f t="shared" ref="BO78:BO141" si="148">BC78*BM$12</f>
        <v>0</v>
      </c>
      <c r="BP78" s="51">
        <f t="shared" ref="BP78:BP141" si="149">$BP$5</f>
        <v>0.32</v>
      </c>
      <c r="BQ78" s="53">
        <f t="shared" ref="BQ78:BQ141" si="150">BB78*$BP78</f>
        <v>0</v>
      </c>
      <c r="BR78" s="53">
        <f t="shared" ref="BR78:BR141" si="151">BC78*BP78</f>
        <v>0</v>
      </c>
      <c r="BS78" s="54">
        <f t="shared" ref="BS78:BS141" si="152">BB78+BE78+BG78+BI78+BK78+BN78+BQ78</f>
        <v>0</v>
      </c>
      <c r="BT78" s="55">
        <f t="shared" ref="BT78:BT141" si="153">BC78+BF78+BH78+BJ78+BL78+BO78+BR78</f>
        <v>0</v>
      </c>
      <c r="BU78" s="10" t="e">
        <f t="shared" ref="BU78:BU141" si="154">BT78/I78</f>
        <v>#DIV/0!</v>
      </c>
      <c r="BV78" s="3"/>
    </row>
    <row r="79" spans="1:74" ht="11.65" hidden="1">
      <c r="A79" s="646"/>
      <c r="B79" s="61"/>
      <c r="C79" s="56"/>
      <c r="D79" s="44"/>
      <c r="E79" s="7"/>
      <c r="F79" s="45"/>
      <c r="G79" s="46">
        <f t="shared" si="107"/>
        <v>0</v>
      </c>
      <c r="H79" s="7"/>
      <c r="I79" s="46">
        <f t="shared" si="108"/>
        <v>0</v>
      </c>
      <c r="J79" s="47">
        <v>0</v>
      </c>
      <c r="K79" s="47">
        <f t="shared" si="109"/>
        <v>0</v>
      </c>
      <c r="L79" s="47">
        <f t="shared" si="110"/>
        <v>0</v>
      </c>
      <c r="M79" s="47">
        <f t="shared" si="111"/>
        <v>0</v>
      </c>
      <c r="N79" s="47">
        <f t="shared" si="112"/>
        <v>0</v>
      </c>
      <c r="O79" s="47">
        <f t="shared" si="113"/>
        <v>0</v>
      </c>
      <c r="P79" s="47">
        <v>0</v>
      </c>
      <c r="Q79" s="47">
        <f t="shared" si="114"/>
        <v>0</v>
      </c>
      <c r="R79" s="47">
        <v>0</v>
      </c>
      <c r="S79" s="47">
        <f t="shared" si="115"/>
        <v>0</v>
      </c>
      <c r="T79" s="47">
        <v>0</v>
      </c>
      <c r="U79" s="47">
        <f t="shared" si="116"/>
        <v>0</v>
      </c>
      <c r="V79" s="47">
        <v>0</v>
      </c>
      <c r="W79" s="47">
        <f t="shared" si="117"/>
        <v>0</v>
      </c>
      <c r="X79" s="47">
        <v>0</v>
      </c>
      <c r="Y79" s="47">
        <f t="shared" si="118"/>
        <v>0</v>
      </c>
      <c r="Z79" s="47">
        <f t="shared" si="119"/>
        <v>0</v>
      </c>
      <c r="AA79" s="47">
        <f t="shared" si="120"/>
        <v>0</v>
      </c>
      <c r="AB79" s="47">
        <f t="shared" si="121"/>
        <v>0</v>
      </c>
      <c r="AC79" s="47">
        <f t="shared" si="122"/>
        <v>0</v>
      </c>
      <c r="AD79" s="47">
        <v>0</v>
      </c>
      <c r="AE79" s="47">
        <f t="shared" si="123"/>
        <v>0</v>
      </c>
      <c r="AF79" s="47">
        <v>0</v>
      </c>
      <c r="AG79" s="47">
        <f t="shared" si="124"/>
        <v>0</v>
      </c>
      <c r="AH79" s="47">
        <v>0</v>
      </c>
      <c r="AI79" s="47">
        <f t="shared" si="125"/>
        <v>0</v>
      </c>
      <c r="AJ79" s="47">
        <v>0</v>
      </c>
      <c r="AK79" s="47">
        <f t="shared" si="126"/>
        <v>0</v>
      </c>
      <c r="AL79" s="47">
        <v>0</v>
      </c>
      <c r="AM79" s="47">
        <f t="shared" si="127"/>
        <v>0</v>
      </c>
      <c r="AN79" s="47">
        <v>0</v>
      </c>
      <c r="AO79" s="47">
        <f t="shared" si="128"/>
        <v>0</v>
      </c>
      <c r="AP79" s="47">
        <v>0</v>
      </c>
      <c r="AQ79" s="47">
        <f t="shared" si="129"/>
        <v>0</v>
      </c>
      <c r="AR79" s="47">
        <v>0</v>
      </c>
      <c r="AS79" s="47">
        <f t="shared" si="130"/>
        <v>0</v>
      </c>
      <c r="AT79" s="47">
        <v>0</v>
      </c>
      <c r="AU79" s="47">
        <f t="shared" si="131"/>
        <v>0</v>
      </c>
      <c r="AV79" s="47">
        <v>0</v>
      </c>
      <c r="AW79" s="47">
        <f t="shared" si="132"/>
        <v>0</v>
      </c>
      <c r="AX79" s="47">
        <v>0</v>
      </c>
      <c r="AY79" s="47">
        <f t="shared" si="133"/>
        <v>0</v>
      </c>
      <c r="AZ79" s="47">
        <v>0</v>
      </c>
      <c r="BA79" s="47">
        <f t="shared" si="134"/>
        <v>0</v>
      </c>
      <c r="BB79" s="48">
        <f t="shared" si="135"/>
        <v>0</v>
      </c>
      <c r="BC79" s="49">
        <f t="shared" si="136"/>
        <v>0</v>
      </c>
      <c r="BD79" s="7" t="e">
        <f t="shared" si="137"/>
        <v>#DIV/0!</v>
      </c>
      <c r="BE79" s="47">
        <f t="shared" si="138"/>
        <v>0</v>
      </c>
      <c r="BF79" s="47">
        <f t="shared" si="139"/>
        <v>0</v>
      </c>
      <c r="BG79" s="50">
        <f t="shared" si="140"/>
        <v>0</v>
      </c>
      <c r="BH79" s="50">
        <f t="shared" si="141"/>
        <v>0</v>
      </c>
      <c r="BI79" s="50">
        <f t="shared" si="142"/>
        <v>0</v>
      </c>
      <c r="BJ79" s="50">
        <f t="shared" si="143"/>
        <v>0</v>
      </c>
      <c r="BK79" s="50">
        <f t="shared" si="144"/>
        <v>0</v>
      </c>
      <c r="BL79" s="50">
        <f t="shared" si="145"/>
        <v>0</v>
      </c>
      <c r="BM79" s="51">
        <f t="shared" si="146"/>
        <v>0</v>
      </c>
      <c r="BN79" s="52">
        <f t="shared" si="147"/>
        <v>0</v>
      </c>
      <c r="BO79" s="52">
        <f t="shared" si="148"/>
        <v>0</v>
      </c>
      <c r="BP79" s="51">
        <f t="shared" si="149"/>
        <v>0.32</v>
      </c>
      <c r="BQ79" s="53">
        <f t="shared" si="150"/>
        <v>0</v>
      </c>
      <c r="BR79" s="53">
        <f t="shared" si="151"/>
        <v>0</v>
      </c>
      <c r="BS79" s="54">
        <f t="shared" si="152"/>
        <v>0</v>
      </c>
      <c r="BT79" s="55">
        <f t="shared" si="153"/>
        <v>0</v>
      </c>
      <c r="BU79" s="10" t="e">
        <f t="shared" si="154"/>
        <v>#DIV/0!</v>
      </c>
      <c r="BV79" s="3"/>
    </row>
    <row r="80" spans="1:74" ht="11.65" hidden="1">
      <c r="A80" s="646"/>
      <c r="B80" s="61"/>
      <c r="C80" s="56"/>
      <c r="D80" s="44"/>
      <c r="E80" s="7"/>
      <c r="F80" s="45"/>
      <c r="G80" s="46">
        <f t="shared" si="107"/>
        <v>0</v>
      </c>
      <c r="H80" s="7"/>
      <c r="I80" s="46">
        <f t="shared" si="108"/>
        <v>0</v>
      </c>
      <c r="J80" s="47">
        <v>0</v>
      </c>
      <c r="K80" s="47">
        <f t="shared" si="109"/>
        <v>0</v>
      </c>
      <c r="L80" s="47">
        <f t="shared" si="110"/>
        <v>0</v>
      </c>
      <c r="M80" s="47">
        <f t="shared" si="111"/>
        <v>0</v>
      </c>
      <c r="N80" s="47">
        <f t="shared" si="112"/>
        <v>0</v>
      </c>
      <c r="O80" s="47">
        <f t="shared" si="113"/>
        <v>0</v>
      </c>
      <c r="P80" s="47">
        <v>0</v>
      </c>
      <c r="Q80" s="47">
        <f t="shared" si="114"/>
        <v>0</v>
      </c>
      <c r="R80" s="47">
        <v>0</v>
      </c>
      <c r="S80" s="47">
        <f t="shared" si="115"/>
        <v>0</v>
      </c>
      <c r="T80" s="47">
        <v>0</v>
      </c>
      <c r="U80" s="47">
        <f t="shared" si="116"/>
        <v>0</v>
      </c>
      <c r="V80" s="47">
        <v>0</v>
      </c>
      <c r="W80" s="47">
        <f t="shared" si="117"/>
        <v>0</v>
      </c>
      <c r="X80" s="47">
        <v>0</v>
      </c>
      <c r="Y80" s="47">
        <f t="shared" si="118"/>
        <v>0</v>
      </c>
      <c r="Z80" s="47">
        <f t="shared" si="119"/>
        <v>0</v>
      </c>
      <c r="AA80" s="47">
        <f t="shared" si="120"/>
        <v>0</v>
      </c>
      <c r="AB80" s="47">
        <f t="shared" si="121"/>
        <v>0</v>
      </c>
      <c r="AC80" s="47">
        <f t="shared" si="122"/>
        <v>0</v>
      </c>
      <c r="AD80" s="47">
        <v>0</v>
      </c>
      <c r="AE80" s="47">
        <f t="shared" si="123"/>
        <v>0</v>
      </c>
      <c r="AF80" s="47">
        <v>0</v>
      </c>
      <c r="AG80" s="47">
        <f t="shared" si="124"/>
        <v>0</v>
      </c>
      <c r="AH80" s="47">
        <v>0</v>
      </c>
      <c r="AI80" s="47">
        <f t="shared" si="125"/>
        <v>0</v>
      </c>
      <c r="AJ80" s="47">
        <v>0</v>
      </c>
      <c r="AK80" s="47">
        <f t="shared" si="126"/>
        <v>0</v>
      </c>
      <c r="AL80" s="47">
        <v>0</v>
      </c>
      <c r="AM80" s="47">
        <f t="shared" si="127"/>
        <v>0</v>
      </c>
      <c r="AN80" s="47">
        <v>0</v>
      </c>
      <c r="AO80" s="47">
        <f t="shared" si="128"/>
        <v>0</v>
      </c>
      <c r="AP80" s="47">
        <v>0</v>
      </c>
      <c r="AQ80" s="47">
        <f t="shared" si="129"/>
        <v>0</v>
      </c>
      <c r="AR80" s="47">
        <v>0</v>
      </c>
      <c r="AS80" s="47">
        <f t="shared" si="130"/>
        <v>0</v>
      </c>
      <c r="AT80" s="47">
        <v>0</v>
      </c>
      <c r="AU80" s="47">
        <f t="shared" si="131"/>
        <v>0</v>
      </c>
      <c r="AV80" s="47">
        <v>0</v>
      </c>
      <c r="AW80" s="47">
        <f t="shared" si="132"/>
        <v>0</v>
      </c>
      <c r="AX80" s="47">
        <v>0</v>
      </c>
      <c r="AY80" s="47">
        <f t="shared" si="133"/>
        <v>0</v>
      </c>
      <c r="AZ80" s="47">
        <v>0</v>
      </c>
      <c r="BA80" s="47">
        <f t="shared" si="134"/>
        <v>0</v>
      </c>
      <c r="BB80" s="48">
        <f t="shared" si="135"/>
        <v>0</v>
      </c>
      <c r="BC80" s="49">
        <f t="shared" si="136"/>
        <v>0</v>
      </c>
      <c r="BD80" s="7" t="e">
        <f t="shared" si="137"/>
        <v>#DIV/0!</v>
      </c>
      <c r="BE80" s="47">
        <f t="shared" si="138"/>
        <v>0</v>
      </c>
      <c r="BF80" s="47">
        <f t="shared" si="139"/>
        <v>0</v>
      </c>
      <c r="BG80" s="50">
        <f t="shared" si="140"/>
        <v>0</v>
      </c>
      <c r="BH80" s="50">
        <f t="shared" si="141"/>
        <v>0</v>
      </c>
      <c r="BI80" s="50">
        <f t="shared" si="142"/>
        <v>0</v>
      </c>
      <c r="BJ80" s="50">
        <f t="shared" si="143"/>
        <v>0</v>
      </c>
      <c r="BK80" s="50">
        <f t="shared" si="144"/>
        <v>0</v>
      </c>
      <c r="BL80" s="50">
        <f t="shared" si="145"/>
        <v>0</v>
      </c>
      <c r="BM80" s="51">
        <f t="shared" si="146"/>
        <v>0</v>
      </c>
      <c r="BN80" s="52">
        <f t="shared" si="147"/>
        <v>0</v>
      </c>
      <c r="BO80" s="52">
        <f t="shared" si="148"/>
        <v>0</v>
      </c>
      <c r="BP80" s="51">
        <f t="shared" si="149"/>
        <v>0.32</v>
      </c>
      <c r="BQ80" s="53">
        <f t="shared" si="150"/>
        <v>0</v>
      </c>
      <c r="BR80" s="53">
        <f t="shared" si="151"/>
        <v>0</v>
      </c>
      <c r="BS80" s="54">
        <f t="shared" si="152"/>
        <v>0</v>
      </c>
      <c r="BT80" s="55">
        <f t="shared" si="153"/>
        <v>0</v>
      </c>
      <c r="BU80" s="10" t="e">
        <f t="shared" si="154"/>
        <v>#DIV/0!</v>
      </c>
      <c r="BV80" s="3"/>
    </row>
    <row r="81" spans="1:74" ht="11.65" hidden="1">
      <c r="A81" s="646"/>
      <c r="B81" s="61"/>
      <c r="C81" s="56"/>
      <c r="D81" s="44"/>
      <c r="E81" s="7"/>
      <c r="F81" s="45"/>
      <c r="G81" s="46">
        <f t="shared" si="107"/>
        <v>0</v>
      </c>
      <c r="H81" s="7"/>
      <c r="I81" s="46">
        <f t="shared" si="108"/>
        <v>0</v>
      </c>
      <c r="J81" s="47">
        <v>0</v>
      </c>
      <c r="K81" s="47">
        <f t="shared" si="109"/>
        <v>0</v>
      </c>
      <c r="L81" s="47">
        <f t="shared" si="110"/>
        <v>0</v>
      </c>
      <c r="M81" s="47">
        <f t="shared" si="111"/>
        <v>0</v>
      </c>
      <c r="N81" s="47">
        <f t="shared" si="112"/>
        <v>0</v>
      </c>
      <c r="O81" s="47">
        <f t="shared" si="113"/>
        <v>0</v>
      </c>
      <c r="P81" s="47">
        <v>0</v>
      </c>
      <c r="Q81" s="47">
        <f t="shared" si="114"/>
        <v>0</v>
      </c>
      <c r="R81" s="47">
        <v>0</v>
      </c>
      <c r="S81" s="47">
        <f t="shared" si="115"/>
        <v>0</v>
      </c>
      <c r="T81" s="47">
        <v>0</v>
      </c>
      <c r="U81" s="47">
        <f t="shared" si="116"/>
        <v>0</v>
      </c>
      <c r="V81" s="47">
        <v>0</v>
      </c>
      <c r="W81" s="47">
        <f t="shared" si="117"/>
        <v>0</v>
      </c>
      <c r="X81" s="47">
        <v>0</v>
      </c>
      <c r="Y81" s="47">
        <f t="shared" si="118"/>
        <v>0</v>
      </c>
      <c r="Z81" s="47">
        <f t="shared" si="119"/>
        <v>0</v>
      </c>
      <c r="AA81" s="47">
        <f t="shared" si="120"/>
        <v>0</v>
      </c>
      <c r="AB81" s="47">
        <f t="shared" si="121"/>
        <v>0</v>
      </c>
      <c r="AC81" s="47">
        <f t="shared" si="122"/>
        <v>0</v>
      </c>
      <c r="AD81" s="47">
        <v>0</v>
      </c>
      <c r="AE81" s="47">
        <f t="shared" si="123"/>
        <v>0</v>
      </c>
      <c r="AF81" s="47">
        <v>0</v>
      </c>
      <c r="AG81" s="47">
        <f t="shared" si="124"/>
        <v>0</v>
      </c>
      <c r="AH81" s="47">
        <v>0</v>
      </c>
      <c r="AI81" s="47">
        <f t="shared" si="125"/>
        <v>0</v>
      </c>
      <c r="AJ81" s="47">
        <v>0</v>
      </c>
      <c r="AK81" s="47">
        <f t="shared" si="126"/>
        <v>0</v>
      </c>
      <c r="AL81" s="47">
        <v>0</v>
      </c>
      <c r="AM81" s="47">
        <f t="shared" si="127"/>
        <v>0</v>
      </c>
      <c r="AN81" s="47">
        <v>0</v>
      </c>
      <c r="AO81" s="47">
        <f t="shared" si="128"/>
        <v>0</v>
      </c>
      <c r="AP81" s="47">
        <v>0</v>
      </c>
      <c r="AQ81" s="47">
        <f t="shared" si="129"/>
        <v>0</v>
      </c>
      <c r="AR81" s="47">
        <v>0</v>
      </c>
      <c r="AS81" s="47">
        <f t="shared" si="130"/>
        <v>0</v>
      </c>
      <c r="AT81" s="47">
        <v>0</v>
      </c>
      <c r="AU81" s="47">
        <f t="shared" si="131"/>
        <v>0</v>
      </c>
      <c r="AV81" s="47">
        <v>0</v>
      </c>
      <c r="AW81" s="47">
        <f t="shared" si="132"/>
        <v>0</v>
      </c>
      <c r="AX81" s="47">
        <v>0</v>
      </c>
      <c r="AY81" s="47">
        <f t="shared" si="133"/>
        <v>0</v>
      </c>
      <c r="AZ81" s="47">
        <v>0</v>
      </c>
      <c r="BA81" s="47">
        <f t="shared" si="134"/>
        <v>0</v>
      </c>
      <c r="BB81" s="48">
        <f t="shared" si="135"/>
        <v>0</v>
      </c>
      <c r="BC81" s="49">
        <f t="shared" si="136"/>
        <v>0</v>
      </c>
      <c r="BD81" s="7" t="e">
        <f t="shared" si="137"/>
        <v>#DIV/0!</v>
      </c>
      <c r="BE81" s="47">
        <f t="shared" si="138"/>
        <v>0</v>
      </c>
      <c r="BF81" s="47">
        <f t="shared" si="139"/>
        <v>0</v>
      </c>
      <c r="BG81" s="50">
        <f t="shared" si="140"/>
        <v>0</v>
      </c>
      <c r="BH81" s="50">
        <f t="shared" si="141"/>
        <v>0</v>
      </c>
      <c r="BI81" s="50">
        <f t="shared" si="142"/>
        <v>0</v>
      </c>
      <c r="BJ81" s="50">
        <f t="shared" si="143"/>
        <v>0</v>
      </c>
      <c r="BK81" s="50">
        <f t="shared" si="144"/>
        <v>0</v>
      </c>
      <c r="BL81" s="50">
        <f t="shared" si="145"/>
        <v>0</v>
      </c>
      <c r="BM81" s="51">
        <f t="shared" si="146"/>
        <v>0</v>
      </c>
      <c r="BN81" s="52">
        <f t="shared" si="147"/>
        <v>0</v>
      </c>
      <c r="BO81" s="52">
        <f t="shared" si="148"/>
        <v>0</v>
      </c>
      <c r="BP81" s="51">
        <f t="shared" si="149"/>
        <v>0.32</v>
      </c>
      <c r="BQ81" s="53">
        <f t="shared" si="150"/>
        <v>0</v>
      </c>
      <c r="BR81" s="53">
        <f t="shared" si="151"/>
        <v>0</v>
      </c>
      <c r="BS81" s="54">
        <f t="shared" si="152"/>
        <v>0</v>
      </c>
      <c r="BT81" s="55">
        <f t="shared" si="153"/>
        <v>0</v>
      </c>
      <c r="BU81" s="10" t="e">
        <f t="shared" si="154"/>
        <v>#DIV/0!</v>
      </c>
      <c r="BV81" s="3"/>
    </row>
    <row r="82" spans="1:74" ht="11.65" hidden="1">
      <c r="A82" s="646"/>
      <c r="B82" s="61"/>
      <c r="C82" s="56"/>
      <c r="D82" s="44"/>
      <c r="E82" s="7"/>
      <c r="F82" s="45"/>
      <c r="G82" s="46">
        <f t="shared" si="107"/>
        <v>0</v>
      </c>
      <c r="H82" s="7"/>
      <c r="I82" s="46">
        <f t="shared" si="108"/>
        <v>0</v>
      </c>
      <c r="J82" s="47">
        <v>0</v>
      </c>
      <c r="K82" s="47">
        <f t="shared" si="109"/>
        <v>0</v>
      </c>
      <c r="L82" s="47">
        <f t="shared" si="110"/>
        <v>0</v>
      </c>
      <c r="M82" s="47">
        <f t="shared" si="111"/>
        <v>0</v>
      </c>
      <c r="N82" s="47">
        <f t="shared" si="112"/>
        <v>0</v>
      </c>
      <c r="O82" s="47">
        <f t="shared" si="113"/>
        <v>0</v>
      </c>
      <c r="P82" s="47">
        <v>0</v>
      </c>
      <c r="Q82" s="47">
        <f t="shared" si="114"/>
        <v>0</v>
      </c>
      <c r="R82" s="47">
        <v>0</v>
      </c>
      <c r="S82" s="47">
        <f t="shared" si="115"/>
        <v>0</v>
      </c>
      <c r="T82" s="47">
        <v>0</v>
      </c>
      <c r="U82" s="47">
        <f t="shared" si="116"/>
        <v>0</v>
      </c>
      <c r="V82" s="47">
        <v>0</v>
      </c>
      <c r="W82" s="47">
        <f t="shared" si="117"/>
        <v>0</v>
      </c>
      <c r="X82" s="47">
        <v>0</v>
      </c>
      <c r="Y82" s="47">
        <f t="shared" si="118"/>
        <v>0</v>
      </c>
      <c r="Z82" s="47">
        <f t="shared" si="119"/>
        <v>0</v>
      </c>
      <c r="AA82" s="47">
        <f t="shared" si="120"/>
        <v>0</v>
      </c>
      <c r="AB82" s="47">
        <f t="shared" si="121"/>
        <v>0</v>
      </c>
      <c r="AC82" s="47">
        <f t="shared" si="122"/>
        <v>0</v>
      </c>
      <c r="AD82" s="47">
        <v>0</v>
      </c>
      <c r="AE82" s="47">
        <f t="shared" si="123"/>
        <v>0</v>
      </c>
      <c r="AF82" s="47">
        <v>0</v>
      </c>
      <c r="AG82" s="47">
        <f t="shared" si="124"/>
        <v>0</v>
      </c>
      <c r="AH82" s="47">
        <v>0</v>
      </c>
      <c r="AI82" s="47">
        <f t="shared" si="125"/>
        <v>0</v>
      </c>
      <c r="AJ82" s="47">
        <v>0</v>
      </c>
      <c r="AK82" s="47">
        <f t="shared" si="126"/>
        <v>0</v>
      </c>
      <c r="AL82" s="47">
        <v>0</v>
      </c>
      <c r="AM82" s="47">
        <f t="shared" si="127"/>
        <v>0</v>
      </c>
      <c r="AN82" s="47">
        <v>0</v>
      </c>
      <c r="AO82" s="47">
        <f t="shared" si="128"/>
        <v>0</v>
      </c>
      <c r="AP82" s="47">
        <v>0</v>
      </c>
      <c r="AQ82" s="47">
        <f t="shared" si="129"/>
        <v>0</v>
      </c>
      <c r="AR82" s="47">
        <v>0</v>
      </c>
      <c r="AS82" s="47">
        <f t="shared" si="130"/>
        <v>0</v>
      </c>
      <c r="AT82" s="47">
        <v>0</v>
      </c>
      <c r="AU82" s="47">
        <f t="shared" si="131"/>
        <v>0</v>
      </c>
      <c r="AV82" s="47">
        <v>0</v>
      </c>
      <c r="AW82" s="47">
        <f t="shared" si="132"/>
        <v>0</v>
      </c>
      <c r="AX82" s="47">
        <v>0</v>
      </c>
      <c r="AY82" s="47">
        <f t="shared" si="133"/>
        <v>0</v>
      </c>
      <c r="AZ82" s="47">
        <v>0</v>
      </c>
      <c r="BA82" s="47">
        <f t="shared" si="134"/>
        <v>0</v>
      </c>
      <c r="BB82" s="48">
        <f t="shared" si="135"/>
        <v>0</v>
      </c>
      <c r="BC82" s="49">
        <f t="shared" si="136"/>
        <v>0</v>
      </c>
      <c r="BD82" s="7" t="e">
        <f t="shared" si="137"/>
        <v>#DIV/0!</v>
      </c>
      <c r="BE82" s="47">
        <f t="shared" si="138"/>
        <v>0</v>
      </c>
      <c r="BF82" s="47">
        <f t="shared" si="139"/>
        <v>0</v>
      </c>
      <c r="BG82" s="50">
        <f t="shared" si="140"/>
        <v>0</v>
      </c>
      <c r="BH82" s="50">
        <f t="shared" si="141"/>
        <v>0</v>
      </c>
      <c r="BI82" s="50">
        <f t="shared" si="142"/>
        <v>0</v>
      </c>
      <c r="BJ82" s="50">
        <f t="shared" si="143"/>
        <v>0</v>
      </c>
      <c r="BK82" s="50">
        <f t="shared" si="144"/>
        <v>0</v>
      </c>
      <c r="BL82" s="50">
        <f t="shared" si="145"/>
        <v>0</v>
      </c>
      <c r="BM82" s="51">
        <f t="shared" si="146"/>
        <v>0</v>
      </c>
      <c r="BN82" s="52">
        <f t="shared" si="147"/>
        <v>0</v>
      </c>
      <c r="BO82" s="52">
        <f t="shared" si="148"/>
        <v>0</v>
      </c>
      <c r="BP82" s="51">
        <f t="shared" si="149"/>
        <v>0.32</v>
      </c>
      <c r="BQ82" s="53">
        <f t="shared" si="150"/>
        <v>0</v>
      </c>
      <c r="BR82" s="53">
        <f t="shared" si="151"/>
        <v>0</v>
      </c>
      <c r="BS82" s="54">
        <f t="shared" si="152"/>
        <v>0</v>
      </c>
      <c r="BT82" s="55">
        <f t="shared" si="153"/>
        <v>0</v>
      </c>
      <c r="BU82" s="10" t="e">
        <f t="shared" si="154"/>
        <v>#DIV/0!</v>
      </c>
      <c r="BV82" s="3"/>
    </row>
    <row r="83" spans="1:74" ht="11.65" hidden="1">
      <c r="A83" s="646"/>
      <c r="B83" s="61"/>
      <c r="C83" s="56"/>
      <c r="D83" s="44"/>
      <c r="E83" s="7"/>
      <c r="F83" s="45"/>
      <c r="G83" s="46">
        <f t="shared" si="107"/>
        <v>0</v>
      </c>
      <c r="H83" s="7"/>
      <c r="I83" s="46">
        <f t="shared" si="108"/>
        <v>0</v>
      </c>
      <c r="J83" s="47">
        <v>0</v>
      </c>
      <c r="K83" s="47">
        <f t="shared" si="109"/>
        <v>0</v>
      </c>
      <c r="L83" s="47">
        <f t="shared" si="110"/>
        <v>0</v>
      </c>
      <c r="M83" s="47">
        <f t="shared" si="111"/>
        <v>0</v>
      </c>
      <c r="N83" s="47">
        <f t="shared" si="112"/>
        <v>0</v>
      </c>
      <c r="O83" s="47">
        <f t="shared" si="113"/>
        <v>0</v>
      </c>
      <c r="P83" s="47">
        <v>0</v>
      </c>
      <c r="Q83" s="47">
        <f t="shared" si="114"/>
        <v>0</v>
      </c>
      <c r="R83" s="47">
        <v>0</v>
      </c>
      <c r="S83" s="47">
        <f t="shared" si="115"/>
        <v>0</v>
      </c>
      <c r="T83" s="47">
        <v>0</v>
      </c>
      <c r="U83" s="47">
        <f t="shared" si="116"/>
        <v>0</v>
      </c>
      <c r="V83" s="47">
        <v>0</v>
      </c>
      <c r="W83" s="47">
        <f t="shared" si="117"/>
        <v>0</v>
      </c>
      <c r="X83" s="47">
        <v>0</v>
      </c>
      <c r="Y83" s="47">
        <f t="shared" si="118"/>
        <v>0</v>
      </c>
      <c r="Z83" s="47">
        <f t="shared" si="119"/>
        <v>0</v>
      </c>
      <c r="AA83" s="47">
        <f t="shared" si="120"/>
        <v>0</v>
      </c>
      <c r="AB83" s="47">
        <f t="shared" si="121"/>
        <v>0</v>
      </c>
      <c r="AC83" s="47">
        <f t="shared" si="122"/>
        <v>0</v>
      </c>
      <c r="AD83" s="47">
        <v>0</v>
      </c>
      <c r="AE83" s="47">
        <f t="shared" si="123"/>
        <v>0</v>
      </c>
      <c r="AF83" s="47">
        <v>0</v>
      </c>
      <c r="AG83" s="47">
        <f t="shared" si="124"/>
        <v>0</v>
      </c>
      <c r="AH83" s="47">
        <v>0</v>
      </c>
      <c r="AI83" s="47">
        <f t="shared" si="125"/>
        <v>0</v>
      </c>
      <c r="AJ83" s="47">
        <v>0</v>
      </c>
      <c r="AK83" s="47">
        <f t="shared" si="126"/>
        <v>0</v>
      </c>
      <c r="AL83" s="47">
        <v>0</v>
      </c>
      <c r="AM83" s="47">
        <f t="shared" si="127"/>
        <v>0</v>
      </c>
      <c r="AN83" s="47">
        <v>0</v>
      </c>
      <c r="AO83" s="47">
        <f t="shared" si="128"/>
        <v>0</v>
      </c>
      <c r="AP83" s="47">
        <v>0</v>
      </c>
      <c r="AQ83" s="47">
        <f t="shared" si="129"/>
        <v>0</v>
      </c>
      <c r="AR83" s="47">
        <v>0</v>
      </c>
      <c r="AS83" s="47">
        <f t="shared" si="130"/>
        <v>0</v>
      </c>
      <c r="AT83" s="47">
        <v>0</v>
      </c>
      <c r="AU83" s="47">
        <f t="shared" si="131"/>
        <v>0</v>
      </c>
      <c r="AV83" s="47">
        <v>0</v>
      </c>
      <c r="AW83" s="47">
        <f t="shared" si="132"/>
        <v>0</v>
      </c>
      <c r="AX83" s="47">
        <v>0</v>
      </c>
      <c r="AY83" s="47">
        <f t="shared" si="133"/>
        <v>0</v>
      </c>
      <c r="AZ83" s="47">
        <v>0</v>
      </c>
      <c r="BA83" s="47">
        <f t="shared" si="134"/>
        <v>0</v>
      </c>
      <c r="BB83" s="48">
        <f t="shared" si="135"/>
        <v>0</v>
      </c>
      <c r="BC83" s="49">
        <f t="shared" si="136"/>
        <v>0</v>
      </c>
      <c r="BD83" s="7" t="e">
        <f t="shared" si="137"/>
        <v>#DIV/0!</v>
      </c>
      <c r="BE83" s="47">
        <f t="shared" si="138"/>
        <v>0</v>
      </c>
      <c r="BF83" s="47">
        <f t="shared" si="139"/>
        <v>0</v>
      </c>
      <c r="BG83" s="50">
        <f t="shared" si="140"/>
        <v>0</v>
      </c>
      <c r="BH83" s="50">
        <f t="shared" si="141"/>
        <v>0</v>
      </c>
      <c r="BI83" s="50">
        <f t="shared" si="142"/>
        <v>0</v>
      </c>
      <c r="BJ83" s="50">
        <f t="shared" si="143"/>
        <v>0</v>
      </c>
      <c r="BK83" s="50">
        <f t="shared" si="144"/>
        <v>0</v>
      </c>
      <c r="BL83" s="50">
        <f t="shared" si="145"/>
        <v>0</v>
      </c>
      <c r="BM83" s="51">
        <f t="shared" si="146"/>
        <v>0</v>
      </c>
      <c r="BN83" s="52">
        <f t="shared" si="147"/>
        <v>0</v>
      </c>
      <c r="BO83" s="52">
        <f t="shared" si="148"/>
        <v>0</v>
      </c>
      <c r="BP83" s="51">
        <f t="shared" si="149"/>
        <v>0.32</v>
      </c>
      <c r="BQ83" s="53">
        <f t="shared" si="150"/>
        <v>0</v>
      </c>
      <c r="BR83" s="53">
        <f t="shared" si="151"/>
        <v>0</v>
      </c>
      <c r="BS83" s="54">
        <f t="shared" si="152"/>
        <v>0</v>
      </c>
      <c r="BT83" s="55">
        <f t="shared" si="153"/>
        <v>0</v>
      </c>
      <c r="BU83" s="10" t="e">
        <f t="shared" si="154"/>
        <v>#DIV/0!</v>
      </c>
      <c r="BV83" s="3"/>
    </row>
    <row r="84" spans="1:74" ht="11.65" hidden="1">
      <c r="A84" s="646"/>
      <c r="B84" s="61"/>
      <c r="C84" s="56"/>
      <c r="D84" s="44"/>
      <c r="E84" s="7"/>
      <c r="F84" s="45"/>
      <c r="G84" s="46">
        <f t="shared" si="107"/>
        <v>0</v>
      </c>
      <c r="H84" s="7"/>
      <c r="I84" s="46">
        <f t="shared" si="108"/>
        <v>0</v>
      </c>
      <c r="J84" s="47">
        <v>0</v>
      </c>
      <c r="K84" s="47">
        <f t="shared" si="109"/>
        <v>0</v>
      </c>
      <c r="L84" s="47">
        <f t="shared" si="110"/>
        <v>0</v>
      </c>
      <c r="M84" s="47">
        <f t="shared" si="111"/>
        <v>0</v>
      </c>
      <c r="N84" s="47">
        <f t="shared" si="112"/>
        <v>0</v>
      </c>
      <c r="O84" s="47">
        <f t="shared" si="113"/>
        <v>0</v>
      </c>
      <c r="P84" s="47">
        <v>0</v>
      </c>
      <c r="Q84" s="47">
        <f t="shared" si="114"/>
        <v>0</v>
      </c>
      <c r="R84" s="47">
        <v>0</v>
      </c>
      <c r="S84" s="47">
        <f t="shared" si="115"/>
        <v>0</v>
      </c>
      <c r="T84" s="47">
        <v>0</v>
      </c>
      <c r="U84" s="47">
        <f t="shared" si="116"/>
        <v>0</v>
      </c>
      <c r="V84" s="47">
        <v>0</v>
      </c>
      <c r="W84" s="47">
        <f t="shared" si="117"/>
        <v>0</v>
      </c>
      <c r="X84" s="47">
        <v>0</v>
      </c>
      <c r="Y84" s="47">
        <f t="shared" si="118"/>
        <v>0</v>
      </c>
      <c r="Z84" s="47">
        <f t="shared" si="119"/>
        <v>0</v>
      </c>
      <c r="AA84" s="47">
        <f t="shared" si="120"/>
        <v>0</v>
      </c>
      <c r="AB84" s="47">
        <f t="shared" si="121"/>
        <v>0</v>
      </c>
      <c r="AC84" s="47">
        <f t="shared" si="122"/>
        <v>0</v>
      </c>
      <c r="AD84" s="47">
        <v>0</v>
      </c>
      <c r="AE84" s="47">
        <f t="shared" si="123"/>
        <v>0</v>
      </c>
      <c r="AF84" s="47">
        <v>0</v>
      </c>
      <c r="AG84" s="47">
        <f t="shared" si="124"/>
        <v>0</v>
      </c>
      <c r="AH84" s="47">
        <v>0</v>
      </c>
      <c r="AI84" s="47">
        <f t="shared" si="125"/>
        <v>0</v>
      </c>
      <c r="AJ84" s="47">
        <v>0</v>
      </c>
      <c r="AK84" s="47">
        <f t="shared" si="126"/>
        <v>0</v>
      </c>
      <c r="AL84" s="47">
        <v>0</v>
      </c>
      <c r="AM84" s="47">
        <f t="shared" si="127"/>
        <v>0</v>
      </c>
      <c r="AN84" s="47">
        <v>0</v>
      </c>
      <c r="AO84" s="47">
        <f t="shared" si="128"/>
        <v>0</v>
      </c>
      <c r="AP84" s="47">
        <v>0</v>
      </c>
      <c r="AQ84" s="47">
        <f t="shared" si="129"/>
        <v>0</v>
      </c>
      <c r="AR84" s="47">
        <v>0</v>
      </c>
      <c r="AS84" s="47">
        <f t="shared" si="130"/>
        <v>0</v>
      </c>
      <c r="AT84" s="47">
        <v>0</v>
      </c>
      <c r="AU84" s="47">
        <f t="shared" si="131"/>
        <v>0</v>
      </c>
      <c r="AV84" s="47">
        <v>0</v>
      </c>
      <c r="AW84" s="47">
        <f t="shared" si="132"/>
        <v>0</v>
      </c>
      <c r="AX84" s="47">
        <v>0</v>
      </c>
      <c r="AY84" s="47">
        <f t="shared" si="133"/>
        <v>0</v>
      </c>
      <c r="AZ84" s="47">
        <v>0</v>
      </c>
      <c r="BA84" s="47">
        <f t="shared" si="134"/>
        <v>0</v>
      </c>
      <c r="BB84" s="48">
        <f t="shared" si="135"/>
        <v>0</v>
      </c>
      <c r="BC84" s="49">
        <f t="shared" si="136"/>
        <v>0</v>
      </c>
      <c r="BD84" s="7" t="e">
        <f t="shared" si="137"/>
        <v>#DIV/0!</v>
      </c>
      <c r="BE84" s="47">
        <f t="shared" si="138"/>
        <v>0</v>
      </c>
      <c r="BF84" s="47">
        <f t="shared" si="139"/>
        <v>0</v>
      </c>
      <c r="BG84" s="50">
        <f t="shared" si="140"/>
        <v>0</v>
      </c>
      <c r="BH84" s="50">
        <f t="shared" si="141"/>
        <v>0</v>
      </c>
      <c r="BI84" s="50">
        <f t="shared" si="142"/>
        <v>0</v>
      </c>
      <c r="BJ84" s="50">
        <f t="shared" si="143"/>
        <v>0</v>
      </c>
      <c r="BK84" s="50">
        <f t="shared" si="144"/>
        <v>0</v>
      </c>
      <c r="BL84" s="50">
        <f t="shared" si="145"/>
        <v>0</v>
      </c>
      <c r="BM84" s="51">
        <f t="shared" si="146"/>
        <v>0</v>
      </c>
      <c r="BN84" s="52">
        <f t="shared" si="147"/>
        <v>0</v>
      </c>
      <c r="BO84" s="52">
        <f t="shared" si="148"/>
        <v>0</v>
      </c>
      <c r="BP84" s="51">
        <f t="shared" si="149"/>
        <v>0.32</v>
      </c>
      <c r="BQ84" s="53">
        <f t="shared" si="150"/>
        <v>0</v>
      </c>
      <c r="BR84" s="53">
        <f t="shared" si="151"/>
        <v>0</v>
      </c>
      <c r="BS84" s="54">
        <f t="shared" si="152"/>
        <v>0</v>
      </c>
      <c r="BT84" s="55">
        <f t="shared" si="153"/>
        <v>0</v>
      </c>
      <c r="BU84" s="10" t="e">
        <f t="shared" si="154"/>
        <v>#DIV/0!</v>
      </c>
      <c r="BV84" s="3"/>
    </row>
    <row r="85" spans="1:74" ht="11.65" hidden="1">
      <c r="A85" s="646"/>
      <c r="B85" s="61"/>
      <c r="C85" s="56"/>
      <c r="D85" s="44"/>
      <c r="E85" s="7"/>
      <c r="F85" s="45"/>
      <c r="G85" s="46">
        <f t="shared" si="107"/>
        <v>0</v>
      </c>
      <c r="H85" s="7"/>
      <c r="I85" s="46">
        <f t="shared" si="108"/>
        <v>0</v>
      </c>
      <c r="J85" s="47">
        <v>0</v>
      </c>
      <c r="K85" s="47">
        <f t="shared" si="109"/>
        <v>0</v>
      </c>
      <c r="L85" s="47">
        <f t="shared" si="110"/>
        <v>0</v>
      </c>
      <c r="M85" s="47">
        <f t="shared" si="111"/>
        <v>0</v>
      </c>
      <c r="N85" s="47">
        <f t="shared" si="112"/>
        <v>0</v>
      </c>
      <c r="O85" s="47">
        <f t="shared" si="113"/>
        <v>0</v>
      </c>
      <c r="P85" s="47">
        <v>0</v>
      </c>
      <c r="Q85" s="47">
        <f t="shared" si="114"/>
        <v>0</v>
      </c>
      <c r="R85" s="47">
        <v>0</v>
      </c>
      <c r="S85" s="47">
        <f t="shared" si="115"/>
        <v>0</v>
      </c>
      <c r="T85" s="47">
        <v>0</v>
      </c>
      <c r="U85" s="47">
        <f t="shared" si="116"/>
        <v>0</v>
      </c>
      <c r="V85" s="47">
        <v>0</v>
      </c>
      <c r="W85" s="47">
        <f t="shared" si="117"/>
        <v>0</v>
      </c>
      <c r="X85" s="47">
        <v>0</v>
      </c>
      <c r="Y85" s="47">
        <f t="shared" si="118"/>
        <v>0</v>
      </c>
      <c r="Z85" s="47">
        <f t="shared" si="119"/>
        <v>0</v>
      </c>
      <c r="AA85" s="47">
        <f t="shared" si="120"/>
        <v>0</v>
      </c>
      <c r="AB85" s="47">
        <f t="shared" si="121"/>
        <v>0</v>
      </c>
      <c r="AC85" s="47">
        <f t="shared" si="122"/>
        <v>0</v>
      </c>
      <c r="AD85" s="47">
        <v>0</v>
      </c>
      <c r="AE85" s="47">
        <f t="shared" si="123"/>
        <v>0</v>
      </c>
      <c r="AF85" s="47">
        <v>0</v>
      </c>
      <c r="AG85" s="47">
        <f t="shared" si="124"/>
        <v>0</v>
      </c>
      <c r="AH85" s="47">
        <v>0</v>
      </c>
      <c r="AI85" s="47">
        <f t="shared" si="125"/>
        <v>0</v>
      </c>
      <c r="AJ85" s="47">
        <v>0</v>
      </c>
      <c r="AK85" s="47">
        <f t="shared" si="126"/>
        <v>0</v>
      </c>
      <c r="AL85" s="47">
        <v>0</v>
      </c>
      <c r="AM85" s="47">
        <f t="shared" si="127"/>
        <v>0</v>
      </c>
      <c r="AN85" s="47">
        <v>0</v>
      </c>
      <c r="AO85" s="47">
        <f t="shared" si="128"/>
        <v>0</v>
      </c>
      <c r="AP85" s="47">
        <v>0</v>
      </c>
      <c r="AQ85" s="47">
        <f t="shared" si="129"/>
        <v>0</v>
      </c>
      <c r="AR85" s="47">
        <v>0</v>
      </c>
      <c r="AS85" s="47">
        <f t="shared" si="130"/>
        <v>0</v>
      </c>
      <c r="AT85" s="47">
        <v>0</v>
      </c>
      <c r="AU85" s="47">
        <f t="shared" si="131"/>
        <v>0</v>
      </c>
      <c r="AV85" s="47">
        <v>0</v>
      </c>
      <c r="AW85" s="47">
        <f t="shared" si="132"/>
        <v>0</v>
      </c>
      <c r="AX85" s="47">
        <v>0</v>
      </c>
      <c r="AY85" s="47">
        <f t="shared" si="133"/>
        <v>0</v>
      </c>
      <c r="AZ85" s="47">
        <v>0</v>
      </c>
      <c r="BA85" s="47">
        <f t="shared" si="134"/>
        <v>0</v>
      </c>
      <c r="BB85" s="48">
        <f t="shared" si="135"/>
        <v>0</v>
      </c>
      <c r="BC85" s="49">
        <f t="shared" si="136"/>
        <v>0</v>
      </c>
      <c r="BD85" s="7" t="e">
        <f t="shared" si="137"/>
        <v>#DIV/0!</v>
      </c>
      <c r="BE85" s="47">
        <f t="shared" si="138"/>
        <v>0</v>
      </c>
      <c r="BF85" s="47">
        <f t="shared" si="139"/>
        <v>0</v>
      </c>
      <c r="BG85" s="50">
        <f t="shared" si="140"/>
        <v>0</v>
      </c>
      <c r="BH85" s="50">
        <f t="shared" si="141"/>
        <v>0</v>
      </c>
      <c r="BI85" s="50">
        <f t="shared" si="142"/>
        <v>0</v>
      </c>
      <c r="BJ85" s="50">
        <f t="shared" si="143"/>
        <v>0</v>
      </c>
      <c r="BK85" s="50">
        <f t="shared" si="144"/>
        <v>0</v>
      </c>
      <c r="BL85" s="50">
        <f t="shared" si="145"/>
        <v>0</v>
      </c>
      <c r="BM85" s="51">
        <f t="shared" si="146"/>
        <v>0</v>
      </c>
      <c r="BN85" s="52">
        <f t="shared" si="147"/>
        <v>0</v>
      </c>
      <c r="BO85" s="52">
        <f t="shared" si="148"/>
        <v>0</v>
      </c>
      <c r="BP85" s="51">
        <f t="shared" si="149"/>
        <v>0.32</v>
      </c>
      <c r="BQ85" s="53">
        <f t="shared" si="150"/>
        <v>0</v>
      </c>
      <c r="BR85" s="53">
        <f t="shared" si="151"/>
        <v>0</v>
      </c>
      <c r="BS85" s="54">
        <f t="shared" si="152"/>
        <v>0</v>
      </c>
      <c r="BT85" s="55">
        <f t="shared" si="153"/>
        <v>0</v>
      </c>
      <c r="BU85" s="10" t="e">
        <f t="shared" si="154"/>
        <v>#DIV/0!</v>
      </c>
      <c r="BV85" s="3"/>
    </row>
    <row r="86" spans="1:74" ht="11.65" hidden="1">
      <c r="A86" s="646"/>
      <c r="B86" s="61"/>
      <c r="C86" s="56"/>
      <c r="D86" s="44"/>
      <c r="E86" s="7"/>
      <c r="F86" s="45"/>
      <c r="G86" s="46">
        <f t="shared" si="107"/>
        <v>0</v>
      </c>
      <c r="H86" s="7"/>
      <c r="I86" s="46">
        <f t="shared" si="108"/>
        <v>0</v>
      </c>
      <c r="J86" s="47">
        <v>0</v>
      </c>
      <c r="K86" s="47">
        <f t="shared" si="109"/>
        <v>0</v>
      </c>
      <c r="L86" s="47">
        <f t="shared" si="110"/>
        <v>0</v>
      </c>
      <c r="M86" s="47">
        <f t="shared" si="111"/>
        <v>0</v>
      </c>
      <c r="N86" s="47">
        <f t="shared" si="112"/>
        <v>0</v>
      </c>
      <c r="O86" s="47">
        <f t="shared" si="113"/>
        <v>0</v>
      </c>
      <c r="P86" s="47">
        <v>0</v>
      </c>
      <c r="Q86" s="47">
        <f t="shared" si="114"/>
        <v>0</v>
      </c>
      <c r="R86" s="47">
        <v>0</v>
      </c>
      <c r="S86" s="47">
        <f t="shared" si="115"/>
        <v>0</v>
      </c>
      <c r="T86" s="47">
        <v>0</v>
      </c>
      <c r="U86" s="47">
        <f t="shared" si="116"/>
        <v>0</v>
      </c>
      <c r="V86" s="47">
        <v>0</v>
      </c>
      <c r="W86" s="47">
        <f t="shared" si="117"/>
        <v>0</v>
      </c>
      <c r="X86" s="47">
        <v>0</v>
      </c>
      <c r="Y86" s="47">
        <f t="shared" si="118"/>
        <v>0</v>
      </c>
      <c r="Z86" s="47">
        <f t="shared" si="119"/>
        <v>0</v>
      </c>
      <c r="AA86" s="47">
        <f t="shared" si="120"/>
        <v>0</v>
      </c>
      <c r="AB86" s="47">
        <f t="shared" si="121"/>
        <v>0</v>
      </c>
      <c r="AC86" s="47">
        <f t="shared" si="122"/>
        <v>0</v>
      </c>
      <c r="AD86" s="47">
        <v>0</v>
      </c>
      <c r="AE86" s="47">
        <f t="shared" si="123"/>
        <v>0</v>
      </c>
      <c r="AF86" s="47">
        <v>0</v>
      </c>
      <c r="AG86" s="47">
        <f t="shared" si="124"/>
        <v>0</v>
      </c>
      <c r="AH86" s="47">
        <v>0</v>
      </c>
      <c r="AI86" s="47">
        <f t="shared" si="125"/>
        <v>0</v>
      </c>
      <c r="AJ86" s="47">
        <v>0</v>
      </c>
      <c r="AK86" s="47">
        <f t="shared" si="126"/>
        <v>0</v>
      </c>
      <c r="AL86" s="47">
        <v>0</v>
      </c>
      <c r="AM86" s="47">
        <f t="shared" si="127"/>
        <v>0</v>
      </c>
      <c r="AN86" s="47">
        <v>0</v>
      </c>
      <c r="AO86" s="47">
        <f t="shared" si="128"/>
        <v>0</v>
      </c>
      <c r="AP86" s="47">
        <v>0</v>
      </c>
      <c r="AQ86" s="47">
        <f t="shared" si="129"/>
        <v>0</v>
      </c>
      <c r="AR86" s="47">
        <v>0</v>
      </c>
      <c r="AS86" s="47">
        <f t="shared" si="130"/>
        <v>0</v>
      </c>
      <c r="AT86" s="47">
        <v>0</v>
      </c>
      <c r="AU86" s="47">
        <f t="shared" si="131"/>
        <v>0</v>
      </c>
      <c r="AV86" s="47">
        <v>0</v>
      </c>
      <c r="AW86" s="47">
        <f t="shared" si="132"/>
        <v>0</v>
      </c>
      <c r="AX86" s="47">
        <v>0</v>
      </c>
      <c r="AY86" s="47">
        <f t="shared" si="133"/>
        <v>0</v>
      </c>
      <c r="AZ86" s="47">
        <v>0</v>
      </c>
      <c r="BA86" s="47">
        <f t="shared" si="134"/>
        <v>0</v>
      </c>
      <c r="BB86" s="48">
        <f t="shared" si="135"/>
        <v>0</v>
      </c>
      <c r="BC86" s="49">
        <f t="shared" si="136"/>
        <v>0</v>
      </c>
      <c r="BD86" s="7" t="e">
        <f t="shared" si="137"/>
        <v>#DIV/0!</v>
      </c>
      <c r="BE86" s="47">
        <f t="shared" si="138"/>
        <v>0</v>
      </c>
      <c r="BF86" s="47">
        <f t="shared" si="139"/>
        <v>0</v>
      </c>
      <c r="BG86" s="50">
        <f t="shared" si="140"/>
        <v>0</v>
      </c>
      <c r="BH86" s="50">
        <f t="shared" si="141"/>
        <v>0</v>
      </c>
      <c r="BI86" s="50">
        <f t="shared" si="142"/>
        <v>0</v>
      </c>
      <c r="BJ86" s="50">
        <f t="shared" si="143"/>
        <v>0</v>
      </c>
      <c r="BK86" s="50">
        <f t="shared" si="144"/>
        <v>0</v>
      </c>
      <c r="BL86" s="50">
        <f t="shared" si="145"/>
        <v>0</v>
      </c>
      <c r="BM86" s="51">
        <f t="shared" si="146"/>
        <v>0</v>
      </c>
      <c r="BN86" s="52">
        <f t="shared" si="147"/>
        <v>0</v>
      </c>
      <c r="BO86" s="52">
        <f t="shared" si="148"/>
        <v>0</v>
      </c>
      <c r="BP86" s="51">
        <f t="shared" si="149"/>
        <v>0.32</v>
      </c>
      <c r="BQ86" s="53">
        <f t="shared" si="150"/>
        <v>0</v>
      </c>
      <c r="BR86" s="53">
        <f t="shared" si="151"/>
        <v>0</v>
      </c>
      <c r="BS86" s="54">
        <f t="shared" si="152"/>
        <v>0</v>
      </c>
      <c r="BT86" s="55">
        <f t="shared" si="153"/>
        <v>0</v>
      </c>
      <c r="BU86" s="10" t="e">
        <f t="shared" si="154"/>
        <v>#DIV/0!</v>
      </c>
      <c r="BV86" s="3"/>
    </row>
    <row r="87" spans="1:74" ht="11.65" hidden="1">
      <c r="A87" s="646"/>
      <c r="B87" s="61"/>
      <c r="C87" s="56"/>
      <c r="D87" s="44"/>
      <c r="E87" s="7"/>
      <c r="F87" s="45"/>
      <c r="G87" s="46">
        <f t="shared" si="107"/>
        <v>0</v>
      </c>
      <c r="H87" s="7"/>
      <c r="I87" s="46">
        <f t="shared" si="108"/>
        <v>0</v>
      </c>
      <c r="J87" s="47">
        <v>0</v>
      </c>
      <c r="K87" s="47">
        <f t="shared" si="109"/>
        <v>0</v>
      </c>
      <c r="L87" s="47">
        <f t="shared" si="110"/>
        <v>0</v>
      </c>
      <c r="M87" s="47">
        <f t="shared" si="111"/>
        <v>0</v>
      </c>
      <c r="N87" s="47">
        <f t="shared" si="112"/>
        <v>0</v>
      </c>
      <c r="O87" s="47">
        <f t="shared" si="113"/>
        <v>0</v>
      </c>
      <c r="P87" s="47">
        <v>0</v>
      </c>
      <c r="Q87" s="47">
        <f t="shared" si="114"/>
        <v>0</v>
      </c>
      <c r="R87" s="47">
        <v>0</v>
      </c>
      <c r="S87" s="47">
        <f t="shared" si="115"/>
        <v>0</v>
      </c>
      <c r="T87" s="47">
        <v>0</v>
      </c>
      <c r="U87" s="47">
        <f t="shared" si="116"/>
        <v>0</v>
      </c>
      <c r="V87" s="47">
        <v>0</v>
      </c>
      <c r="W87" s="47">
        <f t="shared" si="117"/>
        <v>0</v>
      </c>
      <c r="X87" s="47">
        <v>0</v>
      </c>
      <c r="Y87" s="47">
        <f t="shared" si="118"/>
        <v>0</v>
      </c>
      <c r="Z87" s="47">
        <f t="shared" si="119"/>
        <v>0</v>
      </c>
      <c r="AA87" s="47">
        <f t="shared" si="120"/>
        <v>0</v>
      </c>
      <c r="AB87" s="47">
        <f t="shared" si="121"/>
        <v>0</v>
      </c>
      <c r="AC87" s="47">
        <f t="shared" si="122"/>
        <v>0</v>
      </c>
      <c r="AD87" s="47">
        <v>0</v>
      </c>
      <c r="AE87" s="47">
        <f t="shared" si="123"/>
        <v>0</v>
      </c>
      <c r="AF87" s="47">
        <v>0</v>
      </c>
      <c r="AG87" s="47">
        <f t="shared" si="124"/>
        <v>0</v>
      </c>
      <c r="AH87" s="47">
        <v>0</v>
      </c>
      <c r="AI87" s="47">
        <f t="shared" si="125"/>
        <v>0</v>
      </c>
      <c r="AJ87" s="47">
        <v>0</v>
      </c>
      <c r="AK87" s="47">
        <f t="shared" si="126"/>
        <v>0</v>
      </c>
      <c r="AL87" s="47">
        <v>0</v>
      </c>
      <c r="AM87" s="47">
        <f t="shared" si="127"/>
        <v>0</v>
      </c>
      <c r="AN87" s="47">
        <v>0</v>
      </c>
      <c r="AO87" s="47">
        <f t="shared" si="128"/>
        <v>0</v>
      </c>
      <c r="AP87" s="47">
        <v>0</v>
      </c>
      <c r="AQ87" s="47">
        <f t="shared" si="129"/>
        <v>0</v>
      </c>
      <c r="AR87" s="47">
        <v>0</v>
      </c>
      <c r="AS87" s="47">
        <f t="shared" si="130"/>
        <v>0</v>
      </c>
      <c r="AT87" s="47">
        <v>0</v>
      </c>
      <c r="AU87" s="47">
        <f t="shared" si="131"/>
        <v>0</v>
      </c>
      <c r="AV87" s="47">
        <v>0</v>
      </c>
      <c r="AW87" s="47">
        <f t="shared" si="132"/>
        <v>0</v>
      </c>
      <c r="AX87" s="47">
        <v>0</v>
      </c>
      <c r="AY87" s="47">
        <f t="shared" si="133"/>
        <v>0</v>
      </c>
      <c r="AZ87" s="47">
        <v>0</v>
      </c>
      <c r="BA87" s="47">
        <f t="shared" si="134"/>
        <v>0</v>
      </c>
      <c r="BB87" s="48">
        <f t="shared" si="135"/>
        <v>0</v>
      </c>
      <c r="BC87" s="49">
        <f t="shared" si="136"/>
        <v>0</v>
      </c>
      <c r="BD87" s="7" t="e">
        <f t="shared" si="137"/>
        <v>#DIV/0!</v>
      </c>
      <c r="BE87" s="47">
        <f t="shared" si="138"/>
        <v>0</v>
      </c>
      <c r="BF87" s="47">
        <f t="shared" si="139"/>
        <v>0</v>
      </c>
      <c r="BG87" s="50">
        <f t="shared" si="140"/>
        <v>0</v>
      </c>
      <c r="BH87" s="50">
        <f t="shared" si="141"/>
        <v>0</v>
      </c>
      <c r="BI87" s="50">
        <f t="shared" si="142"/>
        <v>0</v>
      </c>
      <c r="BJ87" s="50">
        <f t="shared" si="143"/>
        <v>0</v>
      </c>
      <c r="BK87" s="50">
        <f t="shared" si="144"/>
        <v>0</v>
      </c>
      <c r="BL87" s="50">
        <f t="shared" si="145"/>
        <v>0</v>
      </c>
      <c r="BM87" s="51">
        <f t="shared" si="146"/>
        <v>0</v>
      </c>
      <c r="BN87" s="52">
        <f t="shared" si="147"/>
        <v>0</v>
      </c>
      <c r="BO87" s="52">
        <f t="shared" si="148"/>
        <v>0</v>
      </c>
      <c r="BP87" s="51">
        <f t="shared" si="149"/>
        <v>0.32</v>
      </c>
      <c r="BQ87" s="53">
        <f t="shared" si="150"/>
        <v>0</v>
      </c>
      <c r="BR87" s="53">
        <f t="shared" si="151"/>
        <v>0</v>
      </c>
      <c r="BS87" s="54">
        <f t="shared" si="152"/>
        <v>0</v>
      </c>
      <c r="BT87" s="55">
        <f t="shared" si="153"/>
        <v>0</v>
      </c>
      <c r="BU87" s="10" t="e">
        <f t="shared" si="154"/>
        <v>#DIV/0!</v>
      </c>
      <c r="BV87" s="3"/>
    </row>
    <row r="88" spans="1:74" ht="11.65" hidden="1">
      <c r="A88" s="646"/>
      <c r="B88" s="61"/>
      <c r="C88" s="56"/>
      <c r="D88" s="44"/>
      <c r="E88" s="7"/>
      <c r="F88" s="45"/>
      <c r="G88" s="46">
        <f t="shared" si="107"/>
        <v>0</v>
      </c>
      <c r="H88" s="7"/>
      <c r="I88" s="46">
        <f t="shared" si="108"/>
        <v>0</v>
      </c>
      <c r="J88" s="47">
        <v>0</v>
      </c>
      <c r="K88" s="47">
        <f t="shared" si="109"/>
        <v>0</v>
      </c>
      <c r="L88" s="47">
        <f t="shared" si="110"/>
        <v>0</v>
      </c>
      <c r="M88" s="47">
        <f t="shared" si="111"/>
        <v>0</v>
      </c>
      <c r="N88" s="47">
        <f t="shared" si="112"/>
        <v>0</v>
      </c>
      <c r="O88" s="47">
        <f t="shared" si="113"/>
        <v>0</v>
      </c>
      <c r="P88" s="47">
        <v>0</v>
      </c>
      <c r="Q88" s="47">
        <f t="shared" si="114"/>
        <v>0</v>
      </c>
      <c r="R88" s="47">
        <v>0</v>
      </c>
      <c r="S88" s="47">
        <f t="shared" si="115"/>
        <v>0</v>
      </c>
      <c r="T88" s="47">
        <v>0</v>
      </c>
      <c r="U88" s="47">
        <f t="shared" si="116"/>
        <v>0</v>
      </c>
      <c r="V88" s="47">
        <v>0</v>
      </c>
      <c r="W88" s="47">
        <f t="shared" si="117"/>
        <v>0</v>
      </c>
      <c r="X88" s="47">
        <v>0</v>
      </c>
      <c r="Y88" s="47">
        <f t="shared" si="118"/>
        <v>0</v>
      </c>
      <c r="Z88" s="47">
        <f t="shared" si="119"/>
        <v>0</v>
      </c>
      <c r="AA88" s="47">
        <f t="shared" si="120"/>
        <v>0</v>
      </c>
      <c r="AB88" s="47">
        <f t="shared" si="121"/>
        <v>0</v>
      </c>
      <c r="AC88" s="47">
        <f t="shared" si="122"/>
        <v>0</v>
      </c>
      <c r="AD88" s="47">
        <v>0</v>
      </c>
      <c r="AE88" s="47">
        <f t="shared" si="123"/>
        <v>0</v>
      </c>
      <c r="AF88" s="47">
        <v>0</v>
      </c>
      <c r="AG88" s="47">
        <f t="shared" si="124"/>
        <v>0</v>
      </c>
      <c r="AH88" s="47">
        <v>0</v>
      </c>
      <c r="AI88" s="47">
        <f t="shared" si="125"/>
        <v>0</v>
      </c>
      <c r="AJ88" s="47">
        <v>0</v>
      </c>
      <c r="AK88" s="47">
        <f t="shared" si="126"/>
        <v>0</v>
      </c>
      <c r="AL88" s="47">
        <v>0</v>
      </c>
      <c r="AM88" s="47">
        <f t="shared" si="127"/>
        <v>0</v>
      </c>
      <c r="AN88" s="47">
        <v>0</v>
      </c>
      <c r="AO88" s="47">
        <f t="shared" si="128"/>
        <v>0</v>
      </c>
      <c r="AP88" s="47">
        <v>0</v>
      </c>
      <c r="AQ88" s="47">
        <f t="shared" si="129"/>
        <v>0</v>
      </c>
      <c r="AR88" s="47">
        <v>0</v>
      </c>
      <c r="AS88" s="47">
        <f t="shared" si="130"/>
        <v>0</v>
      </c>
      <c r="AT88" s="47">
        <v>0</v>
      </c>
      <c r="AU88" s="47">
        <f t="shared" si="131"/>
        <v>0</v>
      </c>
      <c r="AV88" s="47">
        <v>0</v>
      </c>
      <c r="AW88" s="47">
        <f t="shared" si="132"/>
        <v>0</v>
      </c>
      <c r="AX88" s="47">
        <v>0</v>
      </c>
      <c r="AY88" s="47">
        <f t="shared" si="133"/>
        <v>0</v>
      </c>
      <c r="AZ88" s="47">
        <v>0</v>
      </c>
      <c r="BA88" s="47">
        <f t="shared" si="134"/>
        <v>0</v>
      </c>
      <c r="BB88" s="48">
        <f t="shared" si="135"/>
        <v>0</v>
      </c>
      <c r="BC88" s="49">
        <f t="shared" si="136"/>
        <v>0</v>
      </c>
      <c r="BD88" s="7" t="e">
        <f t="shared" si="137"/>
        <v>#DIV/0!</v>
      </c>
      <c r="BE88" s="47">
        <f t="shared" si="138"/>
        <v>0</v>
      </c>
      <c r="BF88" s="47">
        <f t="shared" si="139"/>
        <v>0</v>
      </c>
      <c r="BG88" s="50">
        <f t="shared" si="140"/>
        <v>0</v>
      </c>
      <c r="BH88" s="50">
        <f t="shared" si="141"/>
        <v>0</v>
      </c>
      <c r="BI88" s="50">
        <f t="shared" si="142"/>
        <v>0</v>
      </c>
      <c r="BJ88" s="50">
        <f t="shared" si="143"/>
        <v>0</v>
      </c>
      <c r="BK88" s="50">
        <f t="shared" si="144"/>
        <v>0</v>
      </c>
      <c r="BL88" s="50">
        <f t="shared" si="145"/>
        <v>0</v>
      </c>
      <c r="BM88" s="51">
        <f t="shared" si="146"/>
        <v>0</v>
      </c>
      <c r="BN88" s="52">
        <f t="shared" si="147"/>
        <v>0</v>
      </c>
      <c r="BO88" s="52">
        <f t="shared" si="148"/>
        <v>0</v>
      </c>
      <c r="BP88" s="51">
        <f t="shared" si="149"/>
        <v>0.32</v>
      </c>
      <c r="BQ88" s="53">
        <f t="shared" si="150"/>
        <v>0</v>
      </c>
      <c r="BR88" s="53">
        <f t="shared" si="151"/>
        <v>0</v>
      </c>
      <c r="BS88" s="54">
        <f t="shared" si="152"/>
        <v>0</v>
      </c>
      <c r="BT88" s="55">
        <f t="shared" si="153"/>
        <v>0</v>
      </c>
      <c r="BU88" s="10" t="e">
        <f t="shared" si="154"/>
        <v>#DIV/0!</v>
      </c>
      <c r="BV88" s="3"/>
    </row>
    <row r="89" spans="1:74" ht="11.65" hidden="1">
      <c r="A89" s="646"/>
      <c r="B89" s="61"/>
      <c r="C89" s="56"/>
      <c r="D89" s="44"/>
      <c r="E89" s="7"/>
      <c r="F89" s="45"/>
      <c r="G89" s="46">
        <f t="shared" si="107"/>
        <v>0</v>
      </c>
      <c r="H89" s="7"/>
      <c r="I89" s="46">
        <f t="shared" si="108"/>
        <v>0</v>
      </c>
      <c r="J89" s="47">
        <v>0</v>
      </c>
      <c r="K89" s="47">
        <f t="shared" si="109"/>
        <v>0</v>
      </c>
      <c r="L89" s="47">
        <f t="shared" si="110"/>
        <v>0</v>
      </c>
      <c r="M89" s="47">
        <f t="shared" si="111"/>
        <v>0</v>
      </c>
      <c r="N89" s="47">
        <f t="shared" si="112"/>
        <v>0</v>
      </c>
      <c r="O89" s="47">
        <f t="shared" si="113"/>
        <v>0</v>
      </c>
      <c r="P89" s="47">
        <v>0</v>
      </c>
      <c r="Q89" s="47">
        <f t="shared" si="114"/>
        <v>0</v>
      </c>
      <c r="R89" s="47">
        <v>0</v>
      </c>
      <c r="S89" s="47">
        <f t="shared" si="115"/>
        <v>0</v>
      </c>
      <c r="T89" s="47">
        <v>0</v>
      </c>
      <c r="U89" s="47">
        <f t="shared" si="116"/>
        <v>0</v>
      </c>
      <c r="V89" s="47">
        <v>0</v>
      </c>
      <c r="W89" s="47">
        <f t="shared" si="117"/>
        <v>0</v>
      </c>
      <c r="X89" s="47">
        <v>0</v>
      </c>
      <c r="Y89" s="47">
        <f t="shared" si="118"/>
        <v>0</v>
      </c>
      <c r="Z89" s="47">
        <f t="shared" si="119"/>
        <v>0</v>
      </c>
      <c r="AA89" s="47">
        <f t="shared" si="120"/>
        <v>0</v>
      </c>
      <c r="AB89" s="47">
        <f t="shared" si="121"/>
        <v>0</v>
      </c>
      <c r="AC89" s="47">
        <f t="shared" si="122"/>
        <v>0</v>
      </c>
      <c r="AD89" s="47">
        <v>0</v>
      </c>
      <c r="AE89" s="47">
        <f t="shared" si="123"/>
        <v>0</v>
      </c>
      <c r="AF89" s="47">
        <v>0</v>
      </c>
      <c r="AG89" s="47">
        <f t="shared" si="124"/>
        <v>0</v>
      </c>
      <c r="AH89" s="47">
        <v>0</v>
      </c>
      <c r="AI89" s="47">
        <f t="shared" si="125"/>
        <v>0</v>
      </c>
      <c r="AJ89" s="47">
        <v>0</v>
      </c>
      <c r="AK89" s="47">
        <f t="shared" si="126"/>
        <v>0</v>
      </c>
      <c r="AL89" s="47">
        <v>0</v>
      </c>
      <c r="AM89" s="47">
        <f t="shared" si="127"/>
        <v>0</v>
      </c>
      <c r="AN89" s="47">
        <v>0</v>
      </c>
      <c r="AO89" s="47">
        <f t="shared" si="128"/>
        <v>0</v>
      </c>
      <c r="AP89" s="47">
        <v>0</v>
      </c>
      <c r="AQ89" s="47">
        <f t="shared" si="129"/>
        <v>0</v>
      </c>
      <c r="AR89" s="47">
        <v>0</v>
      </c>
      <c r="AS89" s="47">
        <f t="shared" si="130"/>
        <v>0</v>
      </c>
      <c r="AT89" s="47">
        <v>0</v>
      </c>
      <c r="AU89" s="47">
        <f t="shared" si="131"/>
        <v>0</v>
      </c>
      <c r="AV89" s="47">
        <v>0</v>
      </c>
      <c r="AW89" s="47">
        <f t="shared" si="132"/>
        <v>0</v>
      </c>
      <c r="AX89" s="47">
        <v>0</v>
      </c>
      <c r="AY89" s="47">
        <f t="shared" si="133"/>
        <v>0</v>
      </c>
      <c r="AZ89" s="47">
        <v>0</v>
      </c>
      <c r="BA89" s="47">
        <f t="shared" si="134"/>
        <v>0</v>
      </c>
      <c r="BB89" s="48">
        <f t="shared" si="135"/>
        <v>0</v>
      </c>
      <c r="BC89" s="49">
        <f t="shared" si="136"/>
        <v>0</v>
      </c>
      <c r="BD89" s="7" t="e">
        <f t="shared" si="137"/>
        <v>#DIV/0!</v>
      </c>
      <c r="BE89" s="47">
        <f t="shared" si="138"/>
        <v>0</v>
      </c>
      <c r="BF89" s="47">
        <f t="shared" si="139"/>
        <v>0</v>
      </c>
      <c r="BG89" s="50">
        <f t="shared" si="140"/>
        <v>0</v>
      </c>
      <c r="BH89" s="50">
        <f t="shared" si="141"/>
        <v>0</v>
      </c>
      <c r="BI89" s="50">
        <f t="shared" si="142"/>
        <v>0</v>
      </c>
      <c r="BJ89" s="50">
        <f t="shared" si="143"/>
        <v>0</v>
      </c>
      <c r="BK89" s="50">
        <f t="shared" si="144"/>
        <v>0</v>
      </c>
      <c r="BL89" s="50">
        <f t="shared" si="145"/>
        <v>0</v>
      </c>
      <c r="BM89" s="51">
        <f t="shared" si="146"/>
        <v>0</v>
      </c>
      <c r="BN89" s="52">
        <f t="shared" si="147"/>
        <v>0</v>
      </c>
      <c r="BO89" s="52">
        <f t="shared" si="148"/>
        <v>0</v>
      </c>
      <c r="BP89" s="51">
        <f t="shared" si="149"/>
        <v>0.32</v>
      </c>
      <c r="BQ89" s="53">
        <f t="shared" si="150"/>
        <v>0</v>
      </c>
      <c r="BR89" s="53">
        <f t="shared" si="151"/>
        <v>0</v>
      </c>
      <c r="BS89" s="54">
        <f t="shared" si="152"/>
        <v>0</v>
      </c>
      <c r="BT89" s="55">
        <f t="shared" si="153"/>
        <v>0</v>
      </c>
      <c r="BU89" s="10" t="e">
        <f t="shared" si="154"/>
        <v>#DIV/0!</v>
      </c>
      <c r="BV89" s="3"/>
    </row>
    <row r="90" spans="1:74" ht="11.65" hidden="1">
      <c r="A90" s="646"/>
      <c r="B90" s="61"/>
      <c r="C90" s="56"/>
      <c r="D90" s="44"/>
      <c r="E90" s="7"/>
      <c r="F90" s="45"/>
      <c r="G90" s="46">
        <f t="shared" si="107"/>
        <v>0</v>
      </c>
      <c r="H90" s="7"/>
      <c r="I90" s="46">
        <f t="shared" si="108"/>
        <v>0</v>
      </c>
      <c r="J90" s="47">
        <v>0</v>
      </c>
      <c r="K90" s="47">
        <f t="shared" si="109"/>
        <v>0</v>
      </c>
      <c r="L90" s="47">
        <f t="shared" si="110"/>
        <v>0</v>
      </c>
      <c r="M90" s="47">
        <f t="shared" si="111"/>
        <v>0</v>
      </c>
      <c r="N90" s="47">
        <f t="shared" si="112"/>
        <v>0</v>
      </c>
      <c r="O90" s="47">
        <f t="shared" si="113"/>
        <v>0</v>
      </c>
      <c r="P90" s="47">
        <v>0</v>
      </c>
      <c r="Q90" s="47">
        <f t="shared" si="114"/>
        <v>0</v>
      </c>
      <c r="R90" s="47">
        <v>0</v>
      </c>
      <c r="S90" s="47">
        <f t="shared" si="115"/>
        <v>0</v>
      </c>
      <c r="T90" s="47">
        <v>0</v>
      </c>
      <c r="U90" s="47">
        <f t="shared" si="116"/>
        <v>0</v>
      </c>
      <c r="V90" s="47">
        <v>0</v>
      </c>
      <c r="W90" s="47">
        <f t="shared" si="117"/>
        <v>0</v>
      </c>
      <c r="X90" s="47">
        <v>0</v>
      </c>
      <c r="Y90" s="47">
        <f t="shared" si="118"/>
        <v>0</v>
      </c>
      <c r="Z90" s="47">
        <f t="shared" si="119"/>
        <v>0</v>
      </c>
      <c r="AA90" s="47">
        <f t="shared" si="120"/>
        <v>0</v>
      </c>
      <c r="AB90" s="47">
        <f t="shared" si="121"/>
        <v>0</v>
      </c>
      <c r="AC90" s="47">
        <f t="shared" si="122"/>
        <v>0</v>
      </c>
      <c r="AD90" s="47">
        <v>0</v>
      </c>
      <c r="AE90" s="47">
        <f t="shared" si="123"/>
        <v>0</v>
      </c>
      <c r="AF90" s="47">
        <v>0</v>
      </c>
      <c r="AG90" s="47">
        <f t="shared" si="124"/>
        <v>0</v>
      </c>
      <c r="AH90" s="47">
        <v>0</v>
      </c>
      <c r="AI90" s="47">
        <f t="shared" si="125"/>
        <v>0</v>
      </c>
      <c r="AJ90" s="47">
        <v>0</v>
      </c>
      <c r="AK90" s="47">
        <f t="shared" si="126"/>
        <v>0</v>
      </c>
      <c r="AL90" s="47">
        <v>0</v>
      </c>
      <c r="AM90" s="47">
        <f t="shared" si="127"/>
        <v>0</v>
      </c>
      <c r="AN90" s="47">
        <v>0</v>
      </c>
      <c r="AO90" s="47">
        <f t="shared" si="128"/>
        <v>0</v>
      </c>
      <c r="AP90" s="47">
        <v>0</v>
      </c>
      <c r="AQ90" s="47">
        <f t="shared" si="129"/>
        <v>0</v>
      </c>
      <c r="AR90" s="47">
        <v>0</v>
      </c>
      <c r="AS90" s="47">
        <f t="shared" si="130"/>
        <v>0</v>
      </c>
      <c r="AT90" s="47">
        <v>0</v>
      </c>
      <c r="AU90" s="47">
        <f t="shared" si="131"/>
        <v>0</v>
      </c>
      <c r="AV90" s="47">
        <v>0</v>
      </c>
      <c r="AW90" s="47">
        <f t="shared" si="132"/>
        <v>0</v>
      </c>
      <c r="AX90" s="47">
        <v>0</v>
      </c>
      <c r="AY90" s="47">
        <f t="shared" si="133"/>
        <v>0</v>
      </c>
      <c r="AZ90" s="47">
        <v>0</v>
      </c>
      <c r="BA90" s="47">
        <f t="shared" si="134"/>
        <v>0</v>
      </c>
      <c r="BB90" s="48">
        <f t="shared" si="135"/>
        <v>0</v>
      </c>
      <c r="BC90" s="49">
        <f t="shared" si="136"/>
        <v>0</v>
      </c>
      <c r="BD90" s="7" t="e">
        <f t="shared" si="137"/>
        <v>#DIV/0!</v>
      </c>
      <c r="BE90" s="47">
        <f t="shared" si="138"/>
        <v>0</v>
      </c>
      <c r="BF90" s="47">
        <f t="shared" si="139"/>
        <v>0</v>
      </c>
      <c r="BG90" s="50">
        <f t="shared" si="140"/>
        <v>0</v>
      </c>
      <c r="BH90" s="50">
        <f t="shared" si="141"/>
        <v>0</v>
      </c>
      <c r="BI90" s="50">
        <f t="shared" si="142"/>
        <v>0</v>
      </c>
      <c r="BJ90" s="50">
        <f t="shared" si="143"/>
        <v>0</v>
      </c>
      <c r="BK90" s="50">
        <f t="shared" si="144"/>
        <v>0</v>
      </c>
      <c r="BL90" s="50">
        <f t="shared" si="145"/>
        <v>0</v>
      </c>
      <c r="BM90" s="51">
        <f t="shared" si="146"/>
        <v>0</v>
      </c>
      <c r="BN90" s="52">
        <f t="shared" si="147"/>
        <v>0</v>
      </c>
      <c r="BO90" s="52">
        <f t="shared" si="148"/>
        <v>0</v>
      </c>
      <c r="BP90" s="51">
        <f t="shared" si="149"/>
        <v>0.32</v>
      </c>
      <c r="BQ90" s="53">
        <f t="shared" si="150"/>
        <v>0</v>
      </c>
      <c r="BR90" s="53">
        <f t="shared" si="151"/>
        <v>0</v>
      </c>
      <c r="BS90" s="54">
        <f t="shared" si="152"/>
        <v>0</v>
      </c>
      <c r="BT90" s="55">
        <f t="shared" si="153"/>
        <v>0</v>
      </c>
      <c r="BU90" s="10" t="e">
        <f t="shared" si="154"/>
        <v>#DIV/0!</v>
      </c>
      <c r="BV90" s="3"/>
    </row>
    <row r="91" spans="1:74" ht="11.65" hidden="1">
      <c r="A91" s="646"/>
      <c r="B91" s="61"/>
      <c r="C91" s="56"/>
      <c r="D91" s="44"/>
      <c r="E91" s="7"/>
      <c r="F91" s="45"/>
      <c r="G91" s="46">
        <f t="shared" si="107"/>
        <v>0</v>
      </c>
      <c r="H91" s="7"/>
      <c r="I91" s="46">
        <f t="shared" si="108"/>
        <v>0</v>
      </c>
      <c r="J91" s="47">
        <v>0</v>
      </c>
      <c r="K91" s="47">
        <f t="shared" si="109"/>
        <v>0</v>
      </c>
      <c r="L91" s="47">
        <f t="shared" si="110"/>
        <v>0</v>
      </c>
      <c r="M91" s="47">
        <f t="shared" si="111"/>
        <v>0</v>
      </c>
      <c r="N91" s="47">
        <f t="shared" si="112"/>
        <v>0</v>
      </c>
      <c r="O91" s="47">
        <f t="shared" si="113"/>
        <v>0</v>
      </c>
      <c r="P91" s="47">
        <v>0</v>
      </c>
      <c r="Q91" s="47">
        <f t="shared" si="114"/>
        <v>0</v>
      </c>
      <c r="R91" s="47">
        <v>0</v>
      </c>
      <c r="S91" s="47">
        <f t="shared" si="115"/>
        <v>0</v>
      </c>
      <c r="T91" s="47">
        <v>0</v>
      </c>
      <c r="U91" s="47">
        <f t="shared" si="116"/>
        <v>0</v>
      </c>
      <c r="V91" s="47">
        <v>0</v>
      </c>
      <c r="W91" s="47">
        <f t="shared" si="117"/>
        <v>0</v>
      </c>
      <c r="X91" s="47">
        <v>0</v>
      </c>
      <c r="Y91" s="47">
        <f t="shared" si="118"/>
        <v>0</v>
      </c>
      <c r="Z91" s="47">
        <f t="shared" si="119"/>
        <v>0</v>
      </c>
      <c r="AA91" s="47">
        <f t="shared" si="120"/>
        <v>0</v>
      </c>
      <c r="AB91" s="47">
        <f t="shared" si="121"/>
        <v>0</v>
      </c>
      <c r="AC91" s="47">
        <f t="shared" si="122"/>
        <v>0</v>
      </c>
      <c r="AD91" s="47">
        <v>0</v>
      </c>
      <c r="AE91" s="47">
        <f t="shared" si="123"/>
        <v>0</v>
      </c>
      <c r="AF91" s="47">
        <v>0</v>
      </c>
      <c r="AG91" s="47">
        <f t="shared" si="124"/>
        <v>0</v>
      </c>
      <c r="AH91" s="47">
        <v>0</v>
      </c>
      <c r="AI91" s="47">
        <f t="shared" si="125"/>
        <v>0</v>
      </c>
      <c r="AJ91" s="47">
        <v>0</v>
      </c>
      <c r="AK91" s="47">
        <f t="shared" si="126"/>
        <v>0</v>
      </c>
      <c r="AL91" s="47">
        <v>0</v>
      </c>
      <c r="AM91" s="47">
        <f t="shared" si="127"/>
        <v>0</v>
      </c>
      <c r="AN91" s="47">
        <v>0</v>
      </c>
      <c r="AO91" s="47">
        <f t="shared" si="128"/>
        <v>0</v>
      </c>
      <c r="AP91" s="47">
        <v>0</v>
      </c>
      <c r="AQ91" s="47">
        <f t="shared" si="129"/>
        <v>0</v>
      </c>
      <c r="AR91" s="47">
        <v>0</v>
      </c>
      <c r="AS91" s="47">
        <f t="shared" si="130"/>
        <v>0</v>
      </c>
      <c r="AT91" s="47">
        <v>0</v>
      </c>
      <c r="AU91" s="47">
        <f t="shared" si="131"/>
        <v>0</v>
      </c>
      <c r="AV91" s="47">
        <v>0</v>
      </c>
      <c r="AW91" s="47">
        <f t="shared" si="132"/>
        <v>0</v>
      </c>
      <c r="AX91" s="47">
        <v>0</v>
      </c>
      <c r="AY91" s="47">
        <f t="shared" si="133"/>
        <v>0</v>
      </c>
      <c r="AZ91" s="47">
        <v>0</v>
      </c>
      <c r="BA91" s="47">
        <f t="shared" si="134"/>
        <v>0</v>
      </c>
      <c r="BB91" s="48">
        <f t="shared" si="135"/>
        <v>0</v>
      </c>
      <c r="BC91" s="49">
        <f t="shared" si="136"/>
        <v>0</v>
      </c>
      <c r="BD91" s="7" t="e">
        <f t="shared" si="137"/>
        <v>#DIV/0!</v>
      </c>
      <c r="BE91" s="47">
        <f t="shared" si="138"/>
        <v>0</v>
      </c>
      <c r="BF91" s="47">
        <f t="shared" si="139"/>
        <v>0</v>
      </c>
      <c r="BG91" s="50">
        <f t="shared" si="140"/>
        <v>0</v>
      </c>
      <c r="BH91" s="50">
        <f t="shared" si="141"/>
        <v>0</v>
      </c>
      <c r="BI91" s="50">
        <f t="shared" si="142"/>
        <v>0</v>
      </c>
      <c r="BJ91" s="50">
        <f t="shared" si="143"/>
        <v>0</v>
      </c>
      <c r="BK91" s="50">
        <f t="shared" si="144"/>
        <v>0</v>
      </c>
      <c r="BL91" s="50">
        <f t="shared" si="145"/>
        <v>0</v>
      </c>
      <c r="BM91" s="51">
        <f t="shared" si="146"/>
        <v>0</v>
      </c>
      <c r="BN91" s="52">
        <f t="shared" si="147"/>
        <v>0</v>
      </c>
      <c r="BO91" s="52">
        <f t="shared" si="148"/>
        <v>0</v>
      </c>
      <c r="BP91" s="51">
        <f t="shared" si="149"/>
        <v>0.32</v>
      </c>
      <c r="BQ91" s="53">
        <f t="shared" si="150"/>
        <v>0</v>
      </c>
      <c r="BR91" s="53">
        <f t="shared" si="151"/>
        <v>0</v>
      </c>
      <c r="BS91" s="54">
        <f t="shared" si="152"/>
        <v>0</v>
      </c>
      <c r="BT91" s="55">
        <f t="shared" si="153"/>
        <v>0</v>
      </c>
      <c r="BU91" s="10" t="e">
        <f t="shared" si="154"/>
        <v>#DIV/0!</v>
      </c>
      <c r="BV91" s="3"/>
    </row>
    <row r="92" spans="1:74" ht="11.65" hidden="1">
      <c r="A92" s="646"/>
      <c r="B92" s="61"/>
      <c r="C92" s="56"/>
      <c r="D92" s="44"/>
      <c r="E92" s="7"/>
      <c r="F92" s="45"/>
      <c r="G92" s="46">
        <f t="shared" si="107"/>
        <v>0</v>
      </c>
      <c r="H92" s="7"/>
      <c r="I92" s="46">
        <f t="shared" si="108"/>
        <v>0</v>
      </c>
      <c r="J92" s="47">
        <v>0</v>
      </c>
      <c r="K92" s="47">
        <f t="shared" si="109"/>
        <v>0</v>
      </c>
      <c r="L92" s="47">
        <f t="shared" si="110"/>
        <v>0</v>
      </c>
      <c r="M92" s="47">
        <f t="shared" si="111"/>
        <v>0</v>
      </c>
      <c r="N92" s="47">
        <f t="shared" si="112"/>
        <v>0</v>
      </c>
      <c r="O92" s="47">
        <f t="shared" si="113"/>
        <v>0</v>
      </c>
      <c r="P92" s="47">
        <v>0</v>
      </c>
      <c r="Q92" s="47">
        <f t="shared" si="114"/>
        <v>0</v>
      </c>
      <c r="R92" s="47">
        <v>0</v>
      </c>
      <c r="S92" s="47">
        <f t="shared" si="115"/>
        <v>0</v>
      </c>
      <c r="T92" s="47">
        <v>0</v>
      </c>
      <c r="U92" s="47">
        <f t="shared" si="116"/>
        <v>0</v>
      </c>
      <c r="V92" s="47">
        <v>0</v>
      </c>
      <c r="W92" s="47">
        <f t="shared" si="117"/>
        <v>0</v>
      </c>
      <c r="X92" s="47">
        <v>0</v>
      </c>
      <c r="Y92" s="47">
        <f t="shared" si="118"/>
        <v>0</v>
      </c>
      <c r="Z92" s="47">
        <f t="shared" si="119"/>
        <v>0</v>
      </c>
      <c r="AA92" s="47">
        <f t="shared" si="120"/>
        <v>0</v>
      </c>
      <c r="AB92" s="47">
        <f t="shared" si="121"/>
        <v>0</v>
      </c>
      <c r="AC92" s="47">
        <f t="shared" si="122"/>
        <v>0</v>
      </c>
      <c r="AD92" s="47">
        <v>0</v>
      </c>
      <c r="AE92" s="47">
        <f t="shared" si="123"/>
        <v>0</v>
      </c>
      <c r="AF92" s="47">
        <v>0</v>
      </c>
      <c r="AG92" s="47">
        <f t="shared" si="124"/>
        <v>0</v>
      </c>
      <c r="AH92" s="47">
        <v>0</v>
      </c>
      <c r="AI92" s="47">
        <f t="shared" si="125"/>
        <v>0</v>
      </c>
      <c r="AJ92" s="47">
        <v>0</v>
      </c>
      <c r="AK92" s="47">
        <f t="shared" si="126"/>
        <v>0</v>
      </c>
      <c r="AL92" s="47">
        <v>0</v>
      </c>
      <c r="AM92" s="47">
        <f t="shared" si="127"/>
        <v>0</v>
      </c>
      <c r="AN92" s="47">
        <v>0</v>
      </c>
      <c r="AO92" s="47">
        <f t="shared" si="128"/>
        <v>0</v>
      </c>
      <c r="AP92" s="47">
        <v>0</v>
      </c>
      <c r="AQ92" s="47">
        <f t="shared" si="129"/>
        <v>0</v>
      </c>
      <c r="AR92" s="47">
        <v>0</v>
      </c>
      <c r="AS92" s="47">
        <f t="shared" si="130"/>
        <v>0</v>
      </c>
      <c r="AT92" s="47">
        <v>0</v>
      </c>
      <c r="AU92" s="47">
        <f t="shared" si="131"/>
        <v>0</v>
      </c>
      <c r="AV92" s="47">
        <v>0</v>
      </c>
      <c r="AW92" s="47">
        <f t="shared" si="132"/>
        <v>0</v>
      </c>
      <c r="AX92" s="47">
        <v>0</v>
      </c>
      <c r="AY92" s="47">
        <f t="shared" si="133"/>
        <v>0</v>
      </c>
      <c r="AZ92" s="47">
        <v>0</v>
      </c>
      <c r="BA92" s="47">
        <f t="shared" si="134"/>
        <v>0</v>
      </c>
      <c r="BB92" s="48">
        <f t="shared" si="135"/>
        <v>0</v>
      </c>
      <c r="BC92" s="49">
        <f t="shared" si="136"/>
        <v>0</v>
      </c>
      <c r="BD92" s="7" t="e">
        <f t="shared" si="137"/>
        <v>#DIV/0!</v>
      </c>
      <c r="BE92" s="47">
        <f t="shared" si="138"/>
        <v>0</v>
      </c>
      <c r="BF92" s="47">
        <f t="shared" si="139"/>
        <v>0</v>
      </c>
      <c r="BG92" s="50">
        <f t="shared" si="140"/>
        <v>0</v>
      </c>
      <c r="BH92" s="50">
        <f t="shared" si="141"/>
        <v>0</v>
      </c>
      <c r="BI92" s="50">
        <f t="shared" si="142"/>
        <v>0</v>
      </c>
      <c r="BJ92" s="50">
        <f t="shared" si="143"/>
        <v>0</v>
      </c>
      <c r="BK92" s="50">
        <f t="shared" si="144"/>
        <v>0</v>
      </c>
      <c r="BL92" s="50">
        <f t="shared" si="145"/>
        <v>0</v>
      </c>
      <c r="BM92" s="51">
        <f t="shared" si="146"/>
        <v>0</v>
      </c>
      <c r="BN92" s="52">
        <f t="shared" si="147"/>
        <v>0</v>
      </c>
      <c r="BO92" s="52">
        <f t="shared" si="148"/>
        <v>0</v>
      </c>
      <c r="BP92" s="51">
        <f t="shared" si="149"/>
        <v>0.32</v>
      </c>
      <c r="BQ92" s="53">
        <f t="shared" si="150"/>
        <v>0</v>
      </c>
      <c r="BR92" s="53">
        <f t="shared" si="151"/>
        <v>0</v>
      </c>
      <c r="BS92" s="54">
        <f t="shared" si="152"/>
        <v>0</v>
      </c>
      <c r="BT92" s="55">
        <f t="shared" si="153"/>
        <v>0</v>
      </c>
      <c r="BU92" s="10" t="e">
        <f t="shared" si="154"/>
        <v>#DIV/0!</v>
      </c>
      <c r="BV92" s="3"/>
    </row>
    <row r="93" spans="1:74" ht="11.65" hidden="1">
      <c r="A93" s="646"/>
      <c r="B93" s="61"/>
      <c r="C93" s="56"/>
      <c r="D93" s="44"/>
      <c r="E93" s="7"/>
      <c r="F93" s="45"/>
      <c r="G93" s="46">
        <f t="shared" si="107"/>
        <v>0</v>
      </c>
      <c r="H93" s="7"/>
      <c r="I93" s="46">
        <f t="shared" si="108"/>
        <v>0</v>
      </c>
      <c r="J93" s="47">
        <v>0</v>
      </c>
      <c r="K93" s="47">
        <f t="shared" si="109"/>
        <v>0</v>
      </c>
      <c r="L93" s="47">
        <f t="shared" si="110"/>
        <v>0</v>
      </c>
      <c r="M93" s="47">
        <f t="shared" si="111"/>
        <v>0</v>
      </c>
      <c r="N93" s="47">
        <f t="shared" si="112"/>
        <v>0</v>
      </c>
      <c r="O93" s="47">
        <f t="shared" si="113"/>
        <v>0</v>
      </c>
      <c r="P93" s="47">
        <v>0</v>
      </c>
      <c r="Q93" s="47">
        <f t="shared" si="114"/>
        <v>0</v>
      </c>
      <c r="R93" s="47">
        <v>0</v>
      </c>
      <c r="S93" s="47">
        <f t="shared" si="115"/>
        <v>0</v>
      </c>
      <c r="T93" s="47">
        <v>0</v>
      </c>
      <c r="U93" s="47">
        <f t="shared" si="116"/>
        <v>0</v>
      </c>
      <c r="V93" s="47">
        <v>0</v>
      </c>
      <c r="W93" s="47">
        <f t="shared" si="117"/>
        <v>0</v>
      </c>
      <c r="X93" s="47">
        <v>0</v>
      </c>
      <c r="Y93" s="47">
        <f t="shared" si="118"/>
        <v>0</v>
      </c>
      <c r="Z93" s="47">
        <f t="shared" si="119"/>
        <v>0</v>
      </c>
      <c r="AA93" s="47">
        <f t="shared" si="120"/>
        <v>0</v>
      </c>
      <c r="AB93" s="47">
        <f t="shared" si="121"/>
        <v>0</v>
      </c>
      <c r="AC93" s="47">
        <f t="shared" si="122"/>
        <v>0</v>
      </c>
      <c r="AD93" s="47">
        <v>0</v>
      </c>
      <c r="AE93" s="47">
        <f t="shared" si="123"/>
        <v>0</v>
      </c>
      <c r="AF93" s="47">
        <v>0</v>
      </c>
      <c r="AG93" s="47">
        <f t="shared" si="124"/>
        <v>0</v>
      </c>
      <c r="AH93" s="47">
        <v>0</v>
      </c>
      <c r="AI93" s="47">
        <f t="shared" si="125"/>
        <v>0</v>
      </c>
      <c r="AJ93" s="47">
        <v>0</v>
      </c>
      <c r="AK93" s="47">
        <f t="shared" si="126"/>
        <v>0</v>
      </c>
      <c r="AL93" s="47">
        <v>0</v>
      </c>
      <c r="AM93" s="47">
        <f t="shared" si="127"/>
        <v>0</v>
      </c>
      <c r="AN93" s="47">
        <v>0</v>
      </c>
      <c r="AO93" s="47">
        <f t="shared" si="128"/>
        <v>0</v>
      </c>
      <c r="AP93" s="47">
        <v>0</v>
      </c>
      <c r="AQ93" s="47">
        <f t="shared" si="129"/>
        <v>0</v>
      </c>
      <c r="AR93" s="47">
        <v>0</v>
      </c>
      <c r="AS93" s="47">
        <f t="shared" si="130"/>
        <v>0</v>
      </c>
      <c r="AT93" s="47">
        <v>0</v>
      </c>
      <c r="AU93" s="47">
        <f t="shared" si="131"/>
        <v>0</v>
      </c>
      <c r="AV93" s="47">
        <v>0</v>
      </c>
      <c r="AW93" s="47">
        <f t="shared" si="132"/>
        <v>0</v>
      </c>
      <c r="AX93" s="47">
        <v>0</v>
      </c>
      <c r="AY93" s="47">
        <f t="shared" si="133"/>
        <v>0</v>
      </c>
      <c r="AZ93" s="47">
        <v>0</v>
      </c>
      <c r="BA93" s="47">
        <f t="shared" si="134"/>
        <v>0</v>
      </c>
      <c r="BB93" s="48">
        <f t="shared" si="135"/>
        <v>0</v>
      </c>
      <c r="BC93" s="49">
        <f t="shared" si="136"/>
        <v>0</v>
      </c>
      <c r="BD93" s="7" t="e">
        <f t="shared" si="137"/>
        <v>#DIV/0!</v>
      </c>
      <c r="BE93" s="47">
        <f t="shared" si="138"/>
        <v>0</v>
      </c>
      <c r="BF93" s="47">
        <f t="shared" si="139"/>
        <v>0</v>
      </c>
      <c r="BG93" s="50">
        <f t="shared" si="140"/>
        <v>0</v>
      </c>
      <c r="BH93" s="50">
        <f t="shared" si="141"/>
        <v>0</v>
      </c>
      <c r="BI93" s="50">
        <f t="shared" si="142"/>
        <v>0</v>
      </c>
      <c r="BJ93" s="50">
        <f t="shared" si="143"/>
        <v>0</v>
      </c>
      <c r="BK93" s="50">
        <f t="shared" si="144"/>
        <v>0</v>
      </c>
      <c r="BL93" s="50">
        <f t="shared" si="145"/>
        <v>0</v>
      </c>
      <c r="BM93" s="51">
        <f t="shared" si="146"/>
        <v>0</v>
      </c>
      <c r="BN93" s="52">
        <f t="shared" si="147"/>
        <v>0</v>
      </c>
      <c r="BO93" s="52">
        <f t="shared" si="148"/>
        <v>0</v>
      </c>
      <c r="BP93" s="51">
        <f t="shared" si="149"/>
        <v>0.32</v>
      </c>
      <c r="BQ93" s="53">
        <f t="shared" si="150"/>
        <v>0</v>
      </c>
      <c r="BR93" s="53">
        <f t="shared" si="151"/>
        <v>0</v>
      </c>
      <c r="BS93" s="54">
        <f t="shared" si="152"/>
        <v>0</v>
      </c>
      <c r="BT93" s="55">
        <f t="shared" si="153"/>
        <v>0</v>
      </c>
      <c r="BU93" s="10" t="e">
        <f t="shared" si="154"/>
        <v>#DIV/0!</v>
      </c>
      <c r="BV93" s="3"/>
    </row>
    <row r="94" spans="1:74" ht="11.65" hidden="1">
      <c r="A94" s="646"/>
      <c r="B94" s="61"/>
      <c r="C94" s="56"/>
      <c r="D94" s="44"/>
      <c r="E94" s="7"/>
      <c r="F94" s="45"/>
      <c r="G94" s="46">
        <f t="shared" si="107"/>
        <v>0</v>
      </c>
      <c r="H94" s="7"/>
      <c r="I94" s="46">
        <f t="shared" si="108"/>
        <v>0</v>
      </c>
      <c r="J94" s="47">
        <v>0</v>
      </c>
      <c r="K94" s="47">
        <f t="shared" si="109"/>
        <v>0</v>
      </c>
      <c r="L94" s="47">
        <f t="shared" si="110"/>
        <v>0</v>
      </c>
      <c r="M94" s="47">
        <f t="shared" si="111"/>
        <v>0</v>
      </c>
      <c r="N94" s="47">
        <f t="shared" si="112"/>
        <v>0</v>
      </c>
      <c r="O94" s="47">
        <f t="shared" si="113"/>
        <v>0</v>
      </c>
      <c r="P94" s="47">
        <v>0</v>
      </c>
      <c r="Q94" s="47">
        <f t="shared" si="114"/>
        <v>0</v>
      </c>
      <c r="R94" s="47">
        <v>0</v>
      </c>
      <c r="S94" s="47">
        <f t="shared" si="115"/>
        <v>0</v>
      </c>
      <c r="T94" s="47">
        <v>0</v>
      </c>
      <c r="U94" s="47">
        <f t="shared" si="116"/>
        <v>0</v>
      </c>
      <c r="V94" s="47">
        <v>0</v>
      </c>
      <c r="W94" s="47">
        <f t="shared" si="117"/>
        <v>0</v>
      </c>
      <c r="X94" s="47">
        <v>0</v>
      </c>
      <c r="Y94" s="47">
        <f t="shared" si="118"/>
        <v>0</v>
      </c>
      <c r="Z94" s="47">
        <f t="shared" si="119"/>
        <v>0</v>
      </c>
      <c r="AA94" s="47">
        <f t="shared" si="120"/>
        <v>0</v>
      </c>
      <c r="AB94" s="47">
        <f t="shared" si="121"/>
        <v>0</v>
      </c>
      <c r="AC94" s="47">
        <f t="shared" si="122"/>
        <v>0</v>
      </c>
      <c r="AD94" s="47">
        <v>0</v>
      </c>
      <c r="AE94" s="47">
        <f t="shared" si="123"/>
        <v>0</v>
      </c>
      <c r="AF94" s="47">
        <v>0</v>
      </c>
      <c r="AG94" s="47">
        <f t="shared" si="124"/>
        <v>0</v>
      </c>
      <c r="AH94" s="47">
        <v>0</v>
      </c>
      <c r="AI94" s="47">
        <f t="shared" si="125"/>
        <v>0</v>
      </c>
      <c r="AJ94" s="47">
        <v>0</v>
      </c>
      <c r="AK94" s="47">
        <f t="shared" si="126"/>
        <v>0</v>
      </c>
      <c r="AL94" s="47">
        <v>0</v>
      </c>
      <c r="AM94" s="47">
        <f t="shared" si="127"/>
        <v>0</v>
      </c>
      <c r="AN94" s="47">
        <v>0</v>
      </c>
      <c r="AO94" s="47">
        <f t="shared" si="128"/>
        <v>0</v>
      </c>
      <c r="AP94" s="47">
        <v>0</v>
      </c>
      <c r="AQ94" s="47">
        <f t="shared" si="129"/>
        <v>0</v>
      </c>
      <c r="AR94" s="47">
        <v>0</v>
      </c>
      <c r="AS94" s="47">
        <f t="shared" si="130"/>
        <v>0</v>
      </c>
      <c r="AT94" s="47">
        <v>0</v>
      </c>
      <c r="AU94" s="47">
        <f t="shared" si="131"/>
        <v>0</v>
      </c>
      <c r="AV94" s="47">
        <v>0</v>
      </c>
      <c r="AW94" s="47">
        <f t="shared" si="132"/>
        <v>0</v>
      </c>
      <c r="AX94" s="47">
        <v>0</v>
      </c>
      <c r="AY94" s="47">
        <f t="shared" si="133"/>
        <v>0</v>
      </c>
      <c r="AZ94" s="47">
        <v>0</v>
      </c>
      <c r="BA94" s="47">
        <f t="shared" si="134"/>
        <v>0</v>
      </c>
      <c r="BB94" s="48">
        <f t="shared" si="135"/>
        <v>0</v>
      </c>
      <c r="BC94" s="49">
        <f t="shared" si="136"/>
        <v>0</v>
      </c>
      <c r="BD94" s="7" t="e">
        <f t="shared" si="137"/>
        <v>#DIV/0!</v>
      </c>
      <c r="BE94" s="47">
        <f t="shared" si="138"/>
        <v>0</v>
      </c>
      <c r="BF94" s="47">
        <f t="shared" si="139"/>
        <v>0</v>
      </c>
      <c r="BG94" s="50">
        <f t="shared" si="140"/>
        <v>0</v>
      </c>
      <c r="BH94" s="50">
        <f t="shared" si="141"/>
        <v>0</v>
      </c>
      <c r="BI94" s="50">
        <f t="shared" si="142"/>
        <v>0</v>
      </c>
      <c r="BJ94" s="50">
        <f t="shared" si="143"/>
        <v>0</v>
      </c>
      <c r="BK94" s="50">
        <f t="shared" si="144"/>
        <v>0</v>
      </c>
      <c r="BL94" s="50">
        <f t="shared" si="145"/>
        <v>0</v>
      </c>
      <c r="BM94" s="51">
        <f t="shared" si="146"/>
        <v>0</v>
      </c>
      <c r="BN94" s="52">
        <f t="shared" si="147"/>
        <v>0</v>
      </c>
      <c r="BO94" s="52">
        <f t="shared" si="148"/>
        <v>0</v>
      </c>
      <c r="BP94" s="51">
        <f t="shared" si="149"/>
        <v>0.32</v>
      </c>
      <c r="BQ94" s="53">
        <f t="shared" si="150"/>
        <v>0</v>
      </c>
      <c r="BR94" s="53">
        <f t="shared" si="151"/>
        <v>0</v>
      </c>
      <c r="BS94" s="54">
        <f t="shared" si="152"/>
        <v>0</v>
      </c>
      <c r="BT94" s="55">
        <f t="shared" si="153"/>
        <v>0</v>
      </c>
      <c r="BU94" s="10" t="e">
        <f t="shared" si="154"/>
        <v>#DIV/0!</v>
      </c>
      <c r="BV94" s="3"/>
    </row>
    <row r="95" spans="1:74" ht="11.65" hidden="1">
      <c r="A95" s="646"/>
      <c r="B95" s="61"/>
      <c r="C95" s="56"/>
      <c r="D95" s="44"/>
      <c r="E95" s="7"/>
      <c r="F95" s="45"/>
      <c r="G95" s="46">
        <f t="shared" si="107"/>
        <v>0</v>
      </c>
      <c r="H95" s="7"/>
      <c r="I95" s="46">
        <f t="shared" si="108"/>
        <v>0</v>
      </c>
      <c r="J95" s="47">
        <v>0</v>
      </c>
      <c r="K95" s="47">
        <f t="shared" si="109"/>
        <v>0</v>
      </c>
      <c r="L95" s="47">
        <f t="shared" si="110"/>
        <v>0</v>
      </c>
      <c r="M95" s="47">
        <f t="shared" si="111"/>
        <v>0</v>
      </c>
      <c r="N95" s="47">
        <f t="shared" si="112"/>
        <v>0</v>
      </c>
      <c r="O95" s="47">
        <f t="shared" si="113"/>
        <v>0</v>
      </c>
      <c r="P95" s="47">
        <v>0</v>
      </c>
      <c r="Q95" s="47">
        <f t="shared" si="114"/>
        <v>0</v>
      </c>
      <c r="R95" s="47">
        <v>0</v>
      </c>
      <c r="S95" s="47">
        <f t="shared" si="115"/>
        <v>0</v>
      </c>
      <c r="T95" s="47">
        <v>0</v>
      </c>
      <c r="U95" s="47">
        <f t="shared" si="116"/>
        <v>0</v>
      </c>
      <c r="V95" s="47">
        <v>0</v>
      </c>
      <c r="W95" s="47">
        <f t="shared" si="117"/>
        <v>0</v>
      </c>
      <c r="X95" s="47">
        <v>0</v>
      </c>
      <c r="Y95" s="47">
        <f t="shared" si="118"/>
        <v>0</v>
      </c>
      <c r="Z95" s="47">
        <f t="shared" si="119"/>
        <v>0</v>
      </c>
      <c r="AA95" s="47">
        <f t="shared" si="120"/>
        <v>0</v>
      </c>
      <c r="AB95" s="47">
        <f t="shared" si="121"/>
        <v>0</v>
      </c>
      <c r="AC95" s="47">
        <f t="shared" si="122"/>
        <v>0</v>
      </c>
      <c r="AD95" s="47">
        <v>0</v>
      </c>
      <c r="AE95" s="47">
        <f t="shared" si="123"/>
        <v>0</v>
      </c>
      <c r="AF95" s="47">
        <v>0</v>
      </c>
      <c r="AG95" s="47">
        <f t="shared" si="124"/>
        <v>0</v>
      </c>
      <c r="AH95" s="47">
        <v>0</v>
      </c>
      <c r="AI95" s="47">
        <f t="shared" si="125"/>
        <v>0</v>
      </c>
      <c r="AJ95" s="47">
        <v>0</v>
      </c>
      <c r="AK95" s="47">
        <f t="shared" si="126"/>
        <v>0</v>
      </c>
      <c r="AL95" s="47">
        <v>0</v>
      </c>
      <c r="AM95" s="47">
        <f t="shared" si="127"/>
        <v>0</v>
      </c>
      <c r="AN95" s="47">
        <v>0</v>
      </c>
      <c r="AO95" s="47">
        <f t="shared" si="128"/>
        <v>0</v>
      </c>
      <c r="AP95" s="47">
        <v>0</v>
      </c>
      <c r="AQ95" s="47">
        <f t="shared" si="129"/>
        <v>0</v>
      </c>
      <c r="AR95" s="47">
        <v>0</v>
      </c>
      <c r="AS95" s="47">
        <f t="shared" si="130"/>
        <v>0</v>
      </c>
      <c r="AT95" s="47">
        <v>0</v>
      </c>
      <c r="AU95" s="47">
        <f t="shared" si="131"/>
        <v>0</v>
      </c>
      <c r="AV95" s="47">
        <v>0</v>
      </c>
      <c r="AW95" s="47">
        <f t="shared" si="132"/>
        <v>0</v>
      </c>
      <c r="AX95" s="47">
        <v>0</v>
      </c>
      <c r="AY95" s="47">
        <f t="shared" si="133"/>
        <v>0</v>
      </c>
      <c r="AZ95" s="47">
        <v>0</v>
      </c>
      <c r="BA95" s="47">
        <f t="shared" si="134"/>
        <v>0</v>
      </c>
      <c r="BB95" s="48">
        <f t="shared" si="135"/>
        <v>0</v>
      </c>
      <c r="BC95" s="49">
        <f t="shared" si="136"/>
        <v>0</v>
      </c>
      <c r="BD95" s="7" t="e">
        <f t="shared" si="137"/>
        <v>#DIV/0!</v>
      </c>
      <c r="BE95" s="47">
        <f t="shared" si="138"/>
        <v>0</v>
      </c>
      <c r="BF95" s="47">
        <f t="shared" si="139"/>
        <v>0</v>
      </c>
      <c r="BG95" s="50">
        <f t="shared" si="140"/>
        <v>0</v>
      </c>
      <c r="BH95" s="50">
        <f t="shared" si="141"/>
        <v>0</v>
      </c>
      <c r="BI95" s="50">
        <f t="shared" si="142"/>
        <v>0</v>
      </c>
      <c r="BJ95" s="50">
        <f t="shared" si="143"/>
        <v>0</v>
      </c>
      <c r="BK95" s="50">
        <f t="shared" si="144"/>
        <v>0</v>
      </c>
      <c r="BL95" s="50">
        <f t="shared" si="145"/>
        <v>0</v>
      </c>
      <c r="BM95" s="51">
        <f t="shared" si="146"/>
        <v>0</v>
      </c>
      <c r="BN95" s="52">
        <f t="shared" si="147"/>
        <v>0</v>
      </c>
      <c r="BO95" s="52">
        <f t="shared" si="148"/>
        <v>0</v>
      </c>
      <c r="BP95" s="51">
        <f t="shared" si="149"/>
        <v>0.32</v>
      </c>
      <c r="BQ95" s="53">
        <f t="shared" si="150"/>
        <v>0</v>
      </c>
      <c r="BR95" s="53">
        <f t="shared" si="151"/>
        <v>0</v>
      </c>
      <c r="BS95" s="54">
        <f t="shared" si="152"/>
        <v>0</v>
      </c>
      <c r="BT95" s="55">
        <f t="shared" si="153"/>
        <v>0</v>
      </c>
      <c r="BU95" s="10" t="e">
        <f t="shared" si="154"/>
        <v>#DIV/0!</v>
      </c>
      <c r="BV95" s="3"/>
    </row>
    <row r="96" spans="1:74" ht="11.65" hidden="1">
      <c r="A96" s="646"/>
      <c r="B96" s="61"/>
      <c r="C96" s="56"/>
      <c r="D96" s="44"/>
      <c r="E96" s="7"/>
      <c r="F96" s="45"/>
      <c r="G96" s="46">
        <f t="shared" si="107"/>
        <v>0</v>
      </c>
      <c r="H96" s="7"/>
      <c r="I96" s="46">
        <f t="shared" si="108"/>
        <v>0</v>
      </c>
      <c r="J96" s="47">
        <v>0</v>
      </c>
      <c r="K96" s="47">
        <f t="shared" si="109"/>
        <v>0</v>
      </c>
      <c r="L96" s="47">
        <f t="shared" si="110"/>
        <v>0</v>
      </c>
      <c r="M96" s="47">
        <f t="shared" si="111"/>
        <v>0</v>
      </c>
      <c r="N96" s="47">
        <f t="shared" si="112"/>
        <v>0</v>
      </c>
      <c r="O96" s="47">
        <f t="shared" si="113"/>
        <v>0</v>
      </c>
      <c r="P96" s="47">
        <v>0</v>
      </c>
      <c r="Q96" s="47">
        <f t="shared" si="114"/>
        <v>0</v>
      </c>
      <c r="R96" s="47">
        <v>0</v>
      </c>
      <c r="S96" s="47">
        <f t="shared" si="115"/>
        <v>0</v>
      </c>
      <c r="T96" s="47">
        <v>0</v>
      </c>
      <c r="U96" s="47">
        <f t="shared" si="116"/>
        <v>0</v>
      </c>
      <c r="V96" s="47">
        <v>0</v>
      </c>
      <c r="W96" s="47">
        <f t="shared" si="117"/>
        <v>0</v>
      </c>
      <c r="X96" s="47">
        <v>0</v>
      </c>
      <c r="Y96" s="47">
        <f t="shared" si="118"/>
        <v>0</v>
      </c>
      <c r="Z96" s="47">
        <f t="shared" si="119"/>
        <v>0</v>
      </c>
      <c r="AA96" s="47">
        <f t="shared" si="120"/>
        <v>0</v>
      </c>
      <c r="AB96" s="47">
        <f t="shared" si="121"/>
        <v>0</v>
      </c>
      <c r="AC96" s="47">
        <f t="shared" si="122"/>
        <v>0</v>
      </c>
      <c r="AD96" s="47">
        <v>0</v>
      </c>
      <c r="AE96" s="47">
        <f t="shared" si="123"/>
        <v>0</v>
      </c>
      <c r="AF96" s="47">
        <v>0</v>
      </c>
      <c r="AG96" s="47">
        <f t="shared" si="124"/>
        <v>0</v>
      </c>
      <c r="AH96" s="47">
        <v>0</v>
      </c>
      <c r="AI96" s="47">
        <f t="shared" si="125"/>
        <v>0</v>
      </c>
      <c r="AJ96" s="47">
        <v>0</v>
      </c>
      <c r="AK96" s="47">
        <f t="shared" si="126"/>
        <v>0</v>
      </c>
      <c r="AL96" s="47">
        <v>0</v>
      </c>
      <c r="AM96" s="47">
        <f t="shared" si="127"/>
        <v>0</v>
      </c>
      <c r="AN96" s="47">
        <v>0</v>
      </c>
      <c r="AO96" s="47">
        <f t="shared" si="128"/>
        <v>0</v>
      </c>
      <c r="AP96" s="47">
        <v>0</v>
      </c>
      <c r="AQ96" s="47">
        <f t="shared" si="129"/>
        <v>0</v>
      </c>
      <c r="AR96" s="47">
        <v>0</v>
      </c>
      <c r="AS96" s="47">
        <f t="shared" si="130"/>
        <v>0</v>
      </c>
      <c r="AT96" s="47">
        <v>0</v>
      </c>
      <c r="AU96" s="47">
        <f t="shared" si="131"/>
        <v>0</v>
      </c>
      <c r="AV96" s="47">
        <v>0</v>
      </c>
      <c r="AW96" s="47">
        <f t="shared" si="132"/>
        <v>0</v>
      </c>
      <c r="AX96" s="47">
        <v>0</v>
      </c>
      <c r="AY96" s="47">
        <f t="shared" si="133"/>
        <v>0</v>
      </c>
      <c r="AZ96" s="47">
        <v>0</v>
      </c>
      <c r="BA96" s="47">
        <f t="shared" si="134"/>
        <v>0</v>
      </c>
      <c r="BB96" s="48">
        <f t="shared" si="135"/>
        <v>0</v>
      </c>
      <c r="BC96" s="49">
        <f t="shared" si="136"/>
        <v>0</v>
      </c>
      <c r="BD96" s="7" t="e">
        <f t="shared" si="137"/>
        <v>#DIV/0!</v>
      </c>
      <c r="BE96" s="47">
        <f t="shared" si="138"/>
        <v>0</v>
      </c>
      <c r="BF96" s="47">
        <f t="shared" si="139"/>
        <v>0</v>
      </c>
      <c r="BG96" s="50">
        <f t="shared" si="140"/>
        <v>0</v>
      </c>
      <c r="BH96" s="50">
        <f t="shared" si="141"/>
        <v>0</v>
      </c>
      <c r="BI96" s="50">
        <f t="shared" si="142"/>
        <v>0</v>
      </c>
      <c r="BJ96" s="50">
        <f t="shared" si="143"/>
        <v>0</v>
      </c>
      <c r="BK96" s="50">
        <f t="shared" si="144"/>
        <v>0</v>
      </c>
      <c r="BL96" s="50">
        <f t="shared" si="145"/>
        <v>0</v>
      </c>
      <c r="BM96" s="51">
        <f t="shared" si="146"/>
        <v>0</v>
      </c>
      <c r="BN96" s="52">
        <f t="shared" si="147"/>
        <v>0</v>
      </c>
      <c r="BO96" s="52">
        <f t="shared" si="148"/>
        <v>0</v>
      </c>
      <c r="BP96" s="51">
        <f t="shared" si="149"/>
        <v>0.32</v>
      </c>
      <c r="BQ96" s="53">
        <f t="shared" si="150"/>
        <v>0</v>
      </c>
      <c r="BR96" s="53">
        <f t="shared" si="151"/>
        <v>0</v>
      </c>
      <c r="BS96" s="54">
        <f t="shared" si="152"/>
        <v>0</v>
      </c>
      <c r="BT96" s="55">
        <f t="shared" si="153"/>
        <v>0</v>
      </c>
      <c r="BU96" s="10" t="e">
        <f t="shared" si="154"/>
        <v>#DIV/0!</v>
      </c>
      <c r="BV96" s="3"/>
    </row>
    <row r="97" spans="1:74" ht="11.65" hidden="1">
      <c r="A97" s="646"/>
      <c r="B97" s="61"/>
      <c r="C97" s="56"/>
      <c r="D97" s="44"/>
      <c r="E97" s="7"/>
      <c r="F97" s="45"/>
      <c r="G97" s="46">
        <f t="shared" si="107"/>
        <v>0</v>
      </c>
      <c r="H97" s="7"/>
      <c r="I97" s="46">
        <f t="shared" si="108"/>
        <v>0</v>
      </c>
      <c r="J97" s="47">
        <v>0</v>
      </c>
      <c r="K97" s="47">
        <f t="shared" si="109"/>
        <v>0</v>
      </c>
      <c r="L97" s="47">
        <f t="shared" si="110"/>
        <v>0</v>
      </c>
      <c r="M97" s="47">
        <f t="shared" si="111"/>
        <v>0</v>
      </c>
      <c r="N97" s="47">
        <f t="shared" si="112"/>
        <v>0</v>
      </c>
      <c r="O97" s="47">
        <f t="shared" si="113"/>
        <v>0</v>
      </c>
      <c r="P97" s="47">
        <v>0</v>
      </c>
      <c r="Q97" s="47">
        <f t="shared" si="114"/>
        <v>0</v>
      </c>
      <c r="R97" s="47">
        <v>0</v>
      </c>
      <c r="S97" s="47">
        <f t="shared" si="115"/>
        <v>0</v>
      </c>
      <c r="T97" s="47">
        <v>0</v>
      </c>
      <c r="U97" s="47">
        <f t="shared" si="116"/>
        <v>0</v>
      </c>
      <c r="V97" s="47">
        <v>0</v>
      </c>
      <c r="W97" s="47">
        <f t="shared" si="117"/>
        <v>0</v>
      </c>
      <c r="X97" s="47">
        <v>0</v>
      </c>
      <c r="Y97" s="47">
        <f t="shared" si="118"/>
        <v>0</v>
      </c>
      <c r="Z97" s="47">
        <f t="shared" si="119"/>
        <v>0</v>
      </c>
      <c r="AA97" s="47">
        <f t="shared" si="120"/>
        <v>0</v>
      </c>
      <c r="AB97" s="47">
        <f t="shared" si="121"/>
        <v>0</v>
      </c>
      <c r="AC97" s="47">
        <f t="shared" si="122"/>
        <v>0</v>
      </c>
      <c r="AD97" s="47">
        <v>0</v>
      </c>
      <c r="AE97" s="47">
        <f t="shared" si="123"/>
        <v>0</v>
      </c>
      <c r="AF97" s="47">
        <v>0</v>
      </c>
      <c r="AG97" s="47">
        <f t="shared" si="124"/>
        <v>0</v>
      </c>
      <c r="AH97" s="47">
        <v>0</v>
      </c>
      <c r="AI97" s="47">
        <f t="shared" si="125"/>
        <v>0</v>
      </c>
      <c r="AJ97" s="47">
        <v>0</v>
      </c>
      <c r="AK97" s="47">
        <f t="shared" si="126"/>
        <v>0</v>
      </c>
      <c r="AL97" s="47">
        <v>0</v>
      </c>
      <c r="AM97" s="47">
        <f t="shared" si="127"/>
        <v>0</v>
      </c>
      <c r="AN97" s="47">
        <v>0</v>
      </c>
      <c r="AO97" s="47">
        <f t="shared" si="128"/>
        <v>0</v>
      </c>
      <c r="AP97" s="47">
        <v>0</v>
      </c>
      <c r="AQ97" s="47">
        <f t="shared" si="129"/>
        <v>0</v>
      </c>
      <c r="AR97" s="47">
        <v>0</v>
      </c>
      <c r="AS97" s="47">
        <f t="shared" si="130"/>
        <v>0</v>
      </c>
      <c r="AT97" s="47">
        <v>0</v>
      </c>
      <c r="AU97" s="47">
        <f t="shared" si="131"/>
        <v>0</v>
      </c>
      <c r="AV97" s="47">
        <v>0</v>
      </c>
      <c r="AW97" s="47">
        <f t="shared" si="132"/>
        <v>0</v>
      </c>
      <c r="AX97" s="47">
        <v>0</v>
      </c>
      <c r="AY97" s="47">
        <f t="shared" si="133"/>
        <v>0</v>
      </c>
      <c r="AZ97" s="47">
        <v>0</v>
      </c>
      <c r="BA97" s="47">
        <f t="shared" si="134"/>
        <v>0</v>
      </c>
      <c r="BB97" s="48">
        <f t="shared" si="135"/>
        <v>0</v>
      </c>
      <c r="BC97" s="49">
        <f t="shared" si="136"/>
        <v>0</v>
      </c>
      <c r="BD97" s="7" t="e">
        <f t="shared" si="137"/>
        <v>#DIV/0!</v>
      </c>
      <c r="BE97" s="47">
        <f t="shared" si="138"/>
        <v>0</v>
      </c>
      <c r="BF97" s="47">
        <f t="shared" si="139"/>
        <v>0</v>
      </c>
      <c r="BG97" s="50">
        <f t="shared" si="140"/>
        <v>0</v>
      </c>
      <c r="BH97" s="50">
        <f t="shared" si="141"/>
        <v>0</v>
      </c>
      <c r="BI97" s="50">
        <f t="shared" si="142"/>
        <v>0</v>
      </c>
      <c r="BJ97" s="50">
        <f t="shared" si="143"/>
        <v>0</v>
      </c>
      <c r="BK97" s="50">
        <f t="shared" si="144"/>
        <v>0</v>
      </c>
      <c r="BL97" s="50">
        <f t="shared" si="145"/>
        <v>0</v>
      </c>
      <c r="BM97" s="51">
        <f t="shared" si="146"/>
        <v>0</v>
      </c>
      <c r="BN97" s="52">
        <f t="shared" si="147"/>
        <v>0</v>
      </c>
      <c r="BO97" s="52">
        <f t="shared" si="148"/>
        <v>0</v>
      </c>
      <c r="BP97" s="51">
        <f t="shared" si="149"/>
        <v>0.32</v>
      </c>
      <c r="BQ97" s="53">
        <f t="shared" si="150"/>
        <v>0</v>
      </c>
      <c r="BR97" s="53">
        <f t="shared" si="151"/>
        <v>0</v>
      </c>
      <c r="BS97" s="54">
        <f t="shared" si="152"/>
        <v>0</v>
      </c>
      <c r="BT97" s="55">
        <f t="shared" si="153"/>
        <v>0</v>
      </c>
      <c r="BU97" s="10" t="e">
        <f t="shared" si="154"/>
        <v>#DIV/0!</v>
      </c>
      <c r="BV97" s="3"/>
    </row>
    <row r="98" spans="1:74" ht="11.65" hidden="1">
      <c r="A98" s="646"/>
      <c r="B98" s="61"/>
      <c r="C98" s="56"/>
      <c r="D98" s="44"/>
      <c r="E98" s="7"/>
      <c r="F98" s="45"/>
      <c r="G98" s="46">
        <f t="shared" si="107"/>
        <v>0</v>
      </c>
      <c r="H98" s="7"/>
      <c r="I98" s="46">
        <f t="shared" si="108"/>
        <v>0</v>
      </c>
      <c r="J98" s="47">
        <v>0</v>
      </c>
      <c r="K98" s="47">
        <f t="shared" si="109"/>
        <v>0</v>
      </c>
      <c r="L98" s="47">
        <f t="shared" si="110"/>
        <v>0</v>
      </c>
      <c r="M98" s="47">
        <f t="shared" si="111"/>
        <v>0</v>
      </c>
      <c r="N98" s="47">
        <f t="shared" si="112"/>
        <v>0</v>
      </c>
      <c r="O98" s="47">
        <f t="shared" si="113"/>
        <v>0</v>
      </c>
      <c r="P98" s="47">
        <v>0</v>
      </c>
      <c r="Q98" s="47">
        <f t="shared" si="114"/>
        <v>0</v>
      </c>
      <c r="R98" s="47">
        <v>0</v>
      </c>
      <c r="S98" s="47">
        <f t="shared" si="115"/>
        <v>0</v>
      </c>
      <c r="T98" s="47">
        <v>0</v>
      </c>
      <c r="U98" s="47">
        <f t="shared" si="116"/>
        <v>0</v>
      </c>
      <c r="V98" s="47">
        <v>0</v>
      </c>
      <c r="W98" s="47">
        <f t="shared" si="117"/>
        <v>0</v>
      </c>
      <c r="X98" s="47">
        <v>0</v>
      </c>
      <c r="Y98" s="47">
        <f t="shared" si="118"/>
        <v>0</v>
      </c>
      <c r="Z98" s="47">
        <f t="shared" si="119"/>
        <v>0</v>
      </c>
      <c r="AA98" s="47">
        <f t="shared" si="120"/>
        <v>0</v>
      </c>
      <c r="AB98" s="47">
        <f t="shared" si="121"/>
        <v>0</v>
      </c>
      <c r="AC98" s="47">
        <f t="shared" si="122"/>
        <v>0</v>
      </c>
      <c r="AD98" s="47">
        <v>0</v>
      </c>
      <c r="AE98" s="47">
        <f t="shared" si="123"/>
        <v>0</v>
      </c>
      <c r="AF98" s="47">
        <v>0</v>
      </c>
      <c r="AG98" s="47">
        <f t="shared" si="124"/>
        <v>0</v>
      </c>
      <c r="AH98" s="47">
        <v>0</v>
      </c>
      <c r="AI98" s="47">
        <f t="shared" si="125"/>
        <v>0</v>
      </c>
      <c r="AJ98" s="47">
        <v>0</v>
      </c>
      <c r="AK98" s="47">
        <f t="shared" si="126"/>
        <v>0</v>
      </c>
      <c r="AL98" s="47">
        <v>0</v>
      </c>
      <c r="AM98" s="47">
        <f t="shared" si="127"/>
        <v>0</v>
      </c>
      <c r="AN98" s="47">
        <v>0</v>
      </c>
      <c r="AO98" s="47">
        <f t="shared" si="128"/>
        <v>0</v>
      </c>
      <c r="AP98" s="47">
        <v>0</v>
      </c>
      <c r="AQ98" s="47">
        <f t="shared" si="129"/>
        <v>0</v>
      </c>
      <c r="AR98" s="47">
        <v>0</v>
      </c>
      <c r="AS98" s="47">
        <f t="shared" si="130"/>
        <v>0</v>
      </c>
      <c r="AT98" s="47">
        <v>0</v>
      </c>
      <c r="AU98" s="47">
        <f t="shared" si="131"/>
        <v>0</v>
      </c>
      <c r="AV98" s="47">
        <v>0</v>
      </c>
      <c r="AW98" s="47">
        <f t="shared" si="132"/>
        <v>0</v>
      </c>
      <c r="AX98" s="47">
        <v>0</v>
      </c>
      <c r="AY98" s="47">
        <f t="shared" si="133"/>
        <v>0</v>
      </c>
      <c r="AZ98" s="47">
        <v>0</v>
      </c>
      <c r="BA98" s="47">
        <f t="shared" si="134"/>
        <v>0</v>
      </c>
      <c r="BB98" s="48">
        <f t="shared" si="135"/>
        <v>0</v>
      </c>
      <c r="BC98" s="49">
        <f t="shared" si="136"/>
        <v>0</v>
      </c>
      <c r="BD98" s="7" t="e">
        <f t="shared" si="137"/>
        <v>#DIV/0!</v>
      </c>
      <c r="BE98" s="47">
        <f t="shared" si="138"/>
        <v>0</v>
      </c>
      <c r="BF98" s="47">
        <f t="shared" si="139"/>
        <v>0</v>
      </c>
      <c r="BG98" s="50">
        <f t="shared" si="140"/>
        <v>0</v>
      </c>
      <c r="BH98" s="50">
        <f t="shared" si="141"/>
        <v>0</v>
      </c>
      <c r="BI98" s="50">
        <f t="shared" si="142"/>
        <v>0</v>
      </c>
      <c r="BJ98" s="50">
        <f t="shared" si="143"/>
        <v>0</v>
      </c>
      <c r="BK98" s="50">
        <f t="shared" si="144"/>
        <v>0</v>
      </c>
      <c r="BL98" s="50">
        <f t="shared" si="145"/>
        <v>0</v>
      </c>
      <c r="BM98" s="51">
        <f t="shared" si="146"/>
        <v>0</v>
      </c>
      <c r="BN98" s="52">
        <f t="shared" si="147"/>
        <v>0</v>
      </c>
      <c r="BO98" s="52">
        <f t="shared" si="148"/>
        <v>0</v>
      </c>
      <c r="BP98" s="51">
        <f t="shared" si="149"/>
        <v>0.32</v>
      </c>
      <c r="BQ98" s="53">
        <f t="shared" si="150"/>
        <v>0</v>
      </c>
      <c r="BR98" s="53">
        <f t="shared" si="151"/>
        <v>0</v>
      </c>
      <c r="BS98" s="54">
        <f t="shared" si="152"/>
        <v>0</v>
      </c>
      <c r="BT98" s="55">
        <f t="shared" si="153"/>
        <v>0</v>
      </c>
      <c r="BU98" s="10" t="e">
        <f t="shared" si="154"/>
        <v>#DIV/0!</v>
      </c>
      <c r="BV98" s="3"/>
    </row>
    <row r="99" spans="1:74" ht="11.65" hidden="1">
      <c r="A99" s="646"/>
      <c r="B99" s="61"/>
      <c r="C99" s="56"/>
      <c r="D99" s="44"/>
      <c r="E99" s="7"/>
      <c r="F99" s="45"/>
      <c r="G99" s="46">
        <f t="shared" si="107"/>
        <v>0</v>
      </c>
      <c r="H99" s="7"/>
      <c r="I99" s="46">
        <f t="shared" si="108"/>
        <v>0</v>
      </c>
      <c r="J99" s="47">
        <v>0</v>
      </c>
      <c r="K99" s="47">
        <f t="shared" si="109"/>
        <v>0</v>
      </c>
      <c r="L99" s="47">
        <f t="shared" si="110"/>
        <v>0</v>
      </c>
      <c r="M99" s="47">
        <f t="shared" si="111"/>
        <v>0</v>
      </c>
      <c r="N99" s="47">
        <f t="shared" si="112"/>
        <v>0</v>
      </c>
      <c r="O99" s="47">
        <f t="shared" si="113"/>
        <v>0</v>
      </c>
      <c r="P99" s="47">
        <v>0</v>
      </c>
      <c r="Q99" s="47">
        <f t="shared" si="114"/>
        <v>0</v>
      </c>
      <c r="R99" s="47">
        <v>0</v>
      </c>
      <c r="S99" s="47">
        <f t="shared" si="115"/>
        <v>0</v>
      </c>
      <c r="T99" s="47">
        <v>0</v>
      </c>
      <c r="U99" s="47">
        <f t="shared" si="116"/>
        <v>0</v>
      </c>
      <c r="V99" s="47">
        <v>0</v>
      </c>
      <c r="W99" s="47">
        <f t="shared" si="117"/>
        <v>0</v>
      </c>
      <c r="X99" s="47">
        <v>0</v>
      </c>
      <c r="Y99" s="47">
        <f t="shared" si="118"/>
        <v>0</v>
      </c>
      <c r="Z99" s="47">
        <f t="shared" si="119"/>
        <v>0</v>
      </c>
      <c r="AA99" s="47">
        <f t="shared" si="120"/>
        <v>0</v>
      </c>
      <c r="AB99" s="47">
        <f t="shared" si="121"/>
        <v>0</v>
      </c>
      <c r="AC99" s="47">
        <f t="shared" si="122"/>
        <v>0</v>
      </c>
      <c r="AD99" s="47">
        <v>0</v>
      </c>
      <c r="AE99" s="47">
        <f t="shared" si="123"/>
        <v>0</v>
      </c>
      <c r="AF99" s="47">
        <v>0</v>
      </c>
      <c r="AG99" s="47">
        <f t="shared" si="124"/>
        <v>0</v>
      </c>
      <c r="AH99" s="47">
        <v>0</v>
      </c>
      <c r="AI99" s="47">
        <f t="shared" si="125"/>
        <v>0</v>
      </c>
      <c r="AJ99" s="47">
        <v>0</v>
      </c>
      <c r="AK99" s="47">
        <f t="shared" si="126"/>
        <v>0</v>
      </c>
      <c r="AL99" s="47">
        <v>0</v>
      </c>
      <c r="AM99" s="47">
        <f t="shared" si="127"/>
        <v>0</v>
      </c>
      <c r="AN99" s="47">
        <v>0</v>
      </c>
      <c r="AO99" s="47">
        <f t="shared" si="128"/>
        <v>0</v>
      </c>
      <c r="AP99" s="47">
        <v>0</v>
      </c>
      <c r="AQ99" s="47">
        <f t="shared" si="129"/>
        <v>0</v>
      </c>
      <c r="AR99" s="47">
        <v>0</v>
      </c>
      <c r="AS99" s="47">
        <f t="shared" si="130"/>
        <v>0</v>
      </c>
      <c r="AT99" s="47">
        <v>0</v>
      </c>
      <c r="AU99" s="47">
        <f t="shared" si="131"/>
        <v>0</v>
      </c>
      <c r="AV99" s="47">
        <v>0</v>
      </c>
      <c r="AW99" s="47">
        <f t="shared" si="132"/>
        <v>0</v>
      </c>
      <c r="AX99" s="47">
        <v>0</v>
      </c>
      <c r="AY99" s="47">
        <f t="shared" si="133"/>
        <v>0</v>
      </c>
      <c r="AZ99" s="47">
        <v>0</v>
      </c>
      <c r="BA99" s="47">
        <f t="shared" si="134"/>
        <v>0</v>
      </c>
      <c r="BB99" s="48">
        <f t="shared" si="135"/>
        <v>0</v>
      </c>
      <c r="BC99" s="49">
        <f t="shared" si="136"/>
        <v>0</v>
      </c>
      <c r="BD99" s="7" t="e">
        <f t="shared" si="137"/>
        <v>#DIV/0!</v>
      </c>
      <c r="BE99" s="47">
        <f t="shared" si="138"/>
        <v>0</v>
      </c>
      <c r="BF99" s="47">
        <f t="shared" si="139"/>
        <v>0</v>
      </c>
      <c r="BG99" s="50">
        <f t="shared" si="140"/>
        <v>0</v>
      </c>
      <c r="BH99" s="50">
        <f t="shared" si="141"/>
        <v>0</v>
      </c>
      <c r="BI99" s="50">
        <f t="shared" si="142"/>
        <v>0</v>
      </c>
      <c r="BJ99" s="50">
        <f t="shared" si="143"/>
        <v>0</v>
      </c>
      <c r="BK99" s="50">
        <f t="shared" si="144"/>
        <v>0</v>
      </c>
      <c r="BL99" s="50">
        <f t="shared" si="145"/>
        <v>0</v>
      </c>
      <c r="BM99" s="51">
        <f t="shared" si="146"/>
        <v>0</v>
      </c>
      <c r="BN99" s="52">
        <f t="shared" si="147"/>
        <v>0</v>
      </c>
      <c r="BO99" s="52">
        <f t="shared" si="148"/>
        <v>0</v>
      </c>
      <c r="BP99" s="51">
        <f t="shared" si="149"/>
        <v>0.32</v>
      </c>
      <c r="BQ99" s="53">
        <f t="shared" si="150"/>
        <v>0</v>
      </c>
      <c r="BR99" s="53">
        <f t="shared" si="151"/>
        <v>0</v>
      </c>
      <c r="BS99" s="54">
        <f t="shared" si="152"/>
        <v>0</v>
      </c>
      <c r="BT99" s="55">
        <f t="shared" si="153"/>
        <v>0</v>
      </c>
      <c r="BU99" s="10" t="e">
        <f t="shared" si="154"/>
        <v>#DIV/0!</v>
      </c>
      <c r="BV99" s="3"/>
    </row>
    <row r="100" spans="1:74" ht="11.65" hidden="1">
      <c r="A100" s="646"/>
      <c r="B100" s="61"/>
      <c r="C100" s="56"/>
      <c r="D100" s="44"/>
      <c r="E100" s="7"/>
      <c r="F100" s="45"/>
      <c r="G100" s="46">
        <f t="shared" si="107"/>
        <v>0</v>
      </c>
      <c r="H100" s="7"/>
      <c r="I100" s="46">
        <f t="shared" si="108"/>
        <v>0</v>
      </c>
      <c r="J100" s="47">
        <v>0</v>
      </c>
      <c r="K100" s="47">
        <f t="shared" si="109"/>
        <v>0</v>
      </c>
      <c r="L100" s="47">
        <f t="shared" si="110"/>
        <v>0</v>
      </c>
      <c r="M100" s="47">
        <f t="shared" si="111"/>
        <v>0</v>
      </c>
      <c r="N100" s="47">
        <f t="shared" si="112"/>
        <v>0</v>
      </c>
      <c r="O100" s="47">
        <f t="shared" si="113"/>
        <v>0</v>
      </c>
      <c r="P100" s="47">
        <v>0</v>
      </c>
      <c r="Q100" s="47">
        <f t="shared" si="114"/>
        <v>0</v>
      </c>
      <c r="R100" s="47">
        <v>0</v>
      </c>
      <c r="S100" s="47">
        <f t="shared" si="115"/>
        <v>0</v>
      </c>
      <c r="T100" s="47">
        <v>0</v>
      </c>
      <c r="U100" s="47">
        <f t="shared" si="116"/>
        <v>0</v>
      </c>
      <c r="V100" s="47">
        <v>0</v>
      </c>
      <c r="W100" s="47">
        <f t="shared" si="117"/>
        <v>0</v>
      </c>
      <c r="X100" s="47">
        <v>0</v>
      </c>
      <c r="Y100" s="47">
        <f t="shared" si="118"/>
        <v>0</v>
      </c>
      <c r="Z100" s="47">
        <f t="shared" si="119"/>
        <v>0</v>
      </c>
      <c r="AA100" s="47">
        <f t="shared" si="120"/>
        <v>0</v>
      </c>
      <c r="AB100" s="47">
        <f t="shared" si="121"/>
        <v>0</v>
      </c>
      <c r="AC100" s="47">
        <f t="shared" si="122"/>
        <v>0</v>
      </c>
      <c r="AD100" s="47">
        <v>0</v>
      </c>
      <c r="AE100" s="47">
        <f t="shared" si="123"/>
        <v>0</v>
      </c>
      <c r="AF100" s="47">
        <v>0</v>
      </c>
      <c r="AG100" s="47">
        <f t="shared" si="124"/>
        <v>0</v>
      </c>
      <c r="AH100" s="47">
        <v>0</v>
      </c>
      <c r="AI100" s="47">
        <f t="shared" si="125"/>
        <v>0</v>
      </c>
      <c r="AJ100" s="47">
        <v>0</v>
      </c>
      <c r="AK100" s="47">
        <f t="shared" si="126"/>
        <v>0</v>
      </c>
      <c r="AL100" s="47">
        <v>0</v>
      </c>
      <c r="AM100" s="47">
        <f t="shared" si="127"/>
        <v>0</v>
      </c>
      <c r="AN100" s="47">
        <v>0</v>
      </c>
      <c r="AO100" s="47">
        <f t="shared" si="128"/>
        <v>0</v>
      </c>
      <c r="AP100" s="47">
        <v>0</v>
      </c>
      <c r="AQ100" s="47">
        <f t="shared" si="129"/>
        <v>0</v>
      </c>
      <c r="AR100" s="47">
        <v>0</v>
      </c>
      <c r="AS100" s="47">
        <f t="shared" si="130"/>
        <v>0</v>
      </c>
      <c r="AT100" s="47">
        <v>0</v>
      </c>
      <c r="AU100" s="47">
        <f t="shared" si="131"/>
        <v>0</v>
      </c>
      <c r="AV100" s="47">
        <v>0</v>
      </c>
      <c r="AW100" s="47">
        <f t="shared" si="132"/>
        <v>0</v>
      </c>
      <c r="AX100" s="47">
        <v>0</v>
      </c>
      <c r="AY100" s="47">
        <f t="shared" si="133"/>
        <v>0</v>
      </c>
      <c r="AZ100" s="47">
        <v>0</v>
      </c>
      <c r="BA100" s="47">
        <f t="shared" si="134"/>
        <v>0</v>
      </c>
      <c r="BB100" s="48">
        <f t="shared" si="135"/>
        <v>0</v>
      </c>
      <c r="BC100" s="49">
        <f t="shared" si="136"/>
        <v>0</v>
      </c>
      <c r="BD100" s="7" t="e">
        <f t="shared" si="137"/>
        <v>#DIV/0!</v>
      </c>
      <c r="BE100" s="47">
        <f t="shared" si="138"/>
        <v>0</v>
      </c>
      <c r="BF100" s="47">
        <f t="shared" si="139"/>
        <v>0</v>
      </c>
      <c r="BG100" s="50">
        <f t="shared" si="140"/>
        <v>0</v>
      </c>
      <c r="BH100" s="50">
        <f t="shared" si="141"/>
        <v>0</v>
      </c>
      <c r="BI100" s="50">
        <f t="shared" si="142"/>
        <v>0</v>
      </c>
      <c r="BJ100" s="50">
        <f t="shared" si="143"/>
        <v>0</v>
      </c>
      <c r="BK100" s="50">
        <f t="shared" si="144"/>
        <v>0</v>
      </c>
      <c r="BL100" s="50">
        <f t="shared" si="145"/>
        <v>0</v>
      </c>
      <c r="BM100" s="51">
        <f t="shared" si="146"/>
        <v>0</v>
      </c>
      <c r="BN100" s="52">
        <f t="shared" si="147"/>
        <v>0</v>
      </c>
      <c r="BO100" s="52">
        <f t="shared" si="148"/>
        <v>0</v>
      </c>
      <c r="BP100" s="51">
        <f t="shared" si="149"/>
        <v>0.32</v>
      </c>
      <c r="BQ100" s="53">
        <f t="shared" si="150"/>
        <v>0</v>
      </c>
      <c r="BR100" s="53">
        <f t="shared" si="151"/>
        <v>0</v>
      </c>
      <c r="BS100" s="54">
        <f t="shared" si="152"/>
        <v>0</v>
      </c>
      <c r="BT100" s="55">
        <f t="shared" si="153"/>
        <v>0</v>
      </c>
      <c r="BU100" s="10" t="e">
        <f t="shared" si="154"/>
        <v>#DIV/0!</v>
      </c>
      <c r="BV100" s="3"/>
    </row>
    <row r="101" spans="1:74" ht="11.65" hidden="1">
      <c r="A101" s="646"/>
      <c r="B101" s="61"/>
      <c r="C101" s="56"/>
      <c r="D101" s="44"/>
      <c r="E101" s="7"/>
      <c r="F101" s="45"/>
      <c r="G101" s="46">
        <f t="shared" si="107"/>
        <v>0</v>
      </c>
      <c r="H101" s="7"/>
      <c r="I101" s="46">
        <f t="shared" si="108"/>
        <v>0</v>
      </c>
      <c r="J101" s="47">
        <v>0</v>
      </c>
      <c r="K101" s="47">
        <f t="shared" si="109"/>
        <v>0</v>
      </c>
      <c r="L101" s="47">
        <f t="shared" si="110"/>
        <v>0</v>
      </c>
      <c r="M101" s="47">
        <f t="shared" si="111"/>
        <v>0</v>
      </c>
      <c r="N101" s="47">
        <f t="shared" si="112"/>
        <v>0</v>
      </c>
      <c r="O101" s="47">
        <f t="shared" si="113"/>
        <v>0</v>
      </c>
      <c r="P101" s="47">
        <v>0</v>
      </c>
      <c r="Q101" s="47">
        <f t="shared" si="114"/>
        <v>0</v>
      </c>
      <c r="R101" s="47">
        <v>0</v>
      </c>
      <c r="S101" s="47">
        <f t="shared" si="115"/>
        <v>0</v>
      </c>
      <c r="T101" s="47">
        <v>0</v>
      </c>
      <c r="U101" s="47">
        <f t="shared" si="116"/>
        <v>0</v>
      </c>
      <c r="V101" s="47">
        <v>0</v>
      </c>
      <c r="W101" s="47">
        <f t="shared" si="117"/>
        <v>0</v>
      </c>
      <c r="X101" s="47">
        <v>0</v>
      </c>
      <c r="Y101" s="47">
        <f t="shared" si="118"/>
        <v>0</v>
      </c>
      <c r="Z101" s="47">
        <f t="shared" si="119"/>
        <v>0</v>
      </c>
      <c r="AA101" s="47">
        <f t="shared" si="120"/>
        <v>0</v>
      </c>
      <c r="AB101" s="47">
        <f t="shared" si="121"/>
        <v>0</v>
      </c>
      <c r="AC101" s="47">
        <f t="shared" si="122"/>
        <v>0</v>
      </c>
      <c r="AD101" s="47">
        <v>0</v>
      </c>
      <c r="AE101" s="47">
        <f t="shared" si="123"/>
        <v>0</v>
      </c>
      <c r="AF101" s="47">
        <v>0</v>
      </c>
      <c r="AG101" s="47">
        <f t="shared" si="124"/>
        <v>0</v>
      </c>
      <c r="AH101" s="47">
        <v>0</v>
      </c>
      <c r="AI101" s="47">
        <f t="shared" si="125"/>
        <v>0</v>
      </c>
      <c r="AJ101" s="47">
        <v>0</v>
      </c>
      <c r="AK101" s="47">
        <f t="shared" si="126"/>
        <v>0</v>
      </c>
      <c r="AL101" s="47">
        <v>0</v>
      </c>
      <c r="AM101" s="47">
        <f t="shared" si="127"/>
        <v>0</v>
      </c>
      <c r="AN101" s="47">
        <v>0</v>
      </c>
      <c r="AO101" s="47">
        <f t="shared" si="128"/>
        <v>0</v>
      </c>
      <c r="AP101" s="47">
        <v>0</v>
      </c>
      <c r="AQ101" s="47">
        <f t="shared" si="129"/>
        <v>0</v>
      </c>
      <c r="AR101" s="47">
        <v>0</v>
      </c>
      <c r="AS101" s="47">
        <f t="shared" si="130"/>
        <v>0</v>
      </c>
      <c r="AT101" s="47">
        <v>0</v>
      </c>
      <c r="AU101" s="47">
        <f t="shared" si="131"/>
        <v>0</v>
      </c>
      <c r="AV101" s="47">
        <v>0</v>
      </c>
      <c r="AW101" s="47">
        <f t="shared" si="132"/>
        <v>0</v>
      </c>
      <c r="AX101" s="47">
        <v>0</v>
      </c>
      <c r="AY101" s="47">
        <f t="shared" si="133"/>
        <v>0</v>
      </c>
      <c r="AZ101" s="47">
        <v>0</v>
      </c>
      <c r="BA101" s="47">
        <f t="shared" si="134"/>
        <v>0</v>
      </c>
      <c r="BB101" s="48">
        <f t="shared" si="135"/>
        <v>0</v>
      </c>
      <c r="BC101" s="49">
        <f t="shared" si="136"/>
        <v>0</v>
      </c>
      <c r="BD101" s="7" t="e">
        <f t="shared" si="137"/>
        <v>#DIV/0!</v>
      </c>
      <c r="BE101" s="47">
        <f t="shared" si="138"/>
        <v>0</v>
      </c>
      <c r="BF101" s="47">
        <f t="shared" si="139"/>
        <v>0</v>
      </c>
      <c r="BG101" s="50">
        <f t="shared" si="140"/>
        <v>0</v>
      </c>
      <c r="BH101" s="50">
        <f t="shared" si="141"/>
        <v>0</v>
      </c>
      <c r="BI101" s="50">
        <f t="shared" si="142"/>
        <v>0</v>
      </c>
      <c r="BJ101" s="50">
        <f t="shared" si="143"/>
        <v>0</v>
      </c>
      <c r="BK101" s="50">
        <f t="shared" si="144"/>
        <v>0</v>
      </c>
      <c r="BL101" s="50">
        <f t="shared" si="145"/>
        <v>0</v>
      </c>
      <c r="BM101" s="51">
        <f t="shared" si="146"/>
        <v>0</v>
      </c>
      <c r="BN101" s="52">
        <f t="shared" si="147"/>
        <v>0</v>
      </c>
      <c r="BO101" s="52">
        <f t="shared" si="148"/>
        <v>0</v>
      </c>
      <c r="BP101" s="51">
        <f t="shared" si="149"/>
        <v>0.32</v>
      </c>
      <c r="BQ101" s="53">
        <f t="shared" si="150"/>
        <v>0</v>
      </c>
      <c r="BR101" s="53">
        <f t="shared" si="151"/>
        <v>0</v>
      </c>
      <c r="BS101" s="54">
        <f t="shared" si="152"/>
        <v>0</v>
      </c>
      <c r="BT101" s="55">
        <f t="shared" si="153"/>
        <v>0</v>
      </c>
      <c r="BU101" s="10" t="e">
        <f t="shared" si="154"/>
        <v>#DIV/0!</v>
      </c>
      <c r="BV101" s="3"/>
    </row>
    <row r="102" spans="1:74" ht="11.65" hidden="1">
      <c r="A102" s="646"/>
      <c r="B102" s="61"/>
      <c r="C102" s="56"/>
      <c r="D102" s="44"/>
      <c r="E102" s="7"/>
      <c r="F102" s="45"/>
      <c r="G102" s="46">
        <f t="shared" si="107"/>
        <v>0</v>
      </c>
      <c r="H102" s="7"/>
      <c r="I102" s="46">
        <f t="shared" si="108"/>
        <v>0</v>
      </c>
      <c r="J102" s="47">
        <v>0</v>
      </c>
      <c r="K102" s="47">
        <f t="shared" si="109"/>
        <v>0</v>
      </c>
      <c r="L102" s="47">
        <f t="shared" si="110"/>
        <v>0</v>
      </c>
      <c r="M102" s="47">
        <f t="shared" si="111"/>
        <v>0</v>
      </c>
      <c r="N102" s="47">
        <f t="shared" si="112"/>
        <v>0</v>
      </c>
      <c r="O102" s="47">
        <f t="shared" si="113"/>
        <v>0</v>
      </c>
      <c r="P102" s="47">
        <v>0</v>
      </c>
      <c r="Q102" s="47">
        <f t="shared" si="114"/>
        <v>0</v>
      </c>
      <c r="R102" s="47">
        <v>0</v>
      </c>
      <c r="S102" s="47">
        <f t="shared" si="115"/>
        <v>0</v>
      </c>
      <c r="T102" s="47">
        <v>0</v>
      </c>
      <c r="U102" s="47">
        <f t="shared" si="116"/>
        <v>0</v>
      </c>
      <c r="V102" s="47">
        <v>0</v>
      </c>
      <c r="W102" s="47">
        <f t="shared" si="117"/>
        <v>0</v>
      </c>
      <c r="X102" s="47">
        <v>0</v>
      </c>
      <c r="Y102" s="47">
        <f t="shared" si="118"/>
        <v>0</v>
      </c>
      <c r="Z102" s="47">
        <f t="shared" si="119"/>
        <v>0</v>
      </c>
      <c r="AA102" s="47">
        <f t="shared" si="120"/>
        <v>0</v>
      </c>
      <c r="AB102" s="47">
        <f t="shared" si="121"/>
        <v>0</v>
      </c>
      <c r="AC102" s="47">
        <f t="shared" si="122"/>
        <v>0</v>
      </c>
      <c r="AD102" s="47">
        <v>0</v>
      </c>
      <c r="AE102" s="47">
        <f t="shared" si="123"/>
        <v>0</v>
      </c>
      <c r="AF102" s="47">
        <v>0</v>
      </c>
      <c r="AG102" s="47">
        <f t="shared" si="124"/>
        <v>0</v>
      </c>
      <c r="AH102" s="47">
        <v>0</v>
      </c>
      <c r="AI102" s="47">
        <f t="shared" si="125"/>
        <v>0</v>
      </c>
      <c r="AJ102" s="47">
        <v>0</v>
      </c>
      <c r="AK102" s="47">
        <f t="shared" si="126"/>
        <v>0</v>
      </c>
      <c r="AL102" s="47">
        <v>0</v>
      </c>
      <c r="AM102" s="47">
        <f t="shared" si="127"/>
        <v>0</v>
      </c>
      <c r="AN102" s="47">
        <v>0</v>
      </c>
      <c r="AO102" s="47">
        <f t="shared" si="128"/>
        <v>0</v>
      </c>
      <c r="AP102" s="47">
        <v>0</v>
      </c>
      <c r="AQ102" s="47">
        <f t="shared" si="129"/>
        <v>0</v>
      </c>
      <c r="AR102" s="47">
        <v>0</v>
      </c>
      <c r="AS102" s="47">
        <f t="shared" si="130"/>
        <v>0</v>
      </c>
      <c r="AT102" s="47">
        <v>0</v>
      </c>
      <c r="AU102" s="47">
        <f t="shared" si="131"/>
        <v>0</v>
      </c>
      <c r="AV102" s="47">
        <v>0</v>
      </c>
      <c r="AW102" s="47">
        <f t="shared" si="132"/>
        <v>0</v>
      </c>
      <c r="AX102" s="47">
        <v>0</v>
      </c>
      <c r="AY102" s="47">
        <f t="shared" si="133"/>
        <v>0</v>
      </c>
      <c r="AZ102" s="47">
        <v>0</v>
      </c>
      <c r="BA102" s="47">
        <f t="shared" si="134"/>
        <v>0</v>
      </c>
      <c r="BB102" s="48">
        <f t="shared" si="135"/>
        <v>0</v>
      </c>
      <c r="BC102" s="49">
        <f t="shared" si="136"/>
        <v>0</v>
      </c>
      <c r="BD102" s="7" t="e">
        <f t="shared" si="137"/>
        <v>#DIV/0!</v>
      </c>
      <c r="BE102" s="47">
        <f t="shared" si="138"/>
        <v>0</v>
      </c>
      <c r="BF102" s="47">
        <f t="shared" si="139"/>
        <v>0</v>
      </c>
      <c r="BG102" s="50">
        <f t="shared" si="140"/>
        <v>0</v>
      </c>
      <c r="BH102" s="50">
        <f t="shared" si="141"/>
        <v>0</v>
      </c>
      <c r="BI102" s="50">
        <f t="shared" si="142"/>
        <v>0</v>
      </c>
      <c r="BJ102" s="50">
        <f t="shared" si="143"/>
        <v>0</v>
      </c>
      <c r="BK102" s="50">
        <f t="shared" si="144"/>
        <v>0</v>
      </c>
      <c r="BL102" s="50">
        <f t="shared" si="145"/>
        <v>0</v>
      </c>
      <c r="BM102" s="51">
        <f t="shared" si="146"/>
        <v>0</v>
      </c>
      <c r="BN102" s="52">
        <f t="shared" si="147"/>
        <v>0</v>
      </c>
      <c r="BO102" s="52">
        <f t="shared" si="148"/>
        <v>0</v>
      </c>
      <c r="BP102" s="51">
        <f t="shared" si="149"/>
        <v>0.32</v>
      </c>
      <c r="BQ102" s="53">
        <f t="shared" si="150"/>
        <v>0</v>
      </c>
      <c r="BR102" s="53">
        <f t="shared" si="151"/>
        <v>0</v>
      </c>
      <c r="BS102" s="54">
        <f t="shared" si="152"/>
        <v>0</v>
      </c>
      <c r="BT102" s="55">
        <f t="shared" si="153"/>
        <v>0</v>
      </c>
      <c r="BU102" s="10" t="e">
        <f t="shared" si="154"/>
        <v>#DIV/0!</v>
      </c>
      <c r="BV102" s="3"/>
    </row>
    <row r="103" spans="1:74" ht="11.65" hidden="1">
      <c r="A103" s="646"/>
      <c r="B103" s="61"/>
      <c r="C103" s="56"/>
      <c r="D103" s="44"/>
      <c r="E103" s="7"/>
      <c r="F103" s="45"/>
      <c r="G103" s="46">
        <f t="shared" si="107"/>
        <v>0</v>
      </c>
      <c r="H103" s="7"/>
      <c r="I103" s="46">
        <f t="shared" si="108"/>
        <v>0</v>
      </c>
      <c r="J103" s="47">
        <v>0</v>
      </c>
      <c r="K103" s="47">
        <f t="shared" si="109"/>
        <v>0</v>
      </c>
      <c r="L103" s="47">
        <f t="shared" si="110"/>
        <v>0</v>
      </c>
      <c r="M103" s="47">
        <f t="shared" si="111"/>
        <v>0</v>
      </c>
      <c r="N103" s="47">
        <f t="shared" si="112"/>
        <v>0</v>
      </c>
      <c r="O103" s="47">
        <f t="shared" si="113"/>
        <v>0</v>
      </c>
      <c r="P103" s="47">
        <v>0</v>
      </c>
      <c r="Q103" s="47">
        <f t="shared" si="114"/>
        <v>0</v>
      </c>
      <c r="R103" s="47">
        <v>0</v>
      </c>
      <c r="S103" s="47">
        <f t="shared" si="115"/>
        <v>0</v>
      </c>
      <c r="T103" s="47">
        <v>0</v>
      </c>
      <c r="U103" s="47">
        <f t="shared" si="116"/>
        <v>0</v>
      </c>
      <c r="V103" s="47">
        <v>0</v>
      </c>
      <c r="W103" s="47">
        <f t="shared" si="117"/>
        <v>0</v>
      </c>
      <c r="X103" s="47">
        <v>0</v>
      </c>
      <c r="Y103" s="47">
        <f t="shared" si="118"/>
        <v>0</v>
      </c>
      <c r="Z103" s="47">
        <f t="shared" si="119"/>
        <v>0</v>
      </c>
      <c r="AA103" s="47">
        <f t="shared" si="120"/>
        <v>0</v>
      </c>
      <c r="AB103" s="47">
        <f t="shared" si="121"/>
        <v>0</v>
      </c>
      <c r="AC103" s="47">
        <f t="shared" si="122"/>
        <v>0</v>
      </c>
      <c r="AD103" s="47">
        <v>0</v>
      </c>
      <c r="AE103" s="47">
        <f t="shared" si="123"/>
        <v>0</v>
      </c>
      <c r="AF103" s="47">
        <v>0</v>
      </c>
      <c r="AG103" s="47">
        <f t="shared" si="124"/>
        <v>0</v>
      </c>
      <c r="AH103" s="47">
        <v>0</v>
      </c>
      <c r="AI103" s="47">
        <f t="shared" si="125"/>
        <v>0</v>
      </c>
      <c r="AJ103" s="47">
        <v>0</v>
      </c>
      <c r="AK103" s="47">
        <f t="shared" si="126"/>
        <v>0</v>
      </c>
      <c r="AL103" s="47">
        <v>0</v>
      </c>
      <c r="AM103" s="47">
        <f t="shared" si="127"/>
        <v>0</v>
      </c>
      <c r="AN103" s="47">
        <v>0</v>
      </c>
      <c r="AO103" s="47">
        <f t="shared" si="128"/>
        <v>0</v>
      </c>
      <c r="AP103" s="47">
        <v>0</v>
      </c>
      <c r="AQ103" s="47">
        <f t="shared" si="129"/>
        <v>0</v>
      </c>
      <c r="AR103" s="47">
        <v>0</v>
      </c>
      <c r="AS103" s="47">
        <f t="shared" si="130"/>
        <v>0</v>
      </c>
      <c r="AT103" s="47">
        <v>0</v>
      </c>
      <c r="AU103" s="47">
        <f t="shared" si="131"/>
        <v>0</v>
      </c>
      <c r="AV103" s="47">
        <v>0</v>
      </c>
      <c r="AW103" s="47">
        <f t="shared" si="132"/>
        <v>0</v>
      </c>
      <c r="AX103" s="47">
        <v>0</v>
      </c>
      <c r="AY103" s="47">
        <f t="shared" si="133"/>
        <v>0</v>
      </c>
      <c r="AZ103" s="47">
        <v>0</v>
      </c>
      <c r="BA103" s="47">
        <f t="shared" si="134"/>
        <v>0</v>
      </c>
      <c r="BB103" s="48">
        <f t="shared" si="135"/>
        <v>0</v>
      </c>
      <c r="BC103" s="49">
        <f t="shared" si="136"/>
        <v>0</v>
      </c>
      <c r="BD103" s="7" t="e">
        <f t="shared" si="137"/>
        <v>#DIV/0!</v>
      </c>
      <c r="BE103" s="47">
        <f t="shared" si="138"/>
        <v>0</v>
      </c>
      <c r="BF103" s="47">
        <f t="shared" si="139"/>
        <v>0</v>
      </c>
      <c r="BG103" s="50">
        <f t="shared" si="140"/>
        <v>0</v>
      </c>
      <c r="BH103" s="50">
        <f t="shared" si="141"/>
        <v>0</v>
      </c>
      <c r="BI103" s="50">
        <f t="shared" si="142"/>
        <v>0</v>
      </c>
      <c r="BJ103" s="50">
        <f t="shared" si="143"/>
        <v>0</v>
      </c>
      <c r="BK103" s="50">
        <f t="shared" si="144"/>
        <v>0</v>
      </c>
      <c r="BL103" s="50">
        <f t="shared" si="145"/>
        <v>0</v>
      </c>
      <c r="BM103" s="51">
        <f t="shared" si="146"/>
        <v>0</v>
      </c>
      <c r="BN103" s="52">
        <f t="shared" si="147"/>
        <v>0</v>
      </c>
      <c r="BO103" s="52">
        <f t="shared" si="148"/>
        <v>0</v>
      </c>
      <c r="BP103" s="51">
        <f t="shared" si="149"/>
        <v>0.32</v>
      </c>
      <c r="BQ103" s="53">
        <f t="shared" si="150"/>
        <v>0</v>
      </c>
      <c r="BR103" s="53">
        <f t="shared" si="151"/>
        <v>0</v>
      </c>
      <c r="BS103" s="54">
        <f t="shared" si="152"/>
        <v>0</v>
      </c>
      <c r="BT103" s="55">
        <f t="shared" si="153"/>
        <v>0</v>
      </c>
      <c r="BU103" s="10" t="e">
        <f t="shared" si="154"/>
        <v>#DIV/0!</v>
      </c>
      <c r="BV103" s="3"/>
    </row>
    <row r="104" spans="1:74" ht="11.65" hidden="1">
      <c r="A104" s="646"/>
      <c r="B104" s="61"/>
      <c r="C104" s="56"/>
      <c r="D104" s="44"/>
      <c r="E104" s="7"/>
      <c r="F104" s="45"/>
      <c r="G104" s="46">
        <f t="shared" si="107"/>
        <v>0</v>
      </c>
      <c r="H104" s="7"/>
      <c r="I104" s="46">
        <f t="shared" si="108"/>
        <v>0</v>
      </c>
      <c r="J104" s="47">
        <v>0</v>
      </c>
      <c r="K104" s="47">
        <f t="shared" si="109"/>
        <v>0</v>
      </c>
      <c r="L104" s="47">
        <f t="shared" si="110"/>
        <v>0</v>
      </c>
      <c r="M104" s="47">
        <f t="shared" si="111"/>
        <v>0</v>
      </c>
      <c r="N104" s="47">
        <f t="shared" si="112"/>
        <v>0</v>
      </c>
      <c r="O104" s="47">
        <f t="shared" si="113"/>
        <v>0</v>
      </c>
      <c r="P104" s="47">
        <v>0</v>
      </c>
      <c r="Q104" s="47">
        <f t="shared" si="114"/>
        <v>0</v>
      </c>
      <c r="R104" s="47">
        <v>0</v>
      </c>
      <c r="S104" s="47">
        <f t="shared" si="115"/>
        <v>0</v>
      </c>
      <c r="T104" s="47">
        <v>0</v>
      </c>
      <c r="U104" s="47">
        <f t="shared" si="116"/>
        <v>0</v>
      </c>
      <c r="V104" s="47">
        <v>0</v>
      </c>
      <c r="W104" s="47">
        <f t="shared" si="117"/>
        <v>0</v>
      </c>
      <c r="X104" s="47">
        <v>0</v>
      </c>
      <c r="Y104" s="47">
        <f t="shared" si="118"/>
        <v>0</v>
      </c>
      <c r="Z104" s="47">
        <f t="shared" si="119"/>
        <v>0</v>
      </c>
      <c r="AA104" s="47">
        <f t="shared" si="120"/>
        <v>0</v>
      </c>
      <c r="AB104" s="47">
        <f t="shared" si="121"/>
        <v>0</v>
      </c>
      <c r="AC104" s="47">
        <f t="shared" si="122"/>
        <v>0</v>
      </c>
      <c r="AD104" s="47">
        <v>0</v>
      </c>
      <c r="AE104" s="47">
        <f t="shared" si="123"/>
        <v>0</v>
      </c>
      <c r="AF104" s="47">
        <v>0</v>
      </c>
      <c r="AG104" s="47">
        <f t="shared" si="124"/>
        <v>0</v>
      </c>
      <c r="AH104" s="47">
        <v>0</v>
      </c>
      <c r="AI104" s="47">
        <f t="shared" si="125"/>
        <v>0</v>
      </c>
      <c r="AJ104" s="47">
        <v>0</v>
      </c>
      <c r="AK104" s="47">
        <f t="shared" si="126"/>
        <v>0</v>
      </c>
      <c r="AL104" s="47">
        <v>0</v>
      </c>
      <c r="AM104" s="47">
        <f t="shared" si="127"/>
        <v>0</v>
      </c>
      <c r="AN104" s="47">
        <v>0</v>
      </c>
      <c r="AO104" s="47">
        <f t="shared" si="128"/>
        <v>0</v>
      </c>
      <c r="AP104" s="47">
        <v>0</v>
      </c>
      <c r="AQ104" s="47">
        <f t="shared" si="129"/>
        <v>0</v>
      </c>
      <c r="AR104" s="47">
        <v>0</v>
      </c>
      <c r="AS104" s="47">
        <f t="shared" si="130"/>
        <v>0</v>
      </c>
      <c r="AT104" s="47">
        <v>0</v>
      </c>
      <c r="AU104" s="47">
        <f t="shared" si="131"/>
        <v>0</v>
      </c>
      <c r="AV104" s="47">
        <v>0</v>
      </c>
      <c r="AW104" s="47">
        <f t="shared" si="132"/>
        <v>0</v>
      </c>
      <c r="AX104" s="47">
        <v>0</v>
      </c>
      <c r="AY104" s="47">
        <f t="shared" si="133"/>
        <v>0</v>
      </c>
      <c r="AZ104" s="47">
        <v>0</v>
      </c>
      <c r="BA104" s="47">
        <f t="shared" si="134"/>
        <v>0</v>
      </c>
      <c r="BB104" s="48">
        <f t="shared" si="135"/>
        <v>0</v>
      </c>
      <c r="BC104" s="49">
        <f t="shared" si="136"/>
        <v>0</v>
      </c>
      <c r="BD104" s="7" t="e">
        <f t="shared" si="137"/>
        <v>#DIV/0!</v>
      </c>
      <c r="BE104" s="47">
        <f t="shared" si="138"/>
        <v>0</v>
      </c>
      <c r="BF104" s="47">
        <f t="shared" si="139"/>
        <v>0</v>
      </c>
      <c r="BG104" s="50">
        <f t="shared" si="140"/>
        <v>0</v>
      </c>
      <c r="BH104" s="50">
        <f t="shared" si="141"/>
        <v>0</v>
      </c>
      <c r="BI104" s="50">
        <f t="shared" si="142"/>
        <v>0</v>
      </c>
      <c r="BJ104" s="50">
        <f t="shared" si="143"/>
        <v>0</v>
      </c>
      <c r="BK104" s="50">
        <f t="shared" si="144"/>
        <v>0</v>
      </c>
      <c r="BL104" s="50">
        <f t="shared" si="145"/>
        <v>0</v>
      </c>
      <c r="BM104" s="51">
        <f t="shared" si="146"/>
        <v>0</v>
      </c>
      <c r="BN104" s="52">
        <f t="shared" si="147"/>
        <v>0</v>
      </c>
      <c r="BO104" s="52">
        <f t="shared" si="148"/>
        <v>0</v>
      </c>
      <c r="BP104" s="51">
        <f t="shared" si="149"/>
        <v>0.32</v>
      </c>
      <c r="BQ104" s="53">
        <f t="shared" si="150"/>
        <v>0</v>
      </c>
      <c r="BR104" s="53">
        <f t="shared" si="151"/>
        <v>0</v>
      </c>
      <c r="BS104" s="54">
        <f t="shared" si="152"/>
        <v>0</v>
      </c>
      <c r="BT104" s="55">
        <f t="shared" si="153"/>
        <v>0</v>
      </c>
      <c r="BU104" s="10" t="e">
        <f t="shared" si="154"/>
        <v>#DIV/0!</v>
      </c>
      <c r="BV104" s="3"/>
    </row>
    <row r="105" spans="1:74" ht="11.65" hidden="1">
      <c r="A105" s="646"/>
      <c r="B105" s="61"/>
      <c r="C105" s="56"/>
      <c r="D105" s="44"/>
      <c r="E105" s="7"/>
      <c r="F105" s="45"/>
      <c r="G105" s="46">
        <f t="shared" si="107"/>
        <v>0</v>
      </c>
      <c r="H105" s="7"/>
      <c r="I105" s="46">
        <f t="shared" si="108"/>
        <v>0</v>
      </c>
      <c r="J105" s="47">
        <v>0</v>
      </c>
      <c r="K105" s="47">
        <f t="shared" si="109"/>
        <v>0</v>
      </c>
      <c r="L105" s="47">
        <f t="shared" si="110"/>
        <v>0</v>
      </c>
      <c r="M105" s="47">
        <f t="shared" si="111"/>
        <v>0</v>
      </c>
      <c r="N105" s="47">
        <f t="shared" si="112"/>
        <v>0</v>
      </c>
      <c r="O105" s="47">
        <f t="shared" si="113"/>
        <v>0</v>
      </c>
      <c r="P105" s="47">
        <v>0</v>
      </c>
      <c r="Q105" s="47">
        <f t="shared" si="114"/>
        <v>0</v>
      </c>
      <c r="R105" s="47">
        <v>0</v>
      </c>
      <c r="S105" s="47">
        <f t="shared" si="115"/>
        <v>0</v>
      </c>
      <c r="T105" s="47">
        <v>0</v>
      </c>
      <c r="U105" s="47">
        <f t="shared" si="116"/>
        <v>0</v>
      </c>
      <c r="V105" s="47">
        <v>0</v>
      </c>
      <c r="W105" s="47">
        <f t="shared" si="117"/>
        <v>0</v>
      </c>
      <c r="X105" s="47">
        <v>0</v>
      </c>
      <c r="Y105" s="47">
        <f t="shared" si="118"/>
        <v>0</v>
      </c>
      <c r="Z105" s="47">
        <f t="shared" si="119"/>
        <v>0</v>
      </c>
      <c r="AA105" s="47">
        <f t="shared" si="120"/>
        <v>0</v>
      </c>
      <c r="AB105" s="47">
        <f t="shared" si="121"/>
        <v>0</v>
      </c>
      <c r="AC105" s="47">
        <f t="shared" si="122"/>
        <v>0</v>
      </c>
      <c r="AD105" s="47">
        <v>0</v>
      </c>
      <c r="AE105" s="47">
        <f t="shared" si="123"/>
        <v>0</v>
      </c>
      <c r="AF105" s="47">
        <v>0</v>
      </c>
      <c r="AG105" s="47">
        <f t="shared" si="124"/>
        <v>0</v>
      </c>
      <c r="AH105" s="47">
        <v>0</v>
      </c>
      <c r="AI105" s="47">
        <f t="shared" si="125"/>
        <v>0</v>
      </c>
      <c r="AJ105" s="47">
        <v>0</v>
      </c>
      <c r="AK105" s="47">
        <f t="shared" si="126"/>
        <v>0</v>
      </c>
      <c r="AL105" s="47">
        <v>0</v>
      </c>
      <c r="AM105" s="47">
        <f t="shared" si="127"/>
        <v>0</v>
      </c>
      <c r="AN105" s="47">
        <v>0</v>
      </c>
      <c r="AO105" s="47">
        <f t="shared" si="128"/>
        <v>0</v>
      </c>
      <c r="AP105" s="47">
        <v>0</v>
      </c>
      <c r="AQ105" s="47">
        <f t="shared" si="129"/>
        <v>0</v>
      </c>
      <c r="AR105" s="47">
        <v>0</v>
      </c>
      <c r="AS105" s="47">
        <f t="shared" si="130"/>
        <v>0</v>
      </c>
      <c r="AT105" s="47">
        <v>0</v>
      </c>
      <c r="AU105" s="47">
        <f t="shared" si="131"/>
        <v>0</v>
      </c>
      <c r="AV105" s="47">
        <v>0</v>
      </c>
      <c r="AW105" s="47">
        <f t="shared" si="132"/>
        <v>0</v>
      </c>
      <c r="AX105" s="47">
        <v>0</v>
      </c>
      <c r="AY105" s="47">
        <f t="shared" si="133"/>
        <v>0</v>
      </c>
      <c r="AZ105" s="47">
        <v>0</v>
      </c>
      <c r="BA105" s="47">
        <f t="shared" si="134"/>
        <v>0</v>
      </c>
      <c r="BB105" s="48">
        <f t="shared" si="135"/>
        <v>0</v>
      </c>
      <c r="BC105" s="49">
        <f t="shared" si="136"/>
        <v>0</v>
      </c>
      <c r="BD105" s="7" t="e">
        <f t="shared" si="137"/>
        <v>#DIV/0!</v>
      </c>
      <c r="BE105" s="47">
        <f t="shared" si="138"/>
        <v>0</v>
      </c>
      <c r="BF105" s="47">
        <f t="shared" si="139"/>
        <v>0</v>
      </c>
      <c r="BG105" s="50">
        <f t="shared" si="140"/>
        <v>0</v>
      </c>
      <c r="BH105" s="50">
        <f t="shared" si="141"/>
        <v>0</v>
      </c>
      <c r="BI105" s="50">
        <f t="shared" si="142"/>
        <v>0</v>
      </c>
      <c r="BJ105" s="50">
        <f t="shared" si="143"/>
        <v>0</v>
      </c>
      <c r="BK105" s="50">
        <f t="shared" si="144"/>
        <v>0</v>
      </c>
      <c r="BL105" s="50">
        <f t="shared" si="145"/>
        <v>0</v>
      </c>
      <c r="BM105" s="51">
        <f t="shared" si="146"/>
        <v>0</v>
      </c>
      <c r="BN105" s="52">
        <f t="shared" si="147"/>
        <v>0</v>
      </c>
      <c r="BO105" s="52">
        <f t="shared" si="148"/>
        <v>0</v>
      </c>
      <c r="BP105" s="51">
        <f t="shared" si="149"/>
        <v>0.32</v>
      </c>
      <c r="BQ105" s="53">
        <f t="shared" si="150"/>
        <v>0</v>
      </c>
      <c r="BR105" s="53">
        <f t="shared" si="151"/>
        <v>0</v>
      </c>
      <c r="BS105" s="54">
        <f t="shared" si="152"/>
        <v>0</v>
      </c>
      <c r="BT105" s="55">
        <f t="shared" si="153"/>
        <v>0</v>
      </c>
      <c r="BU105" s="10" t="e">
        <f t="shared" si="154"/>
        <v>#DIV/0!</v>
      </c>
      <c r="BV105" s="3"/>
    </row>
    <row r="106" spans="1:74" ht="11.65" hidden="1">
      <c r="A106" s="646"/>
      <c r="B106" s="61"/>
      <c r="C106" s="56"/>
      <c r="D106" s="44"/>
      <c r="E106" s="7"/>
      <c r="F106" s="45"/>
      <c r="G106" s="46">
        <f t="shared" si="107"/>
        <v>0</v>
      </c>
      <c r="H106" s="7"/>
      <c r="I106" s="46">
        <f t="shared" si="108"/>
        <v>0</v>
      </c>
      <c r="J106" s="47">
        <v>0</v>
      </c>
      <c r="K106" s="47">
        <f t="shared" si="109"/>
        <v>0</v>
      </c>
      <c r="L106" s="47">
        <f t="shared" si="110"/>
        <v>0</v>
      </c>
      <c r="M106" s="47">
        <f t="shared" si="111"/>
        <v>0</v>
      </c>
      <c r="N106" s="47">
        <f t="shared" si="112"/>
        <v>0</v>
      </c>
      <c r="O106" s="47">
        <f t="shared" si="113"/>
        <v>0</v>
      </c>
      <c r="P106" s="47">
        <v>0</v>
      </c>
      <c r="Q106" s="47">
        <f t="shared" si="114"/>
        <v>0</v>
      </c>
      <c r="R106" s="47">
        <v>0</v>
      </c>
      <c r="S106" s="47">
        <f t="shared" si="115"/>
        <v>0</v>
      </c>
      <c r="T106" s="47">
        <v>0</v>
      </c>
      <c r="U106" s="47">
        <f t="shared" si="116"/>
        <v>0</v>
      </c>
      <c r="V106" s="47">
        <v>0</v>
      </c>
      <c r="W106" s="47">
        <f t="shared" si="117"/>
        <v>0</v>
      </c>
      <c r="X106" s="47">
        <v>0</v>
      </c>
      <c r="Y106" s="47">
        <f t="shared" si="118"/>
        <v>0</v>
      </c>
      <c r="Z106" s="47">
        <f t="shared" si="119"/>
        <v>0</v>
      </c>
      <c r="AA106" s="47">
        <f t="shared" si="120"/>
        <v>0</v>
      </c>
      <c r="AB106" s="47">
        <f t="shared" si="121"/>
        <v>0</v>
      </c>
      <c r="AC106" s="47">
        <f t="shared" si="122"/>
        <v>0</v>
      </c>
      <c r="AD106" s="47">
        <v>0</v>
      </c>
      <c r="AE106" s="47">
        <f t="shared" si="123"/>
        <v>0</v>
      </c>
      <c r="AF106" s="47">
        <v>0</v>
      </c>
      <c r="AG106" s="47">
        <f t="shared" si="124"/>
        <v>0</v>
      </c>
      <c r="AH106" s="47">
        <v>0</v>
      </c>
      <c r="AI106" s="47">
        <f t="shared" si="125"/>
        <v>0</v>
      </c>
      <c r="AJ106" s="47">
        <v>0</v>
      </c>
      <c r="AK106" s="47">
        <f t="shared" si="126"/>
        <v>0</v>
      </c>
      <c r="AL106" s="47">
        <v>0</v>
      </c>
      <c r="AM106" s="47">
        <f t="shared" si="127"/>
        <v>0</v>
      </c>
      <c r="AN106" s="47">
        <v>0</v>
      </c>
      <c r="AO106" s="47">
        <f t="shared" si="128"/>
        <v>0</v>
      </c>
      <c r="AP106" s="47">
        <v>0</v>
      </c>
      <c r="AQ106" s="47">
        <f t="shared" si="129"/>
        <v>0</v>
      </c>
      <c r="AR106" s="47">
        <v>0</v>
      </c>
      <c r="AS106" s="47">
        <f t="shared" si="130"/>
        <v>0</v>
      </c>
      <c r="AT106" s="47">
        <v>0</v>
      </c>
      <c r="AU106" s="47">
        <f t="shared" si="131"/>
        <v>0</v>
      </c>
      <c r="AV106" s="47">
        <v>0</v>
      </c>
      <c r="AW106" s="47">
        <f t="shared" si="132"/>
        <v>0</v>
      </c>
      <c r="AX106" s="47">
        <v>0</v>
      </c>
      <c r="AY106" s="47">
        <f t="shared" si="133"/>
        <v>0</v>
      </c>
      <c r="AZ106" s="47">
        <v>0</v>
      </c>
      <c r="BA106" s="47">
        <f t="shared" si="134"/>
        <v>0</v>
      </c>
      <c r="BB106" s="48">
        <f t="shared" si="135"/>
        <v>0</v>
      </c>
      <c r="BC106" s="49">
        <f t="shared" si="136"/>
        <v>0</v>
      </c>
      <c r="BD106" s="7" t="e">
        <f t="shared" si="137"/>
        <v>#DIV/0!</v>
      </c>
      <c r="BE106" s="47">
        <f t="shared" si="138"/>
        <v>0</v>
      </c>
      <c r="BF106" s="47">
        <f t="shared" si="139"/>
        <v>0</v>
      </c>
      <c r="BG106" s="50">
        <f t="shared" si="140"/>
        <v>0</v>
      </c>
      <c r="BH106" s="50">
        <f t="shared" si="141"/>
        <v>0</v>
      </c>
      <c r="BI106" s="50">
        <f t="shared" si="142"/>
        <v>0</v>
      </c>
      <c r="BJ106" s="50">
        <f t="shared" si="143"/>
        <v>0</v>
      </c>
      <c r="BK106" s="50">
        <f t="shared" si="144"/>
        <v>0</v>
      </c>
      <c r="BL106" s="50">
        <f t="shared" si="145"/>
        <v>0</v>
      </c>
      <c r="BM106" s="51">
        <f t="shared" si="146"/>
        <v>0</v>
      </c>
      <c r="BN106" s="52">
        <f t="shared" si="147"/>
        <v>0</v>
      </c>
      <c r="BO106" s="52">
        <f t="shared" si="148"/>
        <v>0</v>
      </c>
      <c r="BP106" s="51">
        <f t="shared" si="149"/>
        <v>0.32</v>
      </c>
      <c r="BQ106" s="53">
        <f t="shared" si="150"/>
        <v>0</v>
      </c>
      <c r="BR106" s="53">
        <f t="shared" si="151"/>
        <v>0</v>
      </c>
      <c r="BS106" s="54">
        <f t="shared" si="152"/>
        <v>0</v>
      </c>
      <c r="BT106" s="55">
        <f t="shared" si="153"/>
        <v>0</v>
      </c>
      <c r="BU106" s="10" t="e">
        <f t="shared" si="154"/>
        <v>#DIV/0!</v>
      </c>
      <c r="BV106" s="3"/>
    </row>
    <row r="107" spans="1:74" ht="11.65" hidden="1">
      <c r="A107" s="646"/>
      <c r="B107" s="61"/>
      <c r="C107" s="56"/>
      <c r="D107" s="44"/>
      <c r="E107" s="7"/>
      <c r="F107" s="45"/>
      <c r="G107" s="46">
        <f t="shared" si="107"/>
        <v>0</v>
      </c>
      <c r="H107" s="7"/>
      <c r="I107" s="46">
        <f t="shared" si="108"/>
        <v>0</v>
      </c>
      <c r="J107" s="47">
        <v>0</v>
      </c>
      <c r="K107" s="47">
        <f t="shared" si="109"/>
        <v>0</v>
      </c>
      <c r="L107" s="47">
        <f t="shared" si="110"/>
        <v>0</v>
      </c>
      <c r="M107" s="47">
        <f t="shared" si="111"/>
        <v>0</v>
      </c>
      <c r="N107" s="47">
        <f t="shared" si="112"/>
        <v>0</v>
      </c>
      <c r="O107" s="47">
        <f t="shared" si="113"/>
        <v>0</v>
      </c>
      <c r="P107" s="47">
        <v>0</v>
      </c>
      <c r="Q107" s="47">
        <f t="shared" si="114"/>
        <v>0</v>
      </c>
      <c r="R107" s="47">
        <v>0</v>
      </c>
      <c r="S107" s="47">
        <f t="shared" si="115"/>
        <v>0</v>
      </c>
      <c r="T107" s="47">
        <v>0</v>
      </c>
      <c r="U107" s="47">
        <f t="shared" si="116"/>
        <v>0</v>
      </c>
      <c r="V107" s="47">
        <v>0</v>
      </c>
      <c r="W107" s="47">
        <f t="shared" si="117"/>
        <v>0</v>
      </c>
      <c r="X107" s="47">
        <v>0</v>
      </c>
      <c r="Y107" s="47">
        <f t="shared" si="118"/>
        <v>0</v>
      </c>
      <c r="Z107" s="47">
        <f t="shared" si="119"/>
        <v>0</v>
      </c>
      <c r="AA107" s="47">
        <f t="shared" si="120"/>
        <v>0</v>
      </c>
      <c r="AB107" s="47">
        <f t="shared" si="121"/>
        <v>0</v>
      </c>
      <c r="AC107" s="47">
        <f t="shared" si="122"/>
        <v>0</v>
      </c>
      <c r="AD107" s="47">
        <v>0</v>
      </c>
      <c r="AE107" s="47">
        <f t="shared" si="123"/>
        <v>0</v>
      </c>
      <c r="AF107" s="47">
        <v>0</v>
      </c>
      <c r="AG107" s="47">
        <f t="shared" si="124"/>
        <v>0</v>
      </c>
      <c r="AH107" s="47">
        <v>0</v>
      </c>
      <c r="AI107" s="47">
        <f t="shared" si="125"/>
        <v>0</v>
      </c>
      <c r="AJ107" s="47">
        <v>0</v>
      </c>
      <c r="AK107" s="47">
        <f t="shared" si="126"/>
        <v>0</v>
      </c>
      <c r="AL107" s="47">
        <v>0</v>
      </c>
      <c r="AM107" s="47">
        <f t="shared" si="127"/>
        <v>0</v>
      </c>
      <c r="AN107" s="47">
        <v>0</v>
      </c>
      <c r="AO107" s="47">
        <f t="shared" si="128"/>
        <v>0</v>
      </c>
      <c r="AP107" s="47">
        <v>0</v>
      </c>
      <c r="AQ107" s="47">
        <f t="shared" si="129"/>
        <v>0</v>
      </c>
      <c r="AR107" s="47">
        <v>0</v>
      </c>
      <c r="AS107" s="47">
        <f t="shared" si="130"/>
        <v>0</v>
      </c>
      <c r="AT107" s="47">
        <v>0</v>
      </c>
      <c r="AU107" s="47">
        <f t="shared" si="131"/>
        <v>0</v>
      </c>
      <c r="AV107" s="47">
        <v>0</v>
      </c>
      <c r="AW107" s="47">
        <f t="shared" si="132"/>
        <v>0</v>
      </c>
      <c r="AX107" s="47">
        <v>0</v>
      </c>
      <c r="AY107" s="47">
        <f t="shared" si="133"/>
        <v>0</v>
      </c>
      <c r="AZ107" s="47">
        <v>0</v>
      </c>
      <c r="BA107" s="47">
        <f t="shared" si="134"/>
        <v>0</v>
      </c>
      <c r="BB107" s="48">
        <f t="shared" si="135"/>
        <v>0</v>
      </c>
      <c r="BC107" s="49">
        <f t="shared" si="136"/>
        <v>0</v>
      </c>
      <c r="BD107" s="7" t="e">
        <f t="shared" si="137"/>
        <v>#DIV/0!</v>
      </c>
      <c r="BE107" s="47">
        <f t="shared" si="138"/>
        <v>0</v>
      </c>
      <c r="BF107" s="47">
        <f t="shared" si="139"/>
        <v>0</v>
      </c>
      <c r="BG107" s="50">
        <f t="shared" si="140"/>
        <v>0</v>
      </c>
      <c r="BH107" s="50">
        <f t="shared" si="141"/>
        <v>0</v>
      </c>
      <c r="BI107" s="50">
        <f t="shared" si="142"/>
        <v>0</v>
      </c>
      <c r="BJ107" s="50">
        <f t="shared" si="143"/>
        <v>0</v>
      </c>
      <c r="BK107" s="50">
        <f t="shared" si="144"/>
        <v>0</v>
      </c>
      <c r="BL107" s="50">
        <f t="shared" si="145"/>
        <v>0</v>
      </c>
      <c r="BM107" s="51">
        <f t="shared" si="146"/>
        <v>0</v>
      </c>
      <c r="BN107" s="52">
        <f t="shared" si="147"/>
        <v>0</v>
      </c>
      <c r="BO107" s="52">
        <f t="shared" si="148"/>
        <v>0</v>
      </c>
      <c r="BP107" s="51">
        <f t="shared" si="149"/>
        <v>0.32</v>
      </c>
      <c r="BQ107" s="53">
        <f t="shared" si="150"/>
        <v>0</v>
      </c>
      <c r="BR107" s="53">
        <f t="shared" si="151"/>
        <v>0</v>
      </c>
      <c r="BS107" s="54">
        <f t="shared" si="152"/>
        <v>0</v>
      </c>
      <c r="BT107" s="55">
        <f t="shared" si="153"/>
        <v>0</v>
      </c>
      <c r="BU107" s="10" t="e">
        <f t="shared" si="154"/>
        <v>#DIV/0!</v>
      </c>
      <c r="BV107" s="3"/>
    </row>
    <row r="108" spans="1:74" ht="11.65" hidden="1">
      <c r="A108" s="646"/>
      <c r="B108" s="61"/>
      <c r="C108" s="56"/>
      <c r="D108" s="44"/>
      <c r="E108" s="7"/>
      <c r="F108" s="45"/>
      <c r="G108" s="46">
        <f t="shared" si="107"/>
        <v>0</v>
      </c>
      <c r="H108" s="7"/>
      <c r="I108" s="46">
        <f t="shared" si="108"/>
        <v>0</v>
      </c>
      <c r="J108" s="47">
        <v>0</v>
      </c>
      <c r="K108" s="47">
        <f t="shared" si="109"/>
        <v>0</v>
      </c>
      <c r="L108" s="47">
        <f t="shared" si="110"/>
        <v>0</v>
      </c>
      <c r="M108" s="47">
        <f t="shared" si="111"/>
        <v>0</v>
      </c>
      <c r="N108" s="47">
        <f t="shared" si="112"/>
        <v>0</v>
      </c>
      <c r="O108" s="47">
        <f t="shared" si="113"/>
        <v>0</v>
      </c>
      <c r="P108" s="47">
        <v>0</v>
      </c>
      <c r="Q108" s="47">
        <f t="shared" si="114"/>
        <v>0</v>
      </c>
      <c r="R108" s="47">
        <v>0</v>
      </c>
      <c r="S108" s="47">
        <f t="shared" si="115"/>
        <v>0</v>
      </c>
      <c r="T108" s="47">
        <v>0</v>
      </c>
      <c r="U108" s="47">
        <f t="shared" si="116"/>
        <v>0</v>
      </c>
      <c r="V108" s="47">
        <v>0</v>
      </c>
      <c r="W108" s="47">
        <f t="shared" si="117"/>
        <v>0</v>
      </c>
      <c r="X108" s="47">
        <v>0</v>
      </c>
      <c r="Y108" s="47">
        <f t="shared" si="118"/>
        <v>0</v>
      </c>
      <c r="Z108" s="47">
        <f t="shared" si="119"/>
        <v>0</v>
      </c>
      <c r="AA108" s="47">
        <f t="shared" si="120"/>
        <v>0</v>
      </c>
      <c r="AB108" s="47">
        <f t="shared" si="121"/>
        <v>0</v>
      </c>
      <c r="AC108" s="47">
        <f t="shared" si="122"/>
        <v>0</v>
      </c>
      <c r="AD108" s="47">
        <v>0</v>
      </c>
      <c r="AE108" s="47">
        <f t="shared" si="123"/>
        <v>0</v>
      </c>
      <c r="AF108" s="47">
        <v>0</v>
      </c>
      <c r="AG108" s="47">
        <f t="shared" si="124"/>
        <v>0</v>
      </c>
      <c r="AH108" s="47">
        <v>0</v>
      </c>
      <c r="AI108" s="47">
        <f t="shared" si="125"/>
        <v>0</v>
      </c>
      <c r="AJ108" s="47">
        <v>0</v>
      </c>
      <c r="AK108" s="47">
        <f t="shared" si="126"/>
        <v>0</v>
      </c>
      <c r="AL108" s="47">
        <v>0</v>
      </c>
      <c r="AM108" s="47">
        <f t="shared" si="127"/>
        <v>0</v>
      </c>
      <c r="AN108" s="47">
        <v>0</v>
      </c>
      <c r="AO108" s="47">
        <f t="shared" si="128"/>
        <v>0</v>
      </c>
      <c r="AP108" s="47">
        <v>0</v>
      </c>
      <c r="AQ108" s="47">
        <f t="shared" si="129"/>
        <v>0</v>
      </c>
      <c r="AR108" s="47">
        <v>0</v>
      </c>
      <c r="AS108" s="47">
        <f t="shared" si="130"/>
        <v>0</v>
      </c>
      <c r="AT108" s="47">
        <v>0</v>
      </c>
      <c r="AU108" s="47">
        <f t="shared" si="131"/>
        <v>0</v>
      </c>
      <c r="AV108" s="47">
        <v>0</v>
      </c>
      <c r="AW108" s="47">
        <f t="shared" si="132"/>
        <v>0</v>
      </c>
      <c r="AX108" s="47">
        <v>0</v>
      </c>
      <c r="AY108" s="47">
        <f t="shared" si="133"/>
        <v>0</v>
      </c>
      <c r="AZ108" s="47">
        <v>0</v>
      </c>
      <c r="BA108" s="47">
        <f t="shared" si="134"/>
        <v>0</v>
      </c>
      <c r="BB108" s="48">
        <f t="shared" si="135"/>
        <v>0</v>
      </c>
      <c r="BC108" s="49">
        <f t="shared" si="136"/>
        <v>0</v>
      </c>
      <c r="BD108" s="7" t="e">
        <f t="shared" si="137"/>
        <v>#DIV/0!</v>
      </c>
      <c r="BE108" s="47">
        <f t="shared" si="138"/>
        <v>0</v>
      </c>
      <c r="BF108" s="47">
        <f t="shared" si="139"/>
        <v>0</v>
      </c>
      <c r="BG108" s="50">
        <f t="shared" si="140"/>
        <v>0</v>
      </c>
      <c r="BH108" s="50">
        <f t="shared" si="141"/>
        <v>0</v>
      </c>
      <c r="BI108" s="50">
        <f t="shared" si="142"/>
        <v>0</v>
      </c>
      <c r="BJ108" s="50">
        <f t="shared" si="143"/>
        <v>0</v>
      </c>
      <c r="BK108" s="50">
        <f t="shared" si="144"/>
        <v>0</v>
      </c>
      <c r="BL108" s="50">
        <f t="shared" si="145"/>
        <v>0</v>
      </c>
      <c r="BM108" s="51">
        <f t="shared" si="146"/>
        <v>0</v>
      </c>
      <c r="BN108" s="52">
        <f t="shared" si="147"/>
        <v>0</v>
      </c>
      <c r="BO108" s="52">
        <f t="shared" si="148"/>
        <v>0</v>
      </c>
      <c r="BP108" s="51">
        <f t="shared" si="149"/>
        <v>0.32</v>
      </c>
      <c r="BQ108" s="53">
        <f t="shared" si="150"/>
        <v>0</v>
      </c>
      <c r="BR108" s="53">
        <f t="shared" si="151"/>
        <v>0</v>
      </c>
      <c r="BS108" s="54">
        <f t="shared" si="152"/>
        <v>0</v>
      </c>
      <c r="BT108" s="55">
        <f t="shared" si="153"/>
        <v>0</v>
      </c>
      <c r="BU108" s="10" t="e">
        <f t="shared" si="154"/>
        <v>#DIV/0!</v>
      </c>
      <c r="BV108" s="3"/>
    </row>
    <row r="109" spans="1:74" ht="11.65" hidden="1">
      <c r="A109" s="646"/>
      <c r="B109" s="61"/>
      <c r="C109" s="56"/>
      <c r="D109" s="44"/>
      <c r="E109" s="7"/>
      <c r="F109" s="45"/>
      <c r="G109" s="46">
        <f t="shared" si="107"/>
        <v>0</v>
      </c>
      <c r="H109" s="7"/>
      <c r="I109" s="46">
        <f t="shared" si="108"/>
        <v>0</v>
      </c>
      <c r="J109" s="47">
        <v>0</v>
      </c>
      <c r="K109" s="47">
        <f t="shared" si="109"/>
        <v>0</v>
      </c>
      <c r="L109" s="47">
        <f t="shared" si="110"/>
        <v>0</v>
      </c>
      <c r="M109" s="47">
        <f t="shared" si="111"/>
        <v>0</v>
      </c>
      <c r="N109" s="47">
        <f t="shared" si="112"/>
        <v>0</v>
      </c>
      <c r="O109" s="47">
        <f t="shared" si="113"/>
        <v>0</v>
      </c>
      <c r="P109" s="47">
        <v>0</v>
      </c>
      <c r="Q109" s="47">
        <f t="shared" si="114"/>
        <v>0</v>
      </c>
      <c r="R109" s="47">
        <v>0</v>
      </c>
      <c r="S109" s="47">
        <f t="shared" si="115"/>
        <v>0</v>
      </c>
      <c r="T109" s="47">
        <v>0</v>
      </c>
      <c r="U109" s="47">
        <f t="shared" si="116"/>
        <v>0</v>
      </c>
      <c r="V109" s="47">
        <v>0</v>
      </c>
      <c r="W109" s="47">
        <f t="shared" si="117"/>
        <v>0</v>
      </c>
      <c r="X109" s="47">
        <v>0</v>
      </c>
      <c r="Y109" s="47">
        <f t="shared" si="118"/>
        <v>0</v>
      </c>
      <c r="Z109" s="47">
        <f t="shared" si="119"/>
        <v>0</v>
      </c>
      <c r="AA109" s="47">
        <f t="shared" si="120"/>
        <v>0</v>
      </c>
      <c r="AB109" s="47">
        <f t="shared" si="121"/>
        <v>0</v>
      </c>
      <c r="AC109" s="47">
        <f t="shared" si="122"/>
        <v>0</v>
      </c>
      <c r="AD109" s="47">
        <v>0</v>
      </c>
      <c r="AE109" s="47">
        <f t="shared" si="123"/>
        <v>0</v>
      </c>
      <c r="AF109" s="47">
        <v>0</v>
      </c>
      <c r="AG109" s="47">
        <f t="shared" si="124"/>
        <v>0</v>
      </c>
      <c r="AH109" s="47">
        <v>0</v>
      </c>
      <c r="AI109" s="47">
        <f t="shared" si="125"/>
        <v>0</v>
      </c>
      <c r="AJ109" s="47">
        <v>0</v>
      </c>
      <c r="AK109" s="47">
        <f t="shared" si="126"/>
        <v>0</v>
      </c>
      <c r="AL109" s="47">
        <v>0</v>
      </c>
      <c r="AM109" s="47">
        <f t="shared" si="127"/>
        <v>0</v>
      </c>
      <c r="AN109" s="47">
        <v>0</v>
      </c>
      <c r="AO109" s="47">
        <f t="shared" si="128"/>
        <v>0</v>
      </c>
      <c r="AP109" s="47">
        <v>0</v>
      </c>
      <c r="AQ109" s="47">
        <f t="shared" si="129"/>
        <v>0</v>
      </c>
      <c r="AR109" s="47">
        <v>0</v>
      </c>
      <c r="AS109" s="47">
        <f t="shared" si="130"/>
        <v>0</v>
      </c>
      <c r="AT109" s="47">
        <v>0</v>
      </c>
      <c r="AU109" s="47">
        <f t="shared" si="131"/>
        <v>0</v>
      </c>
      <c r="AV109" s="47">
        <v>0</v>
      </c>
      <c r="AW109" s="47">
        <f t="shared" si="132"/>
        <v>0</v>
      </c>
      <c r="AX109" s="47">
        <v>0</v>
      </c>
      <c r="AY109" s="47">
        <f t="shared" si="133"/>
        <v>0</v>
      </c>
      <c r="AZ109" s="47">
        <v>0</v>
      </c>
      <c r="BA109" s="47">
        <f t="shared" si="134"/>
        <v>0</v>
      </c>
      <c r="BB109" s="48">
        <f t="shared" si="135"/>
        <v>0</v>
      </c>
      <c r="BC109" s="49">
        <f t="shared" si="136"/>
        <v>0</v>
      </c>
      <c r="BD109" s="7" t="e">
        <f t="shared" si="137"/>
        <v>#DIV/0!</v>
      </c>
      <c r="BE109" s="47">
        <f t="shared" si="138"/>
        <v>0</v>
      </c>
      <c r="BF109" s="47">
        <f t="shared" si="139"/>
        <v>0</v>
      </c>
      <c r="BG109" s="50">
        <f t="shared" si="140"/>
        <v>0</v>
      </c>
      <c r="BH109" s="50">
        <f t="shared" si="141"/>
        <v>0</v>
      </c>
      <c r="BI109" s="50">
        <f t="shared" si="142"/>
        <v>0</v>
      </c>
      <c r="BJ109" s="50">
        <f t="shared" si="143"/>
        <v>0</v>
      </c>
      <c r="BK109" s="50">
        <f t="shared" si="144"/>
        <v>0</v>
      </c>
      <c r="BL109" s="50">
        <f t="shared" si="145"/>
        <v>0</v>
      </c>
      <c r="BM109" s="51">
        <f t="shared" si="146"/>
        <v>0</v>
      </c>
      <c r="BN109" s="52">
        <f t="shared" si="147"/>
        <v>0</v>
      </c>
      <c r="BO109" s="52">
        <f t="shared" si="148"/>
        <v>0</v>
      </c>
      <c r="BP109" s="51">
        <f t="shared" si="149"/>
        <v>0.32</v>
      </c>
      <c r="BQ109" s="53">
        <f t="shared" si="150"/>
        <v>0</v>
      </c>
      <c r="BR109" s="53">
        <f t="shared" si="151"/>
        <v>0</v>
      </c>
      <c r="BS109" s="54">
        <f t="shared" si="152"/>
        <v>0</v>
      </c>
      <c r="BT109" s="55">
        <f t="shared" si="153"/>
        <v>0</v>
      </c>
      <c r="BU109" s="10" t="e">
        <f t="shared" si="154"/>
        <v>#DIV/0!</v>
      </c>
      <c r="BV109" s="3"/>
    </row>
    <row r="110" spans="1:74" ht="11.65" hidden="1">
      <c r="A110" s="646"/>
      <c r="B110" s="61"/>
      <c r="C110" s="56"/>
      <c r="D110" s="44"/>
      <c r="E110" s="7"/>
      <c r="F110" s="45"/>
      <c r="G110" s="46">
        <f t="shared" si="107"/>
        <v>0</v>
      </c>
      <c r="H110" s="7"/>
      <c r="I110" s="46">
        <f t="shared" si="108"/>
        <v>0</v>
      </c>
      <c r="J110" s="47">
        <v>0</v>
      </c>
      <c r="K110" s="47">
        <f t="shared" si="109"/>
        <v>0</v>
      </c>
      <c r="L110" s="47">
        <f t="shared" si="110"/>
        <v>0</v>
      </c>
      <c r="M110" s="47">
        <f t="shared" si="111"/>
        <v>0</v>
      </c>
      <c r="N110" s="47">
        <f t="shared" si="112"/>
        <v>0</v>
      </c>
      <c r="O110" s="47">
        <f t="shared" si="113"/>
        <v>0</v>
      </c>
      <c r="P110" s="47">
        <v>0</v>
      </c>
      <c r="Q110" s="47">
        <f t="shared" si="114"/>
        <v>0</v>
      </c>
      <c r="R110" s="47">
        <v>0</v>
      </c>
      <c r="S110" s="47">
        <f t="shared" si="115"/>
        <v>0</v>
      </c>
      <c r="T110" s="47">
        <v>0</v>
      </c>
      <c r="U110" s="47">
        <f t="shared" si="116"/>
        <v>0</v>
      </c>
      <c r="V110" s="47">
        <v>0</v>
      </c>
      <c r="W110" s="47">
        <f t="shared" si="117"/>
        <v>0</v>
      </c>
      <c r="X110" s="47">
        <v>0</v>
      </c>
      <c r="Y110" s="47">
        <f t="shared" si="118"/>
        <v>0</v>
      </c>
      <c r="Z110" s="47">
        <f t="shared" si="119"/>
        <v>0</v>
      </c>
      <c r="AA110" s="47">
        <f t="shared" si="120"/>
        <v>0</v>
      </c>
      <c r="AB110" s="47">
        <f t="shared" si="121"/>
        <v>0</v>
      </c>
      <c r="AC110" s="47">
        <f t="shared" si="122"/>
        <v>0</v>
      </c>
      <c r="AD110" s="47">
        <v>0</v>
      </c>
      <c r="AE110" s="47">
        <f t="shared" si="123"/>
        <v>0</v>
      </c>
      <c r="AF110" s="47">
        <v>0</v>
      </c>
      <c r="AG110" s="47">
        <f t="shared" si="124"/>
        <v>0</v>
      </c>
      <c r="AH110" s="47">
        <v>0</v>
      </c>
      <c r="AI110" s="47">
        <f t="shared" si="125"/>
        <v>0</v>
      </c>
      <c r="AJ110" s="47">
        <v>0</v>
      </c>
      <c r="AK110" s="47">
        <f t="shared" si="126"/>
        <v>0</v>
      </c>
      <c r="AL110" s="47">
        <v>0</v>
      </c>
      <c r="AM110" s="47">
        <f t="shared" si="127"/>
        <v>0</v>
      </c>
      <c r="AN110" s="47">
        <v>0</v>
      </c>
      <c r="AO110" s="47">
        <f t="shared" si="128"/>
        <v>0</v>
      </c>
      <c r="AP110" s="47">
        <v>0</v>
      </c>
      <c r="AQ110" s="47">
        <f t="shared" si="129"/>
        <v>0</v>
      </c>
      <c r="AR110" s="47">
        <v>0</v>
      </c>
      <c r="AS110" s="47">
        <f t="shared" si="130"/>
        <v>0</v>
      </c>
      <c r="AT110" s="47">
        <v>0</v>
      </c>
      <c r="AU110" s="47">
        <f t="shared" si="131"/>
        <v>0</v>
      </c>
      <c r="AV110" s="47">
        <v>0</v>
      </c>
      <c r="AW110" s="47">
        <f t="shared" si="132"/>
        <v>0</v>
      </c>
      <c r="AX110" s="47">
        <v>0</v>
      </c>
      <c r="AY110" s="47">
        <f t="shared" si="133"/>
        <v>0</v>
      </c>
      <c r="AZ110" s="47">
        <v>0</v>
      </c>
      <c r="BA110" s="47">
        <f t="shared" si="134"/>
        <v>0</v>
      </c>
      <c r="BB110" s="48">
        <f t="shared" si="135"/>
        <v>0</v>
      </c>
      <c r="BC110" s="49">
        <f t="shared" si="136"/>
        <v>0</v>
      </c>
      <c r="BD110" s="7" t="e">
        <f t="shared" si="137"/>
        <v>#DIV/0!</v>
      </c>
      <c r="BE110" s="47">
        <f t="shared" si="138"/>
        <v>0</v>
      </c>
      <c r="BF110" s="47">
        <f t="shared" si="139"/>
        <v>0</v>
      </c>
      <c r="BG110" s="50">
        <f t="shared" si="140"/>
        <v>0</v>
      </c>
      <c r="BH110" s="50">
        <f t="shared" si="141"/>
        <v>0</v>
      </c>
      <c r="BI110" s="50">
        <f t="shared" si="142"/>
        <v>0</v>
      </c>
      <c r="BJ110" s="50">
        <f t="shared" si="143"/>
        <v>0</v>
      </c>
      <c r="BK110" s="50">
        <f t="shared" si="144"/>
        <v>0</v>
      </c>
      <c r="BL110" s="50">
        <f t="shared" si="145"/>
        <v>0</v>
      </c>
      <c r="BM110" s="51">
        <f t="shared" si="146"/>
        <v>0</v>
      </c>
      <c r="BN110" s="52">
        <f t="shared" si="147"/>
        <v>0</v>
      </c>
      <c r="BO110" s="52">
        <f t="shared" si="148"/>
        <v>0</v>
      </c>
      <c r="BP110" s="51">
        <f t="shared" si="149"/>
        <v>0.32</v>
      </c>
      <c r="BQ110" s="53">
        <f t="shared" si="150"/>
        <v>0</v>
      </c>
      <c r="BR110" s="53">
        <f t="shared" si="151"/>
        <v>0</v>
      </c>
      <c r="BS110" s="54">
        <f t="shared" si="152"/>
        <v>0</v>
      </c>
      <c r="BT110" s="55">
        <f t="shared" si="153"/>
        <v>0</v>
      </c>
      <c r="BU110" s="10" t="e">
        <f t="shared" si="154"/>
        <v>#DIV/0!</v>
      </c>
      <c r="BV110" s="3"/>
    </row>
    <row r="111" spans="1:74" ht="11.65" hidden="1">
      <c r="A111" s="646"/>
      <c r="B111" s="61"/>
      <c r="C111" s="56"/>
      <c r="D111" s="44"/>
      <c r="E111" s="7"/>
      <c r="F111" s="45"/>
      <c r="G111" s="46">
        <f t="shared" si="107"/>
        <v>0</v>
      </c>
      <c r="H111" s="7"/>
      <c r="I111" s="46">
        <f t="shared" si="108"/>
        <v>0</v>
      </c>
      <c r="J111" s="47">
        <v>0</v>
      </c>
      <c r="K111" s="47">
        <f t="shared" si="109"/>
        <v>0</v>
      </c>
      <c r="L111" s="47">
        <f t="shared" si="110"/>
        <v>0</v>
      </c>
      <c r="M111" s="47">
        <f t="shared" si="111"/>
        <v>0</v>
      </c>
      <c r="N111" s="47">
        <f t="shared" si="112"/>
        <v>0</v>
      </c>
      <c r="O111" s="47">
        <f t="shared" si="113"/>
        <v>0</v>
      </c>
      <c r="P111" s="47">
        <v>0</v>
      </c>
      <c r="Q111" s="47">
        <f t="shared" si="114"/>
        <v>0</v>
      </c>
      <c r="R111" s="47">
        <v>0</v>
      </c>
      <c r="S111" s="47">
        <f t="shared" si="115"/>
        <v>0</v>
      </c>
      <c r="T111" s="47">
        <v>0</v>
      </c>
      <c r="U111" s="47">
        <f t="shared" si="116"/>
        <v>0</v>
      </c>
      <c r="V111" s="47">
        <v>0</v>
      </c>
      <c r="W111" s="47">
        <f t="shared" si="117"/>
        <v>0</v>
      </c>
      <c r="X111" s="47">
        <v>0</v>
      </c>
      <c r="Y111" s="47">
        <f t="shared" si="118"/>
        <v>0</v>
      </c>
      <c r="Z111" s="47">
        <f t="shared" si="119"/>
        <v>0</v>
      </c>
      <c r="AA111" s="47">
        <f t="shared" si="120"/>
        <v>0</v>
      </c>
      <c r="AB111" s="47">
        <f t="shared" si="121"/>
        <v>0</v>
      </c>
      <c r="AC111" s="47">
        <f t="shared" si="122"/>
        <v>0</v>
      </c>
      <c r="AD111" s="47">
        <v>0</v>
      </c>
      <c r="AE111" s="47">
        <f t="shared" si="123"/>
        <v>0</v>
      </c>
      <c r="AF111" s="47">
        <v>0</v>
      </c>
      <c r="AG111" s="47">
        <f t="shared" si="124"/>
        <v>0</v>
      </c>
      <c r="AH111" s="47">
        <v>0</v>
      </c>
      <c r="AI111" s="47">
        <f t="shared" si="125"/>
        <v>0</v>
      </c>
      <c r="AJ111" s="47">
        <v>0</v>
      </c>
      <c r="AK111" s="47">
        <f t="shared" si="126"/>
        <v>0</v>
      </c>
      <c r="AL111" s="47">
        <v>0</v>
      </c>
      <c r="AM111" s="47">
        <f t="shared" si="127"/>
        <v>0</v>
      </c>
      <c r="AN111" s="47">
        <v>0</v>
      </c>
      <c r="AO111" s="47">
        <f t="shared" si="128"/>
        <v>0</v>
      </c>
      <c r="AP111" s="47">
        <v>0</v>
      </c>
      <c r="AQ111" s="47">
        <f t="shared" si="129"/>
        <v>0</v>
      </c>
      <c r="AR111" s="47">
        <v>0</v>
      </c>
      <c r="AS111" s="47">
        <f t="shared" si="130"/>
        <v>0</v>
      </c>
      <c r="AT111" s="47">
        <v>0</v>
      </c>
      <c r="AU111" s="47">
        <f t="shared" si="131"/>
        <v>0</v>
      </c>
      <c r="AV111" s="47">
        <v>0</v>
      </c>
      <c r="AW111" s="47">
        <f t="shared" si="132"/>
        <v>0</v>
      </c>
      <c r="AX111" s="47">
        <v>0</v>
      </c>
      <c r="AY111" s="47">
        <f t="shared" si="133"/>
        <v>0</v>
      </c>
      <c r="AZ111" s="47">
        <v>0</v>
      </c>
      <c r="BA111" s="47">
        <f t="shared" si="134"/>
        <v>0</v>
      </c>
      <c r="BB111" s="48">
        <f t="shared" si="135"/>
        <v>0</v>
      </c>
      <c r="BC111" s="49">
        <f t="shared" si="136"/>
        <v>0</v>
      </c>
      <c r="BD111" s="7" t="e">
        <f t="shared" si="137"/>
        <v>#DIV/0!</v>
      </c>
      <c r="BE111" s="47">
        <f t="shared" si="138"/>
        <v>0</v>
      </c>
      <c r="BF111" s="47">
        <f t="shared" si="139"/>
        <v>0</v>
      </c>
      <c r="BG111" s="50">
        <f t="shared" si="140"/>
        <v>0</v>
      </c>
      <c r="BH111" s="50">
        <f t="shared" si="141"/>
        <v>0</v>
      </c>
      <c r="BI111" s="50">
        <f t="shared" si="142"/>
        <v>0</v>
      </c>
      <c r="BJ111" s="50">
        <f t="shared" si="143"/>
        <v>0</v>
      </c>
      <c r="BK111" s="50">
        <f t="shared" si="144"/>
        <v>0</v>
      </c>
      <c r="BL111" s="50">
        <f t="shared" si="145"/>
        <v>0</v>
      </c>
      <c r="BM111" s="51">
        <f t="shared" si="146"/>
        <v>0</v>
      </c>
      <c r="BN111" s="52">
        <f t="shared" si="147"/>
        <v>0</v>
      </c>
      <c r="BO111" s="52">
        <f t="shared" si="148"/>
        <v>0</v>
      </c>
      <c r="BP111" s="51">
        <f t="shared" si="149"/>
        <v>0.32</v>
      </c>
      <c r="BQ111" s="53">
        <f t="shared" si="150"/>
        <v>0</v>
      </c>
      <c r="BR111" s="53">
        <f t="shared" si="151"/>
        <v>0</v>
      </c>
      <c r="BS111" s="54">
        <f t="shared" si="152"/>
        <v>0</v>
      </c>
      <c r="BT111" s="55">
        <f t="shared" si="153"/>
        <v>0</v>
      </c>
      <c r="BU111" s="10" t="e">
        <f t="shared" si="154"/>
        <v>#DIV/0!</v>
      </c>
      <c r="BV111" s="3"/>
    </row>
    <row r="112" spans="1:74" ht="11.65" hidden="1">
      <c r="A112" s="646"/>
      <c r="B112" s="61"/>
      <c r="C112" s="56"/>
      <c r="D112" s="44"/>
      <c r="E112" s="7"/>
      <c r="F112" s="45"/>
      <c r="G112" s="46">
        <f t="shared" si="107"/>
        <v>0</v>
      </c>
      <c r="H112" s="7"/>
      <c r="I112" s="46">
        <f t="shared" si="108"/>
        <v>0</v>
      </c>
      <c r="J112" s="47">
        <v>0</v>
      </c>
      <c r="K112" s="47">
        <f t="shared" si="109"/>
        <v>0</v>
      </c>
      <c r="L112" s="47">
        <f t="shared" si="110"/>
        <v>0</v>
      </c>
      <c r="M112" s="47">
        <f t="shared" si="111"/>
        <v>0</v>
      </c>
      <c r="N112" s="47">
        <f t="shared" si="112"/>
        <v>0</v>
      </c>
      <c r="O112" s="47">
        <f t="shared" si="113"/>
        <v>0</v>
      </c>
      <c r="P112" s="47">
        <v>0</v>
      </c>
      <c r="Q112" s="47">
        <f t="shared" si="114"/>
        <v>0</v>
      </c>
      <c r="R112" s="47">
        <v>0</v>
      </c>
      <c r="S112" s="47">
        <f t="shared" si="115"/>
        <v>0</v>
      </c>
      <c r="T112" s="47">
        <v>0</v>
      </c>
      <c r="U112" s="47">
        <f t="shared" si="116"/>
        <v>0</v>
      </c>
      <c r="V112" s="47">
        <v>0</v>
      </c>
      <c r="W112" s="47">
        <f t="shared" si="117"/>
        <v>0</v>
      </c>
      <c r="X112" s="47">
        <v>0</v>
      </c>
      <c r="Y112" s="47">
        <f t="shared" si="118"/>
        <v>0</v>
      </c>
      <c r="Z112" s="47">
        <f t="shared" si="119"/>
        <v>0</v>
      </c>
      <c r="AA112" s="47">
        <f t="shared" si="120"/>
        <v>0</v>
      </c>
      <c r="AB112" s="47">
        <f t="shared" si="121"/>
        <v>0</v>
      </c>
      <c r="AC112" s="47">
        <f t="shared" si="122"/>
        <v>0</v>
      </c>
      <c r="AD112" s="47">
        <v>0</v>
      </c>
      <c r="AE112" s="47">
        <f t="shared" si="123"/>
        <v>0</v>
      </c>
      <c r="AF112" s="47">
        <v>0</v>
      </c>
      <c r="AG112" s="47">
        <f t="shared" si="124"/>
        <v>0</v>
      </c>
      <c r="AH112" s="47">
        <v>0</v>
      </c>
      <c r="AI112" s="47">
        <f t="shared" si="125"/>
        <v>0</v>
      </c>
      <c r="AJ112" s="47">
        <v>0</v>
      </c>
      <c r="AK112" s="47">
        <f t="shared" si="126"/>
        <v>0</v>
      </c>
      <c r="AL112" s="47">
        <v>0</v>
      </c>
      <c r="AM112" s="47">
        <f t="shared" si="127"/>
        <v>0</v>
      </c>
      <c r="AN112" s="47">
        <v>0</v>
      </c>
      <c r="AO112" s="47">
        <f t="shared" si="128"/>
        <v>0</v>
      </c>
      <c r="AP112" s="47">
        <v>0</v>
      </c>
      <c r="AQ112" s="47">
        <f t="shared" si="129"/>
        <v>0</v>
      </c>
      <c r="AR112" s="47">
        <v>0</v>
      </c>
      <c r="AS112" s="47">
        <f t="shared" si="130"/>
        <v>0</v>
      </c>
      <c r="AT112" s="47">
        <v>0</v>
      </c>
      <c r="AU112" s="47">
        <f t="shared" si="131"/>
        <v>0</v>
      </c>
      <c r="AV112" s="47">
        <v>0</v>
      </c>
      <c r="AW112" s="47">
        <f t="shared" si="132"/>
        <v>0</v>
      </c>
      <c r="AX112" s="47">
        <v>0</v>
      </c>
      <c r="AY112" s="47">
        <f t="shared" si="133"/>
        <v>0</v>
      </c>
      <c r="AZ112" s="47">
        <v>0</v>
      </c>
      <c r="BA112" s="47">
        <f t="shared" si="134"/>
        <v>0</v>
      </c>
      <c r="BB112" s="48">
        <f t="shared" si="135"/>
        <v>0</v>
      </c>
      <c r="BC112" s="49">
        <f t="shared" si="136"/>
        <v>0</v>
      </c>
      <c r="BD112" s="7" t="e">
        <f t="shared" si="137"/>
        <v>#DIV/0!</v>
      </c>
      <c r="BE112" s="47">
        <f t="shared" si="138"/>
        <v>0</v>
      </c>
      <c r="BF112" s="47">
        <f t="shared" si="139"/>
        <v>0</v>
      </c>
      <c r="BG112" s="50">
        <f t="shared" si="140"/>
        <v>0</v>
      </c>
      <c r="BH112" s="50">
        <f t="shared" si="141"/>
        <v>0</v>
      </c>
      <c r="BI112" s="50">
        <f t="shared" si="142"/>
        <v>0</v>
      </c>
      <c r="BJ112" s="50">
        <f t="shared" si="143"/>
        <v>0</v>
      </c>
      <c r="BK112" s="50">
        <f t="shared" si="144"/>
        <v>0</v>
      </c>
      <c r="BL112" s="50">
        <f t="shared" si="145"/>
        <v>0</v>
      </c>
      <c r="BM112" s="51">
        <f t="shared" si="146"/>
        <v>0</v>
      </c>
      <c r="BN112" s="52">
        <f t="shared" si="147"/>
        <v>0</v>
      </c>
      <c r="BO112" s="52">
        <f t="shared" si="148"/>
        <v>0</v>
      </c>
      <c r="BP112" s="51">
        <f t="shared" si="149"/>
        <v>0.32</v>
      </c>
      <c r="BQ112" s="53">
        <f t="shared" si="150"/>
        <v>0</v>
      </c>
      <c r="BR112" s="53">
        <f t="shared" si="151"/>
        <v>0</v>
      </c>
      <c r="BS112" s="54">
        <f t="shared" si="152"/>
        <v>0</v>
      </c>
      <c r="BT112" s="55">
        <f t="shared" si="153"/>
        <v>0</v>
      </c>
      <c r="BU112" s="10" t="e">
        <f t="shared" si="154"/>
        <v>#DIV/0!</v>
      </c>
      <c r="BV112" s="3"/>
    </row>
    <row r="113" spans="1:74" ht="11.65" hidden="1">
      <c r="A113" s="646"/>
      <c r="B113" s="61"/>
      <c r="C113" s="56"/>
      <c r="D113" s="44"/>
      <c r="E113" s="7"/>
      <c r="F113" s="45"/>
      <c r="G113" s="46">
        <f t="shared" si="107"/>
        <v>0</v>
      </c>
      <c r="H113" s="7"/>
      <c r="I113" s="46">
        <f t="shared" si="108"/>
        <v>0</v>
      </c>
      <c r="J113" s="47">
        <v>0</v>
      </c>
      <c r="K113" s="47">
        <f t="shared" si="109"/>
        <v>0</v>
      </c>
      <c r="L113" s="47">
        <f t="shared" si="110"/>
        <v>0</v>
      </c>
      <c r="M113" s="47">
        <f t="shared" si="111"/>
        <v>0</v>
      </c>
      <c r="N113" s="47">
        <f t="shared" si="112"/>
        <v>0</v>
      </c>
      <c r="O113" s="47">
        <f t="shared" si="113"/>
        <v>0</v>
      </c>
      <c r="P113" s="47">
        <v>0</v>
      </c>
      <c r="Q113" s="47">
        <f t="shared" si="114"/>
        <v>0</v>
      </c>
      <c r="R113" s="47">
        <v>0</v>
      </c>
      <c r="S113" s="47">
        <f t="shared" si="115"/>
        <v>0</v>
      </c>
      <c r="T113" s="47">
        <v>0</v>
      </c>
      <c r="U113" s="47">
        <f t="shared" si="116"/>
        <v>0</v>
      </c>
      <c r="V113" s="47">
        <v>0</v>
      </c>
      <c r="W113" s="47">
        <f t="shared" si="117"/>
        <v>0</v>
      </c>
      <c r="X113" s="47">
        <v>0</v>
      </c>
      <c r="Y113" s="47">
        <f t="shared" si="118"/>
        <v>0</v>
      </c>
      <c r="Z113" s="47">
        <f t="shared" si="119"/>
        <v>0</v>
      </c>
      <c r="AA113" s="47">
        <f t="shared" si="120"/>
        <v>0</v>
      </c>
      <c r="AB113" s="47">
        <f t="shared" si="121"/>
        <v>0</v>
      </c>
      <c r="AC113" s="47">
        <f t="shared" si="122"/>
        <v>0</v>
      </c>
      <c r="AD113" s="47">
        <v>0</v>
      </c>
      <c r="AE113" s="47">
        <f t="shared" si="123"/>
        <v>0</v>
      </c>
      <c r="AF113" s="47">
        <v>0</v>
      </c>
      <c r="AG113" s="47">
        <f t="shared" si="124"/>
        <v>0</v>
      </c>
      <c r="AH113" s="47">
        <v>0</v>
      </c>
      <c r="AI113" s="47">
        <f t="shared" si="125"/>
        <v>0</v>
      </c>
      <c r="AJ113" s="47">
        <v>0</v>
      </c>
      <c r="AK113" s="47">
        <f t="shared" si="126"/>
        <v>0</v>
      </c>
      <c r="AL113" s="47">
        <v>0</v>
      </c>
      <c r="AM113" s="47">
        <f t="shared" si="127"/>
        <v>0</v>
      </c>
      <c r="AN113" s="47">
        <v>0</v>
      </c>
      <c r="AO113" s="47">
        <f t="shared" si="128"/>
        <v>0</v>
      </c>
      <c r="AP113" s="47">
        <v>0</v>
      </c>
      <c r="AQ113" s="47">
        <f t="shared" si="129"/>
        <v>0</v>
      </c>
      <c r="AR113" s="47">
        <v>0</v>
      </c>
      <c r="AS113" s="47">
        <f t="shared" si="130"/>
        <v>0</v>
      </c>
      <c r="AT113" s="47">
        <v>0</v>
      </c>
      <c r="AU113" s="47">
        <f t="shared" si="131"/>
        <v>0</v>
      </c>
      <c r="AV113" s="47">
        <v>0</v>
      </c>
      <c r="AW113" s="47">
        <f t="shared" si="132"/>
        <v>0</v>
      </c>
      <c r="AX113" s="47">
        <v>0</v>
      </c>
      <c r="AY113" s="47">
        <f t="shared" si="133"/>
        <v>0</v>
      </c>
      <c r="AZ113" s="47">
        <v>0</v>
      </c>
      <c r="BA113" s="47">
        <f t="shared" si="134"/>
        <v>0</v>
      </c>
      <c r="BB113" s="48">
        <f t="shared" si="135"/>
        <v>0</v>
      </c>
      <c r="BC113" s="49">
        <f t="shared" si="136"/>
        <v>0</v>
      </c>
      <c r="BD113" s="7" t="e">
        <f t="shared" si="137"/>
        <v>#DIV/0!</v>
      </c>
      <c r="BE113" s="47">
        <f t="shared" si="138"/>
        <v>0</v>
      </c>
      <c r="BF113" s="47">
        <f t="shared" si="139"/>
        <v>0</v>
      </c>
      <c r="BG113" s="50">
        <f t="shared" si="140"/>
        <v>0</v>
      </c>
      <c r="BH113" s="50">
        <f t="shared" si="141"/>
        <v>0</v>
      </c>
      <c r="BI113" s="50">
        <f t="shared" si="142"/>
        <v>0</v>
      </c>
      <c r="BJ113" s="50">
        <f t="shared" si="143"/>
        <v>0</v>
      </c>
      <c r="BK113" s="50">
        <f t="shared" si="144"/>
        <v>0</v>
      </c>
      <c r="BL113" s="50">
        <f t="shared" si="145"/>
        <v>0</v>
      </c>
      <c r="BM113" s="51">
        <f t="shared" si="146"/>
        <v>0</v>
      </c>
      <c r="BN113" s="52">
        <f t="shared" si="147"/>
        <v>0</v>
      </c>
      <c r="BO113" s="52">
        <f t="shared" si="148"/>
        <v>0</v>
      </c>
      <c r="BP113" s="51">
        <f t="shared" si="149"/>
        <v>0.32</v>
      </c>
      <c r="BQ113" s="53">
        <f t="shared" si="150"/>
        <v>0</v>
      </c>
      <c r="BR113" s="53">
        <f t="shared" si="151"/>
        <v>0</v>
      </c>
      <c r="BS113" s="54">
        <f t="shared" si="152"/>
        <v>0</v>
      </c>
      <c r="BT113" s="55">
        <f t="shared" si="153"/>
        <v>0</v>
      </c>
      <c r="BU113" s="10" t="e">
        <f t="shared" si="154"/>
        <v>#DIV/0!</v>
      </c>
      <c r="BV113" s="3"/>
    </row>
    <row r="114" spans="1:74" ht="11.65" hidden="1">
      <c r="A114" s="646"/>
      <c r="B114" s="61"/>
      <c r="C114" s="56"/>
      <c r="D114" s="44"/>
      <c r="E114" s="7"/>
      <c r="F114" s="45"/>
      <c r="G114" s="46">
        <f t="shared" si="107"/>
        <v>0</v>
      </c>
      <c r="H114" s="7"/>
      <c r="I114" s="46">
        <f t="shared" si="108"/>
        <v>0</v>
      </c>
      <c r="J114" s="47">
        <v>0</v>
      </c>
      <c r="K114" s="47">
        <f t="shared" si="109"/>
        <v>0</v>
      </c>
      <c r="L114" s="47">
        <f t="shared" si="110"/>
        <v>0</v>
      </c>
      <c r="M114" s="47">
        <f t="shared" si="111"/>
        <v>0</v>
      </c>
      <c r="N114" s="47">
        <f t="shared" si="112"/>
        <v>0</v>
      </c>
      <c r="O114" s="47">
        <f t="shared" si="113"/>
        <v>0</v>
      </c>
      <c r="P114" s="47">
        <v>0</v>
      </c>
      <c r="Q114" s="47">
        <f t="shared" si="114"/>
        <v>0</v>
      </c>
      <c r="R114" s="47">
        <v>0</v>
      </c>
      <c r="S114" s="47">
        <f t="shared" si="115"/>
        <v>0</v>
      </c>
      <c r="T114" s="47">
        <v>0</v>
      </c>
      <c r="U114" s="47">
        <f t="shared" si="116"/>
        <v>0</v>
      </c>
      <c r="V114" s="47">
        <v>0</v>
      </c>
      <c r="W114" s="47">
        <f t="shared" si="117"/>
        <v>0</v>
      </c>
      <c r="X114" s="47">
        <v>0</v>
      </c>
      <c r="Y114" s="47">
        <f t="shared" si="118"/>
        <v>0</v>
      </c>
      <c r="Z114" s="47">
        <f t="shared" si="119"/>
        <v>0</v>
      </c>
      <c r="AA114" s="47">
        <f t="shared" si="120"/>
        <v>0</v>
      </c>
      <c r="AB114" s="47">
        <f t="shared" si="121"/>
        <v>0</v>
      </c>
      <c r="AC114" s="47">
        <f t="shared" si="122"/>
        <v>0</v>
      </c>
      <c r="AD114" s="47">
        <v>0</v>
      </c>
      <c r="AE114" s="47">
        <f t="shared" si="123"/>
        <v>0</v>
      </c>
      <c r="AF114" s="47">
        <v>0</v>
      </c>
      <c r="AG114" s="47">
        <f t="shared" si="124"/>
        <v>0</v>
      </c>
      <c r="AH114" s="47">
        <v>0</v>
      </c>
      <c r="AI114" s="47">
        <f t="shared" si="125"/>
        <v>0</v>
      </c>
      <c r="AJ114" s="47">
        <v>0</v>
      </c>
      <c r="AK114" s="47">
        <f t="shared" si="126"/>
        <v>0</v>
      </c>
      <c r="AL114" s="47">
        <v>0</v>
      </c>
      <c r="AM114" s="47">
        <f t="shared" si="127"/>
        <v>0</v>
      </c>
      <c r="AN114" s="47">
        <v>0</v>
      </c>
      <c r="AO114" s="47">
        <f t="shared" si="128"/>
        <v>0</v>
      </c>
      <c r="AP114" s="47">
        <v>0</v>
      </c>
      <c r="AQ114" s="47">
        <f t="shared" si="129"/>
        <v>0</v>
      </c>
      <c r="AR114" s="47">
        <v>0</v>
      </c>
      <c r="AS114" s="47">
        <f t="shared" si="130"/>
        <v>0</v>
      </c>
      <c r="AT114" s="47">
        <v>0</v>
      </c>
      <c r="AU114" s="47">
        <f t="shared" si="131"/>
        <v>0</v>
      </c>
      <c r="AV114" s="47">
        <v>0</v>
      </c>
      <c r="AW114" s="47">
        <f t="shared" si="132"/>
        <v>0</v>
      </c>
      <c r="AX114" s="47">
        <v>0</v>
      </c>
      <c r="AY114" s="47">
        <f t="shared" si="133"/>
        <v>0</v>
      </c>
      <c r="AZ114" s="47">
        <v>0</v>
      </c>
      <c r="BA114" s="47">
        <f t="shared" si="134"/>
        <v>0</v>
      </c>
      <c r="BB114" s="48">
        <f t="shared" si="135"/>
        <v>0</v>
      </c>
      <c r="BC114" s="49">
        <f t="shared" si="136"/>
        <v>0</v>
      </c>
      <c r="BD114" s="7" t="e">
        <f t="shared" si="137"/>
        <v>#DIV/0!</v>
      </c>
      <c r="BE114" s="47">
        <f t="shared" si="138"/>
        <v>0</v>
      </c>
      <c r="BF114" s="47">
        <f t="shared" si="139"/>
        <v>0</v>
      </c>
      <c r="BG114" s="50">
        <f t="shared" si="140"/>
        <v>0</v>
      </c>
      <c r="BH114" s="50">
        <f t="shared" si="141"/>
        <v>0</v>
      </c>
      <c r="BI114" s="50">
        <f t="shared" si="142"/>
        <v>0</v>
      </c>
      <c r="BJ114" s="50">
        <f t="shared" si="143"/>
        <v>0</v>
      </c>
      <c r="BK114" s="50">
        <f t="shared" si="144"/>
        <v>0</v>
      </c>
      <c r="BL114" s="50">
        <f t="shared" si="145"/>
        <v>0</v>
      </c>
      <c r="BM114" s="51">
        <f t="shared" si="146"/>
        <v>0</v>
      </c>
      <c r="BN114" s="52">
        <f t="shared" si="147"/>
        <v>0</v>
      </c>
      <c r="BO114" s="52">
        <f t="shared" si="148"/>
        <v>0</v>
      </c>
      <c r="BP114" s="51">
        <f t="shared" si="149"/>
        <v>0.32</v>
      </c>
      <c r="BQ114" s="53">
        <f t="shared" si="150"/>
        <v>0</v>
      </c>
      <c r="BR114" s="53">
        <f t="shared" si="151"/>
        <v>0</v>
      </c>
      <c r="BS114" s="54">
        <f t="shared" si="152"/>
        <v>0</v>
      </c>
      <c r="BT114" s="55">
        <f t="shared" si="153"/>
        <v>0</v>
      </c>
      <c r="BU114" s="10" t="e">
        <f t="shared" si="154"/>
        <v>#DIV/0!</v>
      </c>
      <c r="BV114" s="3"/>
    </row>
    <row r="115" spans="1:74" ht="11.65" hidden="1">
      <c r="A115" s="646"/>
      <c r="B115" s="61"/>
      <c r="C115" s="56"/>
      <c r="D115" s="44"/>
      <c r="E115" s="7"/>
      <c r="F115" s="45"/>
      <c r="G115" s="46">
        <f t="shared" si="107"/>
        <v>0</v>
      </c>
      <c r="H115" s="7"/>
      <c r="I115" s="46">
        <f t="shared" si="108"/>
        <v>0</v>
      </c>
      <c r="J115" s="47">
        <v>0</v>
      </c>
      <c r="K115" s="47">
        <f t="shared" si="109"/>
        <v>0</v>
      </c>
      <c r="L115" s="47">
        <f t="shared" si="110"/>
        <v>0</v>
      </c>
      <c r="M115" s="47">
        <f t="shared" si="111"/>
        <v>0</v>
      </c>
      <c r="N115" s="47">
        <f t="shared" si="112"/>
        <v>0</v>
      </c>
      <c r="O115" s="47">
        <f t="shared" si="113"/>
        <v>0</v>
      </c>
      <c r="P115" s="47">
        <v>0</v>
      </c>
      <c r="Q115" s="47">
        <f t="shared" si="114"/>
        <v>0</v>
      </c>
      <c r="R115" s="47">
        <v>0</v>
      </c>
      <c r="S115" s="47">
        <f t="shared" si="115"/>
        <v>0</v>
      </c>
      <c r="T115" s="47">
        <v>0</v>
      </c>
      <c r="U115" s="47">
        <f t="shared" si="116"/>
        <v>0</v>
      </c>
      <c r="V115" s="47">
        <v>0</v>
      </c>
      <c r="W115" s="47">
        <f t="shared" si="117"/>
        <v>0</v>
      </c>
      <c r="X115" s="47">
        <v>0</v>
      </c>
      <c r="Y115" s="47">
        <f t="shared" si="118"/>
        <v>0</v>
      </c>
      <c r="Z115" s="47">
        <f t="shared" si="119"/>
        <v>0</v>
      </c>
      <c r="AA115" s="47">
        <f t="shared" si="120"/>
        <v>0</v>
      </c>
      <c r="AB115" s="47">
        <f t="shared" si="121"/>
        <v>0</v>
      </c>
      <c r="AC115" s="47">
        <f t="shared" si="122"/>
        <v>0</v>
      </c>
      <c r="AD115" s="47">
        <v>0</v>
      </c>
      <c r="AE115" s="47">
        <f t="shared" si="123"/>
        <v>0</v>
      </c>
      <c r="AF115" s="47">
        <v>0</v>
      </c>
      <c r="AG115" s="47">
        <f t="shared" si="124"/>
        <v>0</v>
      </c>
      <c r="AH115" s="47">
        <v>0</v>
      </c>
      <c r="AI115" s="47">
        <f t="shared" si="125"/>
        <v>0</v>
      </c>
      <c r="AJ115" s="47">
        <v>0</v>
      </c>
      <c r="AK115" s="47">
        <f t="shared" si="126"/>
        <v>0</v>
      </c>
      <c r="AL115" s="47">
        <v>0</v>
      </c>
      <c r="AM115" s="47">
        <f t="shared" si="127"/>
        <v>0</v>
      </c>
      <c r="AN115" s="47">
        <v>0</v>
      </c>
      <c r="AO115" s="47">
        <f t="shared" si="128"/>
        <v>0</v>
      </c>
      <c r="AP115" s="47">
        <v>0</v>
      </c>
      <c r="AQ115" s="47">
        <f t="shared" si="129"/>
        <v>0</v>
      </c>
      <c r="AR115" s="47">
        <v>0</v>
      </c>
      <c r="AS115" s="47">
        <f t="shared" si="130"/>
        <v>0</v>
      </c>
      <c r="AT115" s="47">
        <v>0</v>
      </c>
      <c r="AU115" s="47">
        <f t="shared" si="131"/>
        <v>0</v>
      </c>
      <c r="AV115" s="47">
        <v>0</v>
      </c>
      <c r="AW115" s="47">
        <f t="shared" si="132"/>
        <v>0</v>
      </c>
      <c r="AX115" s="47">
        <v>0</v>
      </c>
      <c r="AY115" s="47">
        <f t="shared" si="133"/>
        <v>0</v>
      </c>
      <c r="AZ115" s="47">
        <v>0</v>
      </c>
      <c r="BA115" s="47">
        <f t="shared" si="134"/>
        <v>0</v>
      </c>
      <c r="BB115" s="48">
        <f t="shared" si="135"/>
        <v>0</v>
      </c>
      <c r="BC115" s="49">
        <f t="shared" si="136"/>
        <v>0</v>
      </c>
      <c r="BD115" s="7" t="e">
        <f t="shared" si="137"/>
        <v>#DIV/0!</v>
      </c>
      <c r="BE115" s="47">
        <f t="shared" si="138"/>
        <v>0</v>
      </c>
      <c r="BF115" s="47">
        <f t="shared" si="139"/>
        <v>0</v>
      </c>
      <c r="BG115" s="50">
        <f t="shared" si="140"/>
        <v>0</v>
      </c>
      <c r="BH115" s="50">
        <f t="shared" si="141"/>
        <v>0</v>
      </c>
      <c r="BI115" s="50">
        <f t="shared" si="142"/>
        <v>0</v>
      </c>
      <c r="BJ115" s="50">
        <f t="shared" si="143"/>
        <v>0</v>
      </c>
      <c r="BK115" s="50">
        <f t="shared" si="144"/>
        <v>0</v>
      </c>
      <c r="BL115" s="50">
        <f t="shared" si="145"/>
        <v>0</v>
      </c>
      <c r="BM115" s="51">
        <f t="shared" si="146"/>
        <v>0</v>
      </c>
      <c r="BN115" s="52">
        <f t="shared" si="147"/>
        <v>0</v>
      </c>
      <c r="BO115" s="52">
        <f t="shared" si="148"/>
        <v>0</v>
      </c>
      <c r="BP115" s="51">
        <f t="shared" si="149"/>
        <v>0.32</v>
      </c>
      <c r="BQ115" s="53">
        <f t="shared" si="150"/>
        <v>0</v>
      </c>
      <c r="BR115" s="53">
        <f t="shared" si="151"/>
        <v>0</v>
      </c>
      <c r="BS115" s="54">
        <f t="shared" si="152"/>
        <v>0</v>
      </c>
      <c r="BT115" s="55">
        <f t="shared" si="153"/>
        <v>0</v>
      </c>
      <c r="BU115" s="10" t="e">
        <f t="shared" si="154"/>
        <v>#DIV/0!</v>
      </c>
      <c r="BV115" s="3"/>
    </row>
    <row r="116" spans="1:74" ht="11.65" hidden="1">
      <c r="A116" s="646"/>
      <c r="B116" s="61"/>
      <c r="C116" s="56"/>
      <c r="D116" s="44"/>
      <c r="E116" s="7"/>
      <c r="F116" s="45"/>
      <c r="G116" s="46">
        <f t="shared" si="107"/>
        <v>0</v>
      </c>
      <c r="H116" s="7"/>
      <c r="I116" s="46">
        <f t="shared" si="108"/>
        <v>0</v>
      </c>
      <c r="J116" s="47">
        <v>0</v>
      </c>
      <c r="K116" s="47">
        <f t="shared" si="109"/>
        <v>0</v>
      </c>
      <c r="L116" s="47">
        <f t="shared" si="110"/>
        <v>0</v>
      </c>
      <c r="M116" s="47">
        <f t="shared" si="111"/>
        <v>0</v>
      </c>
      <c r="N116" s="47">
        <f t="shared" si="112"/>
        <v>0</v>
      </c>
      <c r="O116" s="47">
        <f t="shared" si="113"/>
        <v>0</v>
      </c>
      <c r="P116" s="47">
        <v>0</v>
      </c>
      <c r="Q116" s="47">
        <f t="shared" si="114"/>
        <v>0</v>
      </c>
      <c r="R116" s="47">
        <v>0</v>
      </c>
      <c r="S116" s="47">
        <f t="shared" si="115"/>
        <v>0</v>
      </c>
      <c r="T116" s="47">
        <v>0</v>
      </c>
      <c r="U116" s="47">
        <f t="shared" si="116"/>
        <v>0</v>
      </c>
      <c r="V116" s="47">
        <v>0</v>
      </c>
      <c r="W116" s="47">
        <f t="shared" si="117"/>
        <v>0</v>
      </c>
      <c r="X116" s="47">
        <v>0</v>
      </c>
      <c r="Y116" s="47">
        <f t="shared" si="118"/>
        <v>0</v>
      </c>
      <c r="Z116" s="47">
        <f t="shared" si="119"/>
        <v>0</v>
      </c>
      <c r="AA116" s="47">
        <f t="shared" si="120"/>
        <v>0</v>
      </c>
      <c r="AB116" s="47">
        <f t="shared" si="121"/>
        <v>0</v>
      </c>
      <c r="AC116" s="47">
        <f t="shared" si="122"/>
        <v>0</v>
      </c>
      <c r="AD116" s="47">
        <v>0</v>
      </c>
      <c r="AE116" s="47">
        <f t="shared" si="123"/>
        <v>0</v>
      </c>
      <c r="AF116" s="47">
        <v>0</v>
      </c>
      <c r="AG116" s="47">
        <f t="shared" si="124"/>
        <v>0</v>
      </c>
      <c r="AH116" s="47">
        <v>0</v>
      </c>
      <c r="AI116" s="47">
        <f t="shared" si="125"/>
        <v>0</v>
      </c>
      <c r="AJ116" s="47">
        <v>0</v>
      </c>
      <c r="AK116" s="47">
        <f t="shared" si="126"/>
        <v>0</v>
      </c>
      <c r="AL116" s="47">
        <v>0</v>
      </c>
      <c r="AM116" s="47">
        <f t="shared" si="127"/>
        <v>0</v>
      </c>
      <c r="AN116" s="47">
        <v>0</v>
      </c>
      <c r="AO116" s="47">
        <f t="shared" si="128"/>
        <v>0</v>
      </c>
      <c r="AP116" s="47">
        <v>0</v>
      </c>
      <c r="AQ116" s="47">
        <f t="shared" si="129"/>
        <v>0</v>
      </c>
      <c r="AR116" s="47">
        <v>0</v>
      </c>
      <c r="AS116" s="47">
        <f t="shared" si="130"/>
        <v>0</v>
      </c>
      <c r="AT116" s="47">
        <v>0</v>
      </c>
      <c r="AU116" s="47">
        <f t="shared" si="131"/>
        <v>0</v>
      </c>
      <c r="AV116" s="47">
        <v>0</v>
      </c>
      <c r="AW116" s="47">
        <f t="shared" si="132"/>
        <v>0</v>
      </c>
      <c r="AX116" s="47">
        <v>0</v>
      </c>
      <c r="AY116" s="47">
        <f t="shared" si="133"/>
        <v>0</v>
      </c>
      <c r="AZ116" s="47">
        <v>0</v>
      </c>
      <c r="BA116" s="47">
        <f t="shared" si="134"/>
        <v>0</v>
      </c>
      <c r="BB116" s="48">
        <f t="shared" si="135"/>
        <v>0</v>
      </c>
      <c r="BC116" s="49">
        <f t="shared" si="136"/>
        <v>0</v>
      </c>
      <c r="BD116" s="7" t="e">
        <f t="shared" si="137"/>
        <v>#DIV/0!</v>
      </c>
      <c r="BE116" s="47">
        <f t="shared" si="138"/>
        <v>0</v>
      </c>
      <c r="BF116" s="47">
        <f t="shared" si="139"/>
        <v>0</v>
      </c>
      <c r="BG116" s="50">
        <f t="shared" si="140"/>
        <v>0</v>
      </c>
      <c r="BH116" s="50">
        <f t="shared" si="141"/>
        <v>0</v>
      </c>
      <c r="BI116" s="50">
        <f t="shared" si="142"/>
        <v>0</v>
      </c>
      <c r="BJ116" s="50">
        <f t="shared" si="143"/>
        <v>0</v>
      </c>
      <c r="BK116" s="50">
        <f t="shared" si="144"/>
        <v>0</v>
      </c>
      <c r="BL116" s="50">
        <f t="shared" si="145"/>
        <v>0</v>
      </c>
      <c r="BM116" s="51">
        <f t="shared" si="146"/>
        <v>0</v>
      </c>
      <c r="BN116" s="52">
        <f t="shared" si="147"/>
        <v>0</v>
      </c>
      <c r="BO116" s="52">
        <f t="shared" si="148"/>
        <v>0</v>
      </c>
      <c r="BP116" s="51">
        <f t="shared" si="149"/>
        <v>0.32</v>
      </c>
      <c r="BQ116" s="53">
        <f t="shared" si="150"/>
        <v>0</v>
      </c>
      <c r="BR116" s="53">
        <f t="shared" si="151"/>
        <v>0</v>
      </c>
      <c r="BS116" s="54">
        <f t="shared" si="152"/>
        <v>0</v>
      </c>
      <c r="BT116" s="55">
        <f t="shared" si="153"/>
        <v>0</v>
      </c>
      <c r="BU116" s="10" t="e">
        <f t="shared" si="154"/>
        <v>#DIV/0!</v>
      </c>
      <c r="BV116" s="3"/>
    </row>
    <row r="117" spans="1:74" ht="11.65" hidden="1">
      <c r="A117" s="646"/>
      <c r="B117" s="61"/>
      <c r="C117" s="56"/>
      <c r="D117" s="44"/>
      <c r="E117" s="7"/>
      <c r="F117" s="45"/>
      <c r="G117" s="46">
        <f t="shared" si="107"/>
        <v>0</v>
      </c>
      <c r="H117" s="7"/>
      <c r="I117" s="46">
        <f t="shared" si="108"/>
        <v>0</v>
      </c>
      <c r="J117" s="47">
        <v>0</v>
      </c>
      <c r="K117" s="47">
        <f t="shared" si="109"/>
        <v>0</v>
      </c>
      <c r="L117" s="47">
        <f t="shared" si="110"/>
        <v>0</v>
      </c>
      <c r="M117" s="47">
        <f t="shared" si="111"/>
        <v>0</v>
      </c>
      <c r="N117" s="47">
        <f t="shared" si="112"/>
        <v>0</v>
      </c>
      <c r="O117" s="47">
        <f t="shared" si="113"/>
        <v>0</v>
      </c>
      <c r="P117" s="47">
        <v>0</v>
      </c>
      <c r="Q117" s="47">
        <f t="shared" si="114"/>
        <v>0</v>
      </c>
      <c r="R117" s="47">
        <v>0</v>
      </c>
      <c r="S117" s="47">
        <f t="shared" si="115"/>
        <v>0</v>
      </c>
      <c r="T117" s="47">
        <v>0</v>
      </c>
      <c r="U117" s="47">
        <f t="shared" si="116"/>
        <v>0</v>
      </c>
      <c r="V117" s="47">
        <v>0</v>
      </c>
      <c r="W117" s="47">
        <f t="shared" si="117"/>
        <v>0</v>
      </c>
      <c r="X117" s="47">
        <v>0</v>
      </c>
      <c r="Y117" s="47">
        <f t="shared" si="118"/>
        <v>0</v>
      </c>
      <c r="Z117" s="47">
        <f t="shared" si="119"/>
        <v>0</v>
      </c>
      <c r="AA117" s="47">
        <f t="shared" si="120"/>
        <v>0</v>
      </c>
      <c r="AB117" s="47">
        <f t="shared" si="121"/>
        <v>0</v>
      </c>
      <c r="AC117" s="47">
        <f t="shared" si="122"/>
        <v>0</v>
      </c>
      <c r="AD117" s="47">
        <v>0</v>
      </c>
      <c r="AE117" s="47">
        <f t="shared" si="123"/>
        <v>0</v>
      </c>
      <c r="AF117" s="47">
        <v>0</v>
      </c>
      <c r="AG117" s="47">
        <f t="shared" si="124"/>
        <v>0</v>
      </c>
      <c r="AH117" s="47">
        <v>0</v>
      </c>
      <c r="AI117" s="47">
        <f t="shared" si="125"/>
        <v>0</v>
      </c>
      <c r="AJ117" s="47">
        <v>0</v>
      </c>
      <c r="AK117" s="47">
        <f t="shared" si="126"/>
        <v>0</v>
      </c>
      <c r="AL117" s="47">
        <v>0</v>
      </c>
      <c r="AM117" s="47">
        <f t="shared" si="127"/>
        <v>0</v>
      </c>
      <c r="AN117" s="47">
        <v>0</v>
      </c>
      <c r="AO117" s="47">
        <f t="shared" si="128"/>
        <v>0</v>
      </c>
      <c r="AP117" s="47">
        <v>0</v>
      </c>
      <c r="AQ117" s="47">
        <f t="shared" si="129"/>
        <v>0</v>
      </c>
      <c r="AR117" s="47">
        <v>0</v>
      </c>
      <c r="AS117" s="47">
        <f t="shared" si="130"/>
        <v>0</v>
      </c>
      <c r="AT117" s="47">
        <v>0</v>
      </c>
      <c r="AU117" s="47">
        <f t="shared" si="131"/>
        <v>0</v>
      </c>
      <c r="AV117" s="47">
        <v>0</v>
      </c>
      <c r="AW117" s="47">
        <f t="shared" si="132"/>
        <v>0</v>
      </c>
      <c r="AX117" s="47">
        <v>0</v>
      </c>
      <c r="AY117" s="47">
        <f t="shared" si="133"/>
        <v>0</v>
      </c>
      <c r="AZ117" s="47">
        <v>0</v>
      </c>
      <c r="BA117" s="47">
        <f t="shared" si="134"/>
        <v>0</v>
      </c>
      <c r="BB117" s="48">
        <f t="shared" si="135"/>
        <v>0</v>
      </c>
      <c r="BC117" s="49">
        <f t="shared" si="136"/>
        <v>0</v>
      </c>
      <c r="BD117" s="7" t="e">
        <f t="shared" si="137"/>
        <v>#DIV/0!</v>
      </c>
      <c r="BE117" s="47">
        <f t="shared" si="138"/>
        <v>0</v>
      </c>
      <c r="BF117" s="47">
        <f t="shared" si="139"/>
        <v>0</v>
      </c>
      <c r="BG117" s="50">
        <f t="shared" si="140"/>
        <v>0</v>
      </c>
      <c r="BH117" s="50">
        <f t="shared" si="141"/>
        <v>0</v>
      </c>
      <c r="BI117" s="50">
        <f t="shared" si="142"/>
        <v>0</v>
      </c>
      <c r="BJ117" s="50">
        <f t="shared" si="143"/>
        <v>0</v>
      </c>
      <c r="BK117" s="50">
        <f t="shared" si="144"/>
        <v>0</v>
      </c>
      <c r="BL117" s="50">
        <f t="shared" si="145"/>
        <v>0</v>
      </c>
      <c r="BM117" s="51">
        <f t="shared" si="146"/>
        <v>0</v>
      </c>
      <c r="BN117" s="52">
        <f t="shared" si="147"/>
        <v>0</v>
      </c>
      <c r="BO117" s="52">
        <f t="shared" si="148"/>
        <v>0</v>
      </c>
      <c r="BP117" s="51">
        <f t="shared" si="149"/>
        <v>0.32</v>
      </c>
      <c r="BQ117" s="53">
        <f t="shared" si="150"/>
        <v>0</v>
      </c>
      <c r="BR117" s="53">
        <f t="shared" si="151"/>
        <v>0</v>
      </c>
      <c r="BS117" s="54">
        <f t="shared" si="152"/>
        <v>0</v>
      </c>
      <c r="BT117" s="55">
        <f t="shared" si="153"/>
        <v>0</v>
      </c>
      <c r="BU117" s="10" t="e">
        <f t="shared" si="154"/>
        <v>#DIV/0!</v>
      </c>
      <c r="BV117" s="3"/>
    </row>
    <row r="118" spans="1:74" ht="11.65" hidden="1">
      <c r="A118" s="646"/>
      <c r="B118" s="61"/>
      <c r="C118" s="56"/>
      <c r="D118" s="44"/>
      <c r="E118" s="7"/>
      <c r="F118" s="45"/>
      <c r="G118" s="46">
        <f t="shared" si="107"/>
        <v>0</v>
      </c>
      <c r="H118" s="7"/>
      <c r="I118" s="46">
        <f t="shared" si="108"/>
        <v>0</v>
      </c>
      <c r="J118" s="47">
        <v>0</v>
      </c>
      <c r="K118" s="47">
        <f t="shared" si="109"/>
        <v>0</v>
      </c>
      <c r="L118" s="47">
        <f t="shared" si="110"/>
        <v>0</v>
      </c>
      <c r="M118" s="47">
        <f t="shared" si="111"/>
        <v>0</v>
      </c>
      <c r="N118" s="47">
        <f t="shared" si="112"/>
        <v>0</v>
      </c>
      <c r="O118" s="47">
        <f t="shared" si="113"/>
        <v>0</v>
      </c>
      <c r="P118" s="47">
        <v>0</v>
      </c>
      <c r="Q118" s="47">
        <f t="shared" si="114"/>
        <v>0</v>
      </c>
      <c r="R118" s="47">
        <v>0</v>
      </c>
      <c r="S118" s="47">
        <f t="shared" si="115"/>
        <v>0</v>
      </c>
      <c r="T118" s="47">
        <v>0</v>
      </c>
      <c r="U118" s="47">
        <f t="shared" si="116"/>
        <v>0</v>
      </c>
      <c r="V118" s="47">
        <v>0</v>
      </c>
      <c r="W118" s="47">
        <f t="shared" si="117"/>
        <v>0</v>
      </c>
      <c r="X118" s="47">
        <v>0</v>
      </c>
      <c r="Y118" s="47">
        <f t="shared" si="118"/>
        <v>0</v>
      </c>
      <c r="Z118" s="47">
        <f t="shared" si="119"/>
        <v>0</v>
      </c>
      <c r="AA118" s="47">
        <f t="shared" si="120"/>
        <v>0</v>
      </c>
      <c r="AB118" s="47">
        <f t="shared" si="121"/>
        <v>0</v>
      </c>
      <c r="AC118" s="47">
        <f t="shared" si="122"/>
        <v>0</v>
      </c>
      <c r="AD118" s="47">
        <v>0</v>
      </c>
      <c r="AE118" s="47">
        <f t="shared" si="123"/>
        <v>0</v>
      </c>
      <c r="AF118" s="47">
        <v>0</v>
      </c>
      <c r="AG118" s="47">
        <f t="shared" si="124"/>
        <v>0</v>
      </c>
      <c r="AH118" s="47">
        <v>0</v>
      </c>
      <c r="AI118" s="47">
        <f t="shared" si="125"/>
        <v>0</v>
      </c>
      <c r="AJ118" s="47">
        <v>0</v>
      </c>
      <c r="AK118" s="47">
        <f t="shared" si="126"/>
        <v>0</v>
      </c>
      <c r="AL118" s="47">
        <v>0</v>
      </c>
      <c r="AM118" s="47">
        <f t="shared" si="127"/>
        <v>0</v>
      </c>
      <c r="AN118" s="47">
        <v>0</v>
      </c>
      <c r="AO118" s="47">
        <f t="shared" si="128"/>
        <v>0</v>
      </c>
      <c r="AP118" s="47">
        <v>0</v>
      </c>
      <c r="AQ118" s="47">
        <f t="shared" si="129"/>
        <v>0</v>
      </c>
      <c r="AR118" s="47">
        <v>0</v>
      </c>
      <c r="AS118" s="47">
        <f t="shared" si="130"/>
        <v>0</v>
      </c>
      <c r="AT118" s="47">
        <v>0</v>
      </c>
      <c r="AU118" s="47">
        <f t="shared" si="131"/>
        <v>0</v>
      </c>
      <c r="AV118" s="47">
        <v>0</v>
      </c>
      <c r="AW118" s="47">
        <f t="shared" si="132"/>
        <v>0</v>
      </c>
      <c r="AX118" s="47">
        <v>0</v>
      </c>
      <c r="AY118" s="47">
        <f t="shared" si="133"/>
        <v>0</v>
      </c>
      <c r="AZ118" s="47">
        <v>0</v>
      </c>
      <c r="BA118" s="47">
        <f t="shared" si="134"/>
        <v>0</v>
      </c>
      <c r="BB118" s="48">
        <f t="shared" si="135"/>
        <v>0</v>
      </c>
      <c r="BC118" s="49">
        <f t="shared" si="136"/>
        <v>0</v>
      </c>
      <c r="BD118" s="7" t="e">
        <f t="shared" si="137"/>
        <v>#DIV/0!</v>
      </c>
      <c r="BE118" s="47">
        <f t="shared" si="138"/>
        <v>0</v>
      </c>
      <c r="BF118" s="47">
        <f t="shared" si="139"/>
        <v>0</v>
      </c>
      <c r="BG118" s="50">
        <f t="shared" si="140"/>
        <v>0</v>
      </c>
      <c r="BH118" s="50">
        <f t="shared" si="141"/>
        <v>0</v>
      </c>
      <c r="BI118" s="50">
        <f t="shared" si="142"/>
        <v>0</v>
      </c>
      <c r="BJ118" s="50">
        <f t="shared" si="143"/>
        <v>0</v>
      </c>
      <c r="BK118" s="50">
        <f t="shared" si="144"/>
        <v>0</v>
      </c>
      <c r="BL118" s="50">
        <f t="shared" si="145"/>
        <v>0</v>
      </c>
      <c r="BM118" s="51">
        <f t="shared" si="146"/>
        <v>0</v>
      </c>
      <c r="BN118" s="52">
        <f t="shared" si="147"/>
        <v>0</v>
      </c>
      <c r="BO118" s="52">
        <f t="shared" si="148"/>
        <v>0</v>
      </c>
      <c r="BP118" s="51">
        <f t="shared" si="149"/>
        <v>0.32</v>
      </c>
      <c r="BQ118" s="53">
        <f t="shared" si="150"/>
        <v>0</v>
      </c>
      <c r="BR118" s="53">
        <f t="shared" si="151"/>
        <v>0</v>
      </c>
      <c r="BS118" s="54">
        <f t="shared" si="152"/>
        <v>0</v>
      </c>
      <c r="BT118" s="55">
        <f t="shared" si="153"/>
        <v>0</v>
      </c>
      <c r="BU118" s="10" t="e">
        <f t="shared" si="154"/>
        <v>#DIV/0!</v>
      </c>
      <c r="BV118" s="3"/>
    </row>
    <row r="119" spans="1:74" ht="11.65" hidden="1">
      <c r="A119" s="646"/>
      <c r="B119" s="61"/>
      <c r="C119" s="56"/>
      <c r="D119" s="44"/>
      <c r="E119" s="7"/>
      <c r="F119" s="45"/>
      <c r="G119" s="46">
        <f t="shared" si="107"/>
        <v>0</v>
      </c>
      <c r="H119" s="7"/>
      <c r="I119" s="46">
        <f t="shared" si="108"/>
        <v>0</v>
      </c>
      <c r="J119" s="47">
        <v>0</v>
      </c>
      <c r="K119" s="47">
        <f t="shared" si="109"/>
        <v>0</v>
      </c>
      <c r="L119" s="47">
        <f t="shared" si="110"/>
        <v>0</v>
      </c>
      <c r="M119" s="47">
        <f t="shared" si="111"/>
        <v>0</v>
      </c>
      <c r="N119" s="47">
        <f t="shared" si="112"/>
        <v>0</v>
      </c>
      <c r="O119" s="47">
        <f t="shared" si="113"/>
        <v>0</v>
      </c>
      <c r="P119" s="47">
        <v>0</v>
      </c>
      <c r="Q119" s="47">
        <f t="shared" si="114"/>
        <v>0</v>
      </c>
      <c r="R119" s="47">
        <v>0</v>
      </c>
      <c r="S119" s="47">
        <f t="shared" si="115"/>
        <v>0</v>
      </c>
      <c r="T119" s="47">
        <v>0</v>
      </c>
      <c r="U119" s="47">
        <f t="shared" si="116"/>
        <v>0</v>
      </c>
      <c r="V119" s="47">
        <v>0</v>
      </c>
      <c r="W119" s="47">
        <f t="shared" si="117"/>
        <v>0</v>
      </c>
      <c r="X119" s="47">
        <v>0</v>
      </c>
      <c r="Y119" s="47">
        <f t="shared" si="118"/>
        <v>0</v>
      </c>
      <c r="Z119" s="47">
        <f t="shared" si="119"/>
        <v>0</v>
      </c>
      <c r="AA119" s="47">
        <f t="shared" si="120"/>
        <v>0</v>
      </c>
      <c r="AB119" s="47">
        <f t="shared" si="121"/>
        <v>0</v>
      </c>
      <c r="AC119" s="47">
        <f t="shared" si="122"/>
        <v>0</v>
      </c>
      <c r="AD119" s="47">
        <v>0</v>
      </c>
      <c r="AE119" s="47">
        <f t="shared" si="123"/>
        <v>0</v>
      </c>
      <c r="AF119" s="47">
        <v>0</v>
      </c>
      <c r="AG119" s="47">
        <f t="shared" si="124"/>
        <v>0</v>
      </c>
      <c r="AH119" s="47">
        <v>0</v>
      </c>
      <c r="AI119" s="47">
        <f t="shared" si="125"/>
        <v>0</v>
      </c>
      <c r="AJ119" s="47">
        <v>0</v>
      </c>
      <c r="AK119" s="47">
        <f t="shared" si="126"/>
        <v>0</v>
      </c>
      <c r="AL119" s="47">
        <v>0</v>
      </c>
      <c r="AM119" s="47">
        <f t="shared" si="127"/>
        <v>0</v>
      </c>
      <c r="AN119" s="47">
        <v>0</v>
      </c>
      <c r="AO119" s="47">
        <f t="shared" si="128"/>
        <v>0</v>
      </c>
      <c r="AP119" s="47">
        <v>0</v>
      </c>
      <c r="AQ119" s="47">
        <f t="shared" si="129"/>
        <v>0</v>
      </c>
      <c r="AR119" s="47">
        <v>0</v>
      </c>
      <c r="AS119" s="47">
        <f t="shared" si="130"/>
        <v>0</v>
      </c>
      <c r="AT119" s="47">
        <v>0</v>
      </c>
      <c r="AU119" s="47">
        <f t="shared" si="131"/>
        <v>0</v>
      </c>
      <c r="AV119" s="47">
        <v>0</v>
      </c>
      <c r="AW119" s="47">
        <f t="shared" si="132"/>
        <v>0</v>
      </c>
      <c r="AX119" s="47">
        <v>0</v>
      </c>
      <c r="AY119" s="47">
        <f t="shared" si="133"/>
        <v>0</v>
      </c>
      <c r="AZ119" s="47">
        <v>0</v>
      </c>
      <c r="BA119" s="47">
        <f t="shared" si="134"/>
        <v>0</v>
      </c>
      <c r="BB119" s="48">
        <f t="shared" si="135"/>
        <v>0</v>
      </c>
      <c r="BC119" s="49">
        <f t="shared" si="136"/>
        <v>0</v>
      </c>
      <c r="BD119" s="7" t="e">
        <f t="shared" si="137"/>
        <v>#DIV/0!</v>
      </c>
      <c r="BE119" s="47">
        <f t="shared" si="138"/>
        <v>0</v>
      </c>
      <c r="BF119" s="47">
        <f t="shared" si="139"/>
        <v>0</v>
      </c>
      <c r="BG119" s="50">
        <f t="shared" si="140"/>
        <v>0</v>
      </c>
      <c r="BH119" s="50">
        <f t="shared" si="141"/>
        <v>0</v>
      </c>
      <c r="BI119" s="50">
        <f t="shared" si="142"/>
        <v>0</v>
      </c>
      <c r="BJ119" s="50">
        <f t="shared" si="143"/>
        <v>0</v>
      </c>
      <c r="BK119" s="50">
        <f t="shared" si="144"/>
        <v>0</v>
      </c>
      <c r="BL119" s="50">
        <f t="shared" si="145"/>
        <v>0</v>
      </c>
      <c r="BM119" s="51">
        <f t="shared" si="146"/>
        <v>0</v>
      </c>
      <c r="BN119" s="52">
        <f t="shared" si="147"/>
        <v>0</v>
      </c>
      <c r="BO119" s="52">
        <f t="shared" si="148"/>
        <v>0</v>
      </c>
      <c r="BP119" s="51">
        <f t="shared" si="149"/>
        <v>0.32</v>
      </c>
      <c r="BQ119" s="53">
        <f t="shared" si="150"/>
        <v>0</v>
      </c>
      <c r="BR119" s="53">
        <f t="shared" si="151"/>
        <v>0</v>
      </c>
      <c r="BS119" s="54">
        <f t="shared" si="152"/>
        <v>0</v>
      </c>
      <c r="BT119" s="55">
        <f t="shared" si="153"/>
        <v>0</v>
      </c>
      <c r="BU119" s="10" t="e">
        <f t="shared" si="154"/>
        <v>#DIV/0!</v>
      </c>
      <c r="BV119" s="3"/>
    </row>
    <row r="120" spans="1:74" ht="11.65" hidden="1">
      <c r="A120" s="646"/>
      <c r="B120" s="61"/>
      <c r="C120" s="56"/>
      <c r="D120" s="44"/>
      <c r="E120" s="7"/>
      <c r="F120" s="45"/>
      <c r="G120" s="46">
        <f t="shared" si="107"/>
        <v>0</v>
      </c>
      <c r="H120" s="7"/>
      <c r="I120" s="46">
        <f t="shared" si="108"/>
        <v>0</v>
      </c>
      <c r="J120" s="47">
        <v>0</v>
      </c>
      <c r="K120" s="47">
        <f t="shared" si="109"/>
        <v>0</v>
      </c>
      <c r="L120" s="47">
        <f t="shared" si="110"/>
        <v>0</v>
      </c>
      <c r="M120" s="47">
        <f t="shared" si="111"/>
        <v>0</v>
      </c>
      <c r="N120" s="47">
        <f t="shared" si="112"/>
        <v>0</v>
      </c>
      <c r="O120" s="47">
        <f t="shared" si="113"/>
        <v>0</v>
      </c>
      <c r="P120" s="47">
        <v>0</v>
      </c>
      <c r="Q120" s="47">
        <f t="shared" si="114"/>
        <v>0</v>
      </c>
      <c r="R120" s="47">
        <v>0</v>
      </c>
      <c r="S120" s="47">
        <f t="shared" si="115"/>
        <v>0</v>
      </c>
      <c r="T120" s="47">
        <v>0</v>
      </c>
      <c r="U120" s="47">
        <f t="shared" si="116"/>
        <v>0</v>
      </c>
      <c r="V120" s="47">
        <v>0</v>
      </c>
      <c r="W120" s="47">
        <f t="shared" si="117"/>
        <v>0</v>
      </c>
      <c r="X120" s="47">
        <v>0</v>
      </c>
      <c r="Y120" s="47">
        <f t="shared" si="118"/>
        <v>0</v>
      </c>
      <c r="Z120" s="47">
        <f t="shared" si="119"/>
        <v>0</v>
      </c>
      <c r="AA120" s="47">
        <f t="shared" si="120"/>
        <v>0</v>
      </c>
      <c r="AB120" s="47">
        <f t="shared" si="121"/>
        <v>0</v>
      </c>
      <c r="AC120" s="47">
        <f t="shared" si="122"/>
        <v>0</v>
      </c>
      <c r="AD120" s="47">
        <v>0</v>
      </c>
      <c r="AE120" s="47">
        <f t="shared" si="123"/>
        <v>0</v>
      </c>
      <c r="AF120" s="47">
        <v>0</v>
      </c>
      <c r="AG120" s="47">
        <f t="shared" si="124"/>
        <v>0</v>
      </c>
      <c r="AH120" s="47">
        <v>0</v>
      </c>
      <c r="AI120" s="47">
        <f t="shared" si="125"/>
        <v>0</v>
      </c>
      <c r="AJ120" s="47">
        <v>0</v>
      </c>
      <c r="AK120" s="47">
        <f t="shared" si="126"/>
        <v>0</v>
      </c>
      <c r="AL120" s="47">
        <v>0</v>
      </c>
      <c r="AM120" s="47">
        <f t="shared" si="127"/>
        <v>0</v>
      </c>
      <c r="AN120" s="47">
        <v>0</v>
      </c>
      <c r="AO120" s="47">
        <f t="shared" si="128"/>
        <v>0</v>
      </c>
      <c r="AP120" s="47">
        <v>0</v>
      </c>
      <c r="AQ120" s="47">
        <f t="shared" si="129"/>
        <v>0</v>
      </c>
      <c r="AR120" s="47">
        <v>0</v>
      </c>
      <c r="AS120" s="47">
        <f t="shared" si="130"/>
        <v>0</v>
      </c>
      <c r="AT120" s="47">
        <v>0</v>
      </c>
      <c r="AU120" s="47">
        <f t="shared" si="131"/>
        <v>0</v>
      </c>
      <c r="AV120" s="47">
        <v>0</v>
      </c>
      <c r="AW120" s="47">
        <f t="shared" si="132"/>
        <v>0</v>
      </c>
      <c r="AX120" s="47">
        <v>0</v>
      </c>
      <c r="AY120" s="47">
        <f t="shared" si="133"/>
        <v>0</v>
      </c>
      <c r="AZ120" s="47">
        <v>0</v>
      </c>
      <c r="BA120" s="47">
        <f t="shared" si="134"/>
        <v>0</v>
      </c>
      <c r="BB120" s="48">
        <f t="shared" si="135"/>
        <v>0</v>
      </c>
      <c r="BC120" s="49">
        <f t="shared" si="136"/>
        <v>0</v>
      </c>
      <c r="BD120" s="7" t="e">
        <f t="shared" si="137"/>
        <v>#DIV/0!</v>
      </c>
      <c r="BE120" s="47">
        <f t="shared" si="138"/>
        <v>0</v>
      </c>
      <c r="BF120" s="47">
        <f t="shared" si="139"/>
        <v>0</v>
      </c>
      <c r="BG120" s="50">
        <f t="shared" si="140"/>
        <v>0</v>
      </c>
      <c r="BH120" s="50">
        <f t="shared" si="141"/>
        <v>0</v>
      </c>
      <c r="BI120" s="50">
        <f t="shared" si="142"/>
        <v>0</v>
      </c>
      <c r="BJ120" s="50">
        <f t="shared" si="143"/>
        <v>0</v>
      </c>
      <c r="BK120" s="50">
        <f t="shared" si="144"/>
        <v>0</v>
      </c>
      <c r="BL120" s="50">
        <f t="shared" si="145"/>
        <v>0</v>
      </c>
      <c r="BM120" s="51">
        <f t="shared" si="146"/>
        <v>0</v>
      </c>
      <c r="BN120" s="52">
        <f t="shared" si="147"/>
        <v>0</v>
      </c>
      <c r="BO120" s="52">
        <f t="shared" si="148"/>
        <v>0</v>
      </c>
      <c r="BP120" s="51">
        <f t="shared" si="149"/>
        <v>0.32</v>
      </c>
      <c r="BQ120" s="53">
        <f t="shared" si="150"/>
        <v>0</v>
      </c>
      <c r="BR120" s="53">
        <f t="shared" si="151"/>
        <v>0</v>
      </c>
      <c r="BS120" s="54">
        <f t="shared" si="152"/>
        <v>0</v>
      </c>
      <c r="BT120" s="55">
        <f t="shared" si="153"/>
        <v>0</v>
      </c>
      <c r="BU120" s="10" t="e">
        <f t="shared" si="154"/>
        <v>#DIV/0!</v>
      </c>
      <c r="BV120" s="3"/>
    </row>
    <row r="121" spans="1:74" ht="11.65" hidden="1">
      <c r="A121" s="646"/>
      <c r="B121" s="61"/>
      <c r="C121" s="56"/>
      <c r="D121" s="44"/>
      <c r="E121" s="7"/>
      <c r="F121" s="45"/>
      <c r="G121" s="46">
        <f t="shared" si="107"/>
        <v>0</v>
      </c>
      <c r="H121" s="7"/>
      <c r="I121" s="46">
        <f t="shared" si="108"/>
        <v>0</v>
      </c>
      <c r="J121" s="47">
        <v>0</v>
      </c>
      <c r="K121" s="47">
        <f t="shared" si="109"/>
        <v>0</v>
      </c>
      <c r="L121" s="47">
        <f t="shared" si="110"/>
        <v>0</v>
      </c>
      <c r="M121" s="47">
        <f t="shared" si="111"/>
        <v>0</v>
      </c>
      <c r="N121" s="47">
        <f t="shared" si="112"/>
        <v>0</v>
      </c>
      <c r="O121" s="47">
        <f t="shared" si="113"/>
        <v>0</v>
      </c>
      <c r="P121" s="47">
        <v>0</v>
      </c>
      <c r="Q121" s="47">
        <f t="shared" si="114"/>
        <v>0</v>
      </c>
      <c r="R121" s="47">
        <v>0</v>
      </c>
      <c r="S121" s="47">
        <f t="shared" si="115"/>
        <v>0</v>
      </c>
      <c r="T121" s="47">
        <v>0</v>
      </c>
      <c r="U121" s="47">
        <f t="shared" si="116"/>
        <v>0</v>
      </c>
      <c r="V121" s="47">
        <v>0</v>
      </c>
      <c r="W121" s="47">
        <f t="shared" si="117"/>
        <v>0</v>
      </c>
      <c r="X121" s="47">
        <v>0</v>
      </c>
      <c r="Y121" s="47">
        <f t="shared" si="118"/>
        <v>0</v>
      </c>
      <c r="Z121" s="47">
        <f t="shared" si="119"/>
        <v>0</v>
      </c>
      <c r="AA121" s="47">
        <f t="shared" si="120"/>
        <v>0</v>
      </c>
      <c r="AB121" s="47">
        <f t="shared" si="121"/>
        <v>0</v>
      </c>
      <c r="AC121" s="47">
        <f t="shared" si="122"/>
        <v>0</v>
      </c>
      <c r="AD121" s="47">
        <v>0</v>
      </c>
      <c r="AE121" s="47">
        <f t="shared" si="123"/>
        <v>0</v>
      </c>
      <c r="AF121" s="47">
        <v>0</v>
      </c>
      <c r="AG121" s="47">
        <f t="shared" si="124"/>
        <v>0</v>
      </c>
      <c r="AH121" s="47">
        <v>0</v>
      </c>
      <c r="AI121" s="47">
        <f t="shared" si="125"/>
        <v>0</v>
      </c>
      <c r="AJ121" s="47">
        <v>0</v>
      </c>
      <c r="AK121" s="47">
        <f t="shared" si="126"/>
        <v>0</v>
      </c>
      <c r="AL121" s="47">
        <v>0</v>
      </c>
      <c r="AM121" s="47">
        <f t="shared" si="127"/>
        <v>0</v>
      </c>
      <c r="AN121" s="47">
        <v>0</v>
      </c>
      <c r="AO121" s="47">
        <f t="shared" si="128"/>
        <v>0</v>
      </c>
      <c r="AP121" s="47">
        <v>0</v>
      </c>
      <c r="AQ121" s="47">
        <f t="shared" si="129"/>
        <v>0</v>
      </c>
      <c r="AR121" s="47">
        <v>0</v>
      </c>
      <c r="AS121" s="47">
        <f t="shared" si="130"/>
        <v>0</v>
      </c>
      <c r="AT121" s="47">
        <v>0</v>
      </c>
      <c r="AU121" s="47">
        <f t="shared" si="131"/>
        <v>0</v>
      </c>
      <c r="AV121" s="47">
        <v>0</v>
      </c>
      <c r="AW121" s="47">
        <f t="shared" si="132"/>
        <v>0</v>
      </c>
      <c r="AX121" s="47">
        <v>0</v>
      </c>
      <c r="AY121" s="47">
        <f t="shared" si="133"/>
        <v>0</v>
      </c>
      <c r="AZ121" s="47">
        <v>0</v>
      </c>
      <c r="BA121" s="47">
        <f t="shared" si="134"/>
        <v>0</v>
      </c>
      <c r="BB121" s="48">
        <f t="shared" si="135"/>
        <v>0</v>
      </c>
      <c r="BC121" s="49">
        <f t="shared" si="136"/>
        <v>0</v>
      </c>
      <c r="BD121" s="7" t="e">
        <f t="shared" si="137"/>
        <v>#DIV/0!</v>
      </c>
      <c r="BE121" s="47">
        <f t="shared" si="138"/>
        <v>0</v>
      </c>
      <c r="BF121" s="47">
        <f t="shared" si="139"/>
        <v>0</v>
      </c>
      <c r="BG121" s="50">
        <f t="shared" si="140"/>
        <v>0</v>
      </c>
      <c r="BH121" s="50">
        <f t="shared" si="141"/>
        <v>0</v>
      </c>
      <c r="BI121" s="50">
        <f t="shared" si="142"/>
        <v>0</v>
      </c>
      <c r="BJ121" s="50">
        <f t="shared" si="143"/>
        <v>0</v>
      </c>
      <c r="BK121" s="50">
        <f t="shared" si="144"/>
        <v>0</v>
      </c>
      <c r="BL121" s="50">
        <f t="shared" si="145"/>
        <v>0</v>
      </c>
      <c r="BM121" s="51">
        <f t="shared" si="146"/>
        <v>0</v>
      </c>
      <c r="BN121" s="52">
        <f t="shared" si="147"/>
        <v>0</v>
      </c>
      <c r="BO121" s="52">
        <f t="shared" si="148"/>
        <v>0</v>
      </c>
      <c r="BP121" s="51">
        <f t="shared" si="149"/>
        <v>0.32</v>
      </c>
      <c r="BQ121" s="53">
        <f t="shared" si="150"/>
        <v>0</v>
      </c>
      <c r="BR121" s="53">
        <f t="shared" si="151"/>
        <v>0</v>
      </c>
      <c r="BS121" s="54">
        <f t="shared" si="152"/>
        <v>0</v>
      </c>
      <c r="BT121" s="55">
        <f t="shared" si="153"/>
        <v>0</v>
      </c>
      <c r="BU121" s="10" t="e">
        <f t="shared" si="154"/>
        <v>#DIV/0!</v>
      </c>
      <c r="BV121" s="3"/>
    </row>
    <row r="122" spans="1:74" ht="11.65" hidden="1">
      <c r="A122" s="646"/>
      <c r="B122" s="61"/>
      <c r="C122" s="56"/>
      <c r="D122" s="44"/>
      <c r="E122" s="7"/>
      <c r="F122" s="45"/>
      <c r="G122" s="46">
        <f t="shared" si="107"/>
        <v>0</v>
      </c>
      <c r="H122" s="7"/>
      <c r="I122" s="46">
        <f t="shared" si="108"/>
        <v>0</v>
      </c>
      <c r="J122" s="47">
        <v>0</v>
      </c>
      <c r="K122" s="47">
        <f t="shared" si="109"/>
        <v>0</v>
      </c>
      <c r="L122" s="47">
        <f t="shared" si="110"/>
        <v>0</v>
      </c>
      <c r="M122" s="47">
        <f t="shared" si="111"/>
        <v>0</v>
      </c>
      <c r="N122" s="47">
        <f t="shared" si="112"/>
        <v>0</v>
      </c>
      <c r="O122" s="47">
        <f t="shared" si="113"/>
        <v>0</v>
      </c>
      <c r="P122" s="47">
        <v>0</v>
      </c>
      <c r="Q122" s="47">
        <f t="shared" si="114"/>
        <v>0</v>
      </c>
      <c r="R122" s="47">
        <v>0</v>
      </c>
      <c r="S122" s="47">
        <f t="shared" si="115"/>
        <v>0</v>
      </c>
      <c r="T122" s="47">
        <v>0</v>
      </c>
      <c r="U122" s="47">
        <f t="shared" si="116"/>
        <v>0</v>
      </c>
      <c r="V122" s="47">
        <v>0</v>
      </c>
      <c r="W122" s="47">
        <f t="shared" si="117"/>
        <v>0</v>
      </c>
      <c r="X122" s="47">
        <v>0</v>
      </c>
      <c r="Y122" s="47">
        <f t="shared" si="118"/>
        <v>0</v>
      </c>
      <c r="Z122" s="47">
        <f t="shared" si="119"/>
        <v>0</v>
      </c>
      <c r="AA122" s="47">
        <f t="shared" si="120"/>
        <v>0</v>
      </c>
      <c r="AB122" s="47">
        <f t="shared" si="121"/>
        <v>0</v>
      </c>
      <c r="AC122" s="47">
        <f t="shared" si="122"/>
        <v>0</v>
      </c>
      <c r="AD122" s="47">
        <v>0</v>
      </c>
      <c r="AE122" s="47">
        <f t="shared" si="123"/>
        <v>0</v>
      </c>
      <c r="AF122" s="47">
        <v>0</v>
      </c>
      <c r="AG122" s="47">
        <f t="shared" si="124"/>
        <v>0</v>
      </c>
      <c r="AH122" s="47">
        <v>0</v>
      </c>
      <c r="AI122" s="47">
        <f t="shared" si="125"/>
        <v>0</v>
      </c>
      <c r="AJ122" s="47">
        <v>0</v>
      </c>
      <c r="AK122" s="47">
        <f t="shared" si="126"/>
        <v>0</v>
      </c>
      <c r="AL122" s="47">
        <v>0</v>
      </c>
      <c r="AM122" s="47">
        <f t="shared" si="127"/>
        <v>0</v>
      </c>
      <c r="AN122" s="47">
        <v>0</v>
      </c>
      <c r="AO122" s="47">
        <f t="shared" si="128"/>
        <v>0</v>
      </c>
      <c r="AP122" s="47">
        <v>0</v>
      </c>
      <c r="AQ122" s="47">
        <f t="shared" si="129"/>
        <v>0</v>
      </c>
      <c r="AR122" s="47">
        <v>0</v>
      </c>
      <c r="AS122" s="47">
        <f t="shared" si="130"/>
        <v>0</v>
      </c>
      <c r="AT122" s="47">
        <v>0</v>
      </c>
      <c r="AU122" s="47">
        <f t="shared" si="131"/>
        <v>0</v>
      </c>
      <c r="AV122" s="47">
        <v>0</v>
      </c>
      <c r="AW122" s="47">
        <f t="shared" si="132"/>
        <v>0</v>
      </c>
      <c r="AX122" s="47">
        <v>0</v>
      </c>
      <c r="AY122" s="47">
        <f t="shared" si="133"/>
        <v>0</v>
      </c>
      <c r="AZ122" s="47">
        <v>0</v>
      </c>
      <c r="BA122" s="47">
        <f t="shared" si="134"/>
        <v>0</v>
      </c>
      <c r="BB122" s="48">
        <f t="shared" si="135"/>
        <v>0</v>
      </c>
      <c r="BC122" s="49">
        <f t="shared" si="136"/>
        <v>0</v>
      </c>
      <c r="BD122" s="7" t="e">
        <f t="shared" si="137"/>
        <v>#DIV/0!</v>
      </c>
      <c r="BE122" s="47">
        <f t="shared" si="138"/>
        <v>0</v>
      </c>
      <c r="BF122" s="47">
        <f t="shared" si="139"/>
        <v>0</v>
      </c>
      <c r="BG122" s="50">
        <f t="shared" si="140"/>
        <v>0</v>
      </c>
      <c r="BH122" s="50">
        <f t="shared" si="141"/>
        <v>0</v>
      </c>
      <c r="BI122" s="50">
        <f t="shared" si="142"/>
        <v>0</v>
      </c>
      <c r="BJ122" s="50">
        <f t="shared" si="143"/>
        <v>0</v>
      </c>
      <c r="BK122" s="50">
        <f t="shared" si="144"/>
        <v>0</v>
      </c>
      <c r="BL122" s="50">
        <f t="shared" si="145"/>
        <v>0</v>
      </c>
      <c r="BM122" s="51">
        <f t="shared" si="146"/>
        <v>0</v>
      </c>
      <c r="BN122" s="52">
        <f t="shared" si="147"/>
        <v>0</v>
      </c>
      <c r="BO122" s="52">
        <f t="shared" si="148"/>
        <v>0</v>
      </c>
      <c r="BP122" s="51">
        <f t="shared" si="149"/>
        <v>0.32</v>
      </c>
      <c r="BQ122" s="53">
        <f t="shared" si="150"/>
        <v>0</v>
      </c>
      <c r="BR122" s="53">
        <f t="shared" si="151"/>
        <v>0</v>
      </c>
      <c r="BS122" s="54">
        <f t="shared" si="152"/>
        <v>0</v>
      </c>
      <c r="BT122" s="55">
        <f t="shared" si="153"/>
        <v>0</v>
      </c>
      <c r="BU122" s="10" t="e">
        <f t="shared" si="154"/>
        <v>#DIV/0!</v>
      </c>
      <c r="BV122" s="3"/>
    </row>
    <row r="123" spans="1:74" ht="11.65" hidden="1">
      <c r="A123" s="646"/>
      <c r="B123" s="61"/>
      <c r="C123" s="56"/>
      <c r="D123" s="44"/>
      <c r="E123" s="7"/>
      <c r="F123" s="45"/>
      <c r="G123" s="46">
        <f t="shared" si="107"/>
        <v>0</v>
      </c>
      <c r="H123" s="7"/>
      <c r="I123" s="46">
        <f t="shared" si="108"/>
        <v>0</v>
      </c>
      <c r="J123" s="47">
        <v>0</v>
      </c>
      <c r="K123" s="47">
        <f t="shared" si="109"/>
        <v>0</v>
      </c>
      <c r="L123" s="47">
        <f t="shared" si="110"/>
        <v>0</v>
      </c>
      <c r="M123" s="47">
        <f t="shared" si="111"/>
        <v>0</v>
      </c>
      <c r="N123" s="47">
        <f t="shared" si="112"/>
        <v>0</v>
      </c>
      <c r="O123" s="47">
        <f t="shared" si="113"/>
        <v>0</v>
      </c>
      <c r="P123" s="47">
        <v>0</v>
      </c>
      <c r="Q123" s="47">
        <f t="shared" si="114"/>
        <v>0</v>
      </c>
      <c r="R123" s="47">
        <v>0</v>
      </c>
      <c r="S123" s="47">
        <f t="shared" si="115"/>
        <v>0</v>
      </c>
      <c r="T123" s="47">
        <v>0</v>
      </c>
      <c r="U123" s="47">
        <f t="shared" si="116"/>
        <v>0</v>
      </c>
      <c r="V123" s="47">
        <v>0</v>
      </c>
      <c r="W123" s="47">
        <f t="shared" si="117"/>
        <v>0</v>
      </c>
      <c r="X123" s="47">
        <v>0</v>
      </c>
      <c r="Y123" s="47">
        <f t="shared" si="118"/>
        <v>0</v>
      </c>
      <c r="Z123" s="47">
        <f t="shared" si="119"/>
        <v>0</v>
      </c>
      <c r="AA123" s="47">
        <f t="shared" si="120"/>
        <v>0</v>
      </c>
      <c r="AB123" s="47">
        <f t="shared" si="121"/>
        <v>0</v>
      </c>
      <c r="AC123" s="47">
        <f t="shared" si="122"/>
        <v>0</v>
      </c>
      <c r="AD123" s="47">
        <v>0</v>
      </c>
      <c r="AE123" s="47">
        <f t="shared" si="123"/>
        <v>0</v>
      </c>
      <c r="AF123" s="47">
        <v>0</v>
      </c>
      <c r="AG123" s="47">
        <f t="shared" si="124"/>
        <v>0</v>
      </c>
      <c r="AH123" s="47">
        <v>0</v>
      </c>
      <c r="AI123" s="47">
        <f t="shared" si="125"/>
        <v>0</v>
      </c>
      <c r="AJ123" s="47">
        <v>0</v>
      </c>
      <c r="AK123" s="47">
        <f t="shared" si="126"/>
        <v>0</v>
      </c>
      <c r="AL123" s="47">
        <v>0</v>
      </c>
      <c r="AM123" s="47">
        <f t="shared" si="127"/>
        <v>0</v>
      </c>
      <c r="AN123" s="47">
        <v>0</v>
      </c>
      <c r="AO123" s="47">
        <f t="shared" si="128"/>
        <v>0</v>
      </c>
      <c r="AP123" s="47">
        <v>0</v>
      </c>
      <c r="AQ123" s="47">
        <f t="shared" si="129"/>
        <v>0</v>
      </c>
      <c r="AR123" s="47">
        <v>0</v>
      </c>
      <c r="AS123" s="47">
        <f t="shared" si="130"/>
        <v>0</v>
      </c>
      <c r="AT123" s="47">
        <v>0</v>
      </c>
      <c r="AU123" s="47">
        <f t="shared" si="131"/>
        <v>0</v>
      </c>
      <c r="AV123" s="47">
        <v>0</v>
      </c>
      <c r="AW123" s="47">
        <f t="shared" si="132"/>
        <v>0</v>
      </c>
      <c r="AX123" s="47">
        <v>0</v>
      </c>
      <c r="AY123" s="47">
        <f t="shared" si="133"/>
        <v>0</v>
      </c>
      <c r="AZ123" s="47">
        <v>0</v>
      </c>
      <c r="BA123" s="47">
        <f t="shared" si="134"/>
        <v>0</v>
      </c>
      <c r="BB123" s="48">
        <f t="shared" si="135"/>
        <v>0</v>
      </c>
      <c r="BC123" s="49">
        <f t="shared" si="136"/>
        <v>0</v>
      </c>
      <c r="BD123" s="7" t="e">
        <f t="shared" si="137"/>
        <v>#DIV/0!</v>
      </c>
      <c r="BE123" s="47">
        <f t="shared" si="138"/>
        <v>0</v>
      </c>
      <c r="BF123" s="47">
        <f t="shared" si="139"/>
        <v>0</v>
      </c>
      <c r="BG123" s="50">
        <f t="shared" si="140"/>
        <v>0</v>
      </c>
      <c r="BH123" s="50">
        <f t="shared" si="141"/>
        <v>0</v>
      </c>
      <c r="BI123" s="50">
        <f t="shared" si="142"/>
        <v>0</v>
      </c>
      <c r="BJ123" s="50">
        <f t="shared" si="143"/>
        <v>0</v>
      </c>
      <c r="BK123" s="50">
        <f t="shared" si="144"/>
        <v>0</v>
      </c>
      <c r="BL123" s="50">
        <f t="shared" si="145"/>
        <v>0</v>
      </c>
      <c r="BM123" s="51">
        <f t="shared" si="146"/>
        <v>0</v>
      </c>
      <c r="BN123" s="52">
        <f t="shared" si="147"/>
        <v>0</v>
      </c>
      <c r="BO123" s="52">
        <f t="shared" si="148"/>
        <v>0</v>
      </c>
      <c r="BP123" s="51">
        <f t="shared" si="149"/>
        <v>0.32</v>
      </c>
      <c r="BQ123" s="53">
        <f t="shared" si="150"/>
        <v>0</v>
      </c>
      <c r="BR123" s="53">
        <f t="shared" si="151"/>
        <v>0</v>
      </c>
      <c r="BS123" s="54">
        <f t="shared" si="152"/>
        <v>0</v>
      </c>
      <c r="BT123" s="55">
        <f t="shared" si="153"/>
        <v>0</v>
      </c>
      <c r="BU123" s="10" t="e">
        <f t="shared" si="154"/>
        <v>#DIV/0!</v>
      </c>
      <c r="BV123" s="3"/>
    </row>
    <row r="124" spans="1:74" ht="11.65" hidden="1">
      <c r="A124" s="646"/>
      <c r="B124" s="61"/>
      <c r="C124" s="56"/>
      <c r="D124" s="44"/>
      <c r="E124" s="7"/>
      <c r="F124" s="45"/>
      <c r="G124" s="46">
        <f t="shared" si="107"/>
        <v>0</v>
      </c>
      <c r="H124" s="7"/>
      <c r="I124" s="46">
        <f t="shared" si="108"/>
        <v>0</v>
      </c>
      <c r="J124" s="47">
        <v>0</v>
      </c>
      <c r="K124" s="47">
        <f t="shared" si="109"/>
        <v>0</v>
      </c>
      <c r="L124" s="47">
        <f t="shared" si="110"/>
        <v>0</v>
      </c>
      <c r="M124" s="47">
        <f t="shared" si="111"/>
        <v>0</v>
      </c>
      <c r="N124" s="47">
        <f t="shared" si="112"/>
        <v>0</v>
      </c>
      <c r="O124" s="47">
        <f t="shared" si="113"/>
        <v>0</v>
      </c>
      <c r="P124" s="47">
        <v>0</v>
      </c>
      <c r="Q124" s="47">
        <f t="shared" si="114"/>
        <v>0</v>
      </c>
      <c r="R124" s="47">
        <v>0</v>
      </c>
      <c r="S124" s="47">
        <f t="shared" si="115"/>
        <v>0</v>
      </c>
      <c r="T124" s="47">
        <v>0</v>
      </c>
      <c r="U124" s="47">
        <f t="shared" si="116"/>
        <v>0</v>
      </c>
      <c r="V124" s="47">
        <v>0</v>
      </c>
      <c r="W124" s="47">
        <f t="shared" si="117"/>
        <v>0</v>
      </c>
      <c r="X124" s="47">
        <v>0</v>
      </c>
      <c r="Y124" s="47">
        <f t="shared" si="118"/>
        <v>0</v>
      </c>
      <c r="Z124" s="47">
        <f t="shared" si="119"/>
        <v>0</v>
      </c>
      <c r="AA124" s="47">
        <f t="shared" si="120"/>
        <v>0</v>
      </c>
      <c r="AB124" s="47">
        <f t="shared" si="121"/>
        <v>0</v>
      </c>
      <c r="AC124" s="47">
        <f t="shared" si="122"/>
        <v>0</v>
      </c>
      <c r="AD124" s="47">
        <v>0</v>
      </c>
      <c r="AE124" s="47">
        <f t="shared" si="123"/>
        <v>0</v>
      </c>
      <c r="AF124" s="47">
        <v>0</v>
      </c>
      <c r="AG124" s="47">
        <f t="shared" si="124"/>
        <v>0</v>
      </c>
      <c r="AH124" s="47">
        <v>0</v>
      </c>
      <c r="AI124" s="47">
        <f t="shared" si="125"/>
        <v>0</v>
      </c>
      <c r="AJ124" s="47">
        <v>0</v>
      </c>
      <c r="AK124" s="47">
        <f t="shared" si="126"/>
        <v>0</v>
      </c>
      <c r="AL124" s="47">
        <v>0</v>
      </c>
      <c r="AM124" s="47">
        <f t="shared" si="127"/>
        <v>0</v>
      </c>
      <c r="AN124" s="47">
        <v>0</v>
      </c>
      <c r="AO124" s="47">
        <f t="shared" si="128"/>
        <v>0</v>
      </c>
      <c r="AP124" s="47">
        <v>0</v>
      </c>
      <c r="AQ124" s="47">
        <f t="shared" si="129"/>
        <v>0</v>
      </c>
      <c r="AR124" s="47">
        <v>0</v>
      </c>
      <c r="AS124" s="47">
        <f t="shared" si="130"/>
        <v>0</v>
      </c>
      <c r="AT124" s="47">
        <v>0</v>
      </c>
      <c r="AU124" s="47">
        <f t="shared" si="131"/>
        <v>0</v>
      </c>
      <c r="AV124" s="47">
        <v>0</v>
      </c>
      <c r="AW124" s="47">
        <f t="shared" si="132"/>
        <v>0</v>
      </c>
      <c r="AX124" s="47">
        <v>0</v>
      </c>
      <c r="AY124" s="47">
        <f t="shared" si="133"/>
        <v>0</v>
      </c>
      <c r="AZ124" s="47">
        <v>0</v>
      </c>
      <c r="BA124" s="47">
        <f t="shared" si="134"/>
        <v>0</v>
      </c>
      <c r="BB124" s="48">
        <f t="shared" si="135"/>
        <v>0</v>
      </c>
      <c r="BC124" s="49">
        <f t="shared" si="136"/>
        <v>0</v>
      </c>
      <c r="BD124" s="7" t="e">
        <f t="shared" si="137"/>
        <v>#DIV/0!</v>
      </c>
      <c r="BE124" s="47">
        <f t="shared" si="138"/>
        <v>0</v>
      </c>
      <c r="BF124" s="47">
        <f t="shared" si="139"/>
        <v>0</v>
      </c>
      <c r="BG124" s="50">
        <f t="shared" si="140"/>
        <v>0</v>
      </c>
      <c r="BH124" s="50">
        <f t="shared" si="141"/>
        <v>0</v>
      </c>
      <c r="BI124" s="50">
        <f t="shared" si="142"/>
        <v>0</v>
      </c>
      <c r="BJ124" s="50">
        <f t="shared" si="143"/>
        <v>0</v>
      </c>
      <c r="BK124" s="50">
        <f t="shared" si="144"/>
        <v>0</v>
      </c>
      <c r="BL124" s="50">
        <f t="shared" si="145"/>
        <v>0</v>
      </c>
      <c r="BM124" s="51">
        <f t="shared" si="146"/>
        <v>0</v>
      </c>
      <c r="BN124" s="52">
        <f t="shared" si="147"/>
        <v>0</v>
      </c>
      <c r="BO124" s="52">
        <f t="shared" si="148"/>
        <v>0</v>
      </c>
      <c r="BP124" s="51">
        <f t="shared" si="149"/>
        <v>0.32</v>
      </c>
      <c r="BQ124" s="53">
        <f t="shared" si="150"/>
        <v>0</v>
      </c>
      <c r="BR124" s="53">
        <f t="shared" si="151"/>
        <v>0</v>
      </c>
      <c r="BS124" s="54">
        <f t="shared" si="152"/>
        <v>0</v>
      </c>
      <c r="BT124" s="55">
        <f t="shared" si="153"/>
        <v>0</v>
      </c>
      <c r="BU124" s="10" t="e">
        <f t="shared" si="154"/>
        <v>#DIV/0!</v>
      </c>
      <c r="BV124" s="3"/>
    </row>
    <row r="125" spans="1:74" ht="11.65" hidden="1">
      <c r="A125" s="646"/>
      <c r="B125" s="61"/>
      <c r="C125" s="56"/>
      <c r="D125" s="44"/>
      <c r="E125" s="7"/>
      <c r="F125" s="45"/>
      <c r="G125" s="46">
        <f t="shared" si="107"/>
        <v>0</v>
      </c>
      <c r="H125" s="7"/>
      <c r="I125" s="46">
        <f t="shared" si="108"/>
        <v>0</v>
      </c>
      <c r="J125" s="47">
        <v>0</v>
      </c>
      <c r="K125" s="47">
        <f t="shared" si="109"/>
        <v>0</v>
      </c>
      <c r="L125" s="47">
        <f t="shared" si="110"/>
        <v>0</v>
      </c>
      <c r="M125" s="47">
        <f t="shared" si="111"/>
        <v>0</v>
      </c>
      <c r="N125" s="47">
        <f t="shared" si="112"/>
        <v>0</v>
      </c>
      <c r="O125" s="47">
        <f t="shared" si="113"/>
        <v>0</v>
      </c>
      <c r="P125" s="47">
        <v>0</v>
      </c>
      <c r="Q125" s="47">
        <f t="shared" si="114"/>
        <v>0</v>
      </c>
      <c r="R125" s="47">
        <v>0</v>
      </c>
      <c r="S125" s="47">
        <f t="shared" si="115"/>
        <v>0</v>
      </c>
      <c r="T125" s="47">
        <v>0</v>
      </c>
      <c r="U125" s="47">
        <f t="shared" si="116"/>
        <v>0</v>
      </c>
      <c r="V125" s="47">
        <v>0</v>
      </c>
      <c r="W125" s="47">
        <f t="shared" si="117"/>
        <v>0</v>
      </c>
      <c r="X125" s="47">
        <v>0</v>
      </c>
      <c r="Y125" s="47">
        <f t="shared" si="118"/>
        <v>0</v>
      </c>
      <c r="Z125" s="47">
        <f t="shared" si="119"/>
        <v>0</v>
      </c>
      <c r="AA125" s="47">
        <f t="shared" si="120"/>
        <v>0</v>
      </c>
      <c r="AB125" s="47">
        <f t="shared" si="121"/>
        <v>0</v>
      </c>
      <c r="AC125" s="47">
        <f t="shared" si="122"/>
        <v>0</v>
      </c>
      <c r="AD125" s="47">
        <v>0</v>
      </c>
      <c r="AE125" s="47">
        <f t="shared" si="123"/>
        <v>0</v>
      </c>
      <c r="AF125" s="47">
        <v>0</v>
      </c>
      <c r="AG125" s="47">
        <f t="shared" si="124"/>
        <v>0</v>
      </c>
      <c r="AH125" s="47">
        <v>0</v>
      </c>
      <c r="AI125" s="47">
        <f t="shared" si="125"/>
        <v>0</v>
      </c>
      <c r="AJ125" s="47">
        <v>0</v>
      </c>
      <c r="AK125" s="47">
        <f t="shared" si="126"/>
        <v>0</v>
      </c>
      <c r="AL125" s="47">
        <v>0</v>
      </c>
      <c r="AM125" s="47">
        <f t="shared" si="127"/>
        <v>0</v>
      </c>
      <c r="AN125" s="47">
        <v>0</v>
      </c>
      <c r="AO125" s="47">
        <f t="shared" si="128"/>
        <v>0</v>
      </c>
      <c r="AP125" s="47">
        <v>0</v>
      </c>
      <c r="AQ125" s="47">
        <f t="shared" si="129"/>
        <v>0</v>
      </c>
      <c r="AR125" s="47">
        <v>0</v>
      </c>
      <c r="AS125" s="47">
        <f t="shared" si="130"/>
        <v>0</v>
      </c>
      <c r="AT125" s="47">
        <v>0</v>
      </c>
      <c r="AU125" s="47">
        <f t="shared" si="131"/>
        <v>0</v>
      </c>
      <c r="AV125" s="47">
        <v>0</v>
      </c>
      <c r="AW125" s="47">
        <f t="shared" si="132"/>
        <v>0</v>
      </c>
      <c r="AX125" s="47">
        <v>0</v>
      </c>
      <c r="AY125" s="47">
        <f t="shared" si="133"/>
        <v>0</v>
      </c>
      <c r="AZ125" s="47">
        <v>0</v>
      </c>
      <c r="BA125" s="47">
        <f t="shared" si="134"/>
        <v>0</v>
      </c>
      <c r="BB125" s="48">
        <f t="shared" si="135"/>
        <v>0</v>
      </c>
      <c r="BC125" s="49">
        <f t="shared" si="136"/>
        <v>0</v>
      </c>
      <c r="BD125" s="7" t="e">
        <f t="shared" si="137"/>
        <v>#DIV/0!</v>
      </c>
      <c r="BE125" s="47">
        <f t="shared" si="138"/>
        <v>0</v>
      </c>
      <c r="BF125" s="47">
        <f t="shared" si="139"/>
        <v>0</v>
      </c>
      <c r="BG125" s="50">
        <f t="shared" si="140"/>
        <v>0</v>
      </c>
      <c r="BH125" s="50">
        <f t="shared" si="141"/>
        <v>0</v>
      </c>
      <c r="BI125" s="50">
        <f t="shared" si="142"/>
        <v>0</v>
      </c>
      <c r="BJ125" s="50">
        <f t="shared" si="143"/>
        <v>0</v>
      </c>
      <c r="BK125" s="50">
        <f t="shared" si="144"/>
        <v>0</v>
      </c>
      <c r="BL125" s="50">
        <f t="shared" si="145"/>
        <v>0</v>
      </c>
      <c r="BM125" s="51">
        <f t="shared" si="146"/>
        <v>0</v>
      </c>
      <c r="BN125" s="52">
        <f t="shared" si="147"/>
        <v>0</v>
      </c>
      <c r="BO125" s="52">
        <f t="shared" si="148"/>
        <v>0</v>
      </c>
      <c r="BP125" s="51">
        <f t="shared" si="149"/>
        <v>0.32</v>
      </c>
      <c r="BQ125" s="53">
        <f t="shared" si="150"/>
        <v>0</v>
      </c>
      <c r="BR125" s="53">
        <f t="shared" si="151"/>
        <v>0</v>
      </c>
      <c r="BS125" s="54">
        <f t="shared" si="152"/>
        <v>0</v>
      </c>
      <c r="BT125" s="55">
        <f t="shared" si="153"/>
        <v>0</v>
      </c>
      <c r="BU125" s="10" t="e">
        <f t="shared" si="154"/>
        <v>#DIV/0!</v>
      </c>
      <c r="BV125" s="3"/>
    </row>
    <row r="126" spans="1:74" ht="11.65" hidden="1">
      <c r="A126" s="646"/>
      <c r="B126" s="61"/>
      <c r="C126" s="56"/>
      <c r="D126" s="44"/>
      <c r="E126" s="7"/>
      <c r="F126" s="45"/>
      <c r="G126" s="46">
        <f t="shared" si="107"/>
        <v>0</v>
      </c>
      <c r="H126" s="7"/>
      <c r="I126" s="46">
        <f t="shared" si="108"/>
        <v>0</v>
      </c>
      <c r="J126" s="47">
        <v>0</v>
      </c>
      <c r="K126" s="47">
        <f t="shared" si="109"/>
        <v>0</v>
      </c>
      <c r="L126" s="47">
        <f t="shared" si="110"/>
        <v>0</v>
      </c>
      <c r="M126" s="47">
        <f t="shared" si="111"/>
        <v>0</v>
      </c>
      <c r="N126" s="47">
        <f t="shared" si="112"/>
        <v>0</v>
      </c>
      <c r="O126" s="47">
        <f t="shared" si="113"/>
        <v>0</v>
      </c>
      <c r="P126" s="47">
        <v>0</v>
      </c>
      <c r="Q126" s="47">
        <f t="shared" si="114"/>
        <v>0</v>
      </c>
      <c r="R126" s="47">
        <v>0</v>
      </c>
      <c r="S126" s="47">
        <f t="shared" si="115"/>
        <v>0</v>
      </c>
      <c r="T126" s="47">
        <v>0</v>
      </c>
      <c r="U126" s="47">
        <f t="shared" si="116"/>
        <v>0</v>
      </c>
      <c r="V126" s="47">
        <v>0</v>
      </c>
      <c r="W126" s="47">
        <f t="shared" si="117"/>
        <v>0</v>
      </c>
      <c r="X126" s="47">
        <v>0</v>
      </c>
      <c r="Y126" s="47">
        <f t="shared" si="118"/>
        <v>0</v>
      </c>
      <c r="Z126" s="47">
        <f t="shared" si="119"/>
        <v>0</v>
      </c>
      <c r="AA126" s="47">
        <f t="shared" si="120"/>
        <v>0</v>
      </c>
      <c r="AB126" s="47">
        <f t="shared" si="121"/>
        <v>0</v>
      </c>
      <c r="AC126" s="47">
        <f t="shared" si="122"/>
        <v>0</v>
      </c>
      <c r="AD126" s="47">
        <v>0</v>
      </c>
      <c r="AE126" s="47">
        <f t="shared" si="123"/>
        <v>0</v>
      </c>
      <c r="AF126" s="47">
        <v>0</v>
      </c>
      <c r="AG126" s="47">
        <f t="shared" si="124"/>
        <v>0</v>
      </c>
      <c r="AH126" s="47">
        <v>0</v>
      </c>
      <c r="AI126" s="47">
        <f t="shared" si="125"/>
        <v>0</v>
      </c>
      <c r="AJ126" s="47">
        <v>0</v>
      </c>
      <c r="AK126" s="47">
        <f t="shared" si="126"/>
        <v>0</v>
      </c>
      <c r="AL126" s="47">
        <v>0</v>
      </c>
      <c r="AM126" s="47">
        <f t="shared" si="127"/>
        <v>0</v>
      </c>
      <c r="AN126" s="47">
        <v>0</v>
      </c>
      <c r="AO126" s="47">
        <f t="shared" si="128"/>
        <v>0</v>
      </c>
      <c r="AP126" s="47">
        <v>0</v>
      </c>
      <c r="AQ126" s="47">
        <f t="shared" si="129"/>
        <v>0</v>
      </c>
      <c r="AR126" s="47">
        <v>0</v>
      </c>
      <c r="AS126" s="47">
        <f t="shared" si="130"/>
        <v>0</v>
      </c>
      <c r="AT126" s="47">
        <v>0</v>
      </c>
      <c r="AU126" s="47">
        <f t="shared" si="131"/>
        <v>0</v>
      </c>
      <c r="AV126" s="47">
        <v>0</v>
      </c>
      <c r="AW126" s="47">
        <f t="shared" si="132"/>
        <v>0</v>
      </c>
      <c r="AX126" s="47">
        <v>0</v>
      </c>
      <c r="AY126" s="47">
        <f t="shared" si="133"/>
        <v>0</v>
      </c>
      <c r="AZ126" s="47">
        <v>0</v>
      </c>
      <c r="BA126" s="47">
        <f t="shared" si="134"/>
        <v>0</v>
      </c>
      <c r="BB126" s="48">
        <f t="shared" si="135"/>
        <v>0</v>
      </c>
      <c r="BC126" s="49">
        <f t="shared" si="136"/>
        <v>0</v>
      </c>
      <c r="BD126" s="7" t="e">
        <f t="shared" si="137"/>
        <v>#DIV/0!</v>
      </c>
      <c r="BE126" s="47">
        <f t="shared" si="138"/>
        <v>0</v>
      </c>
      <c r="BF126" s="47">
        <f t="shared" si="139"/>
        <v>0</v>
      </c>
      <c r="BG126" s="50">
        <f t="shared" si="140"/>
        <v>0</v>
      </c>
      <c r="BH126" s="50">
        <f t="shared" si="141"/>
        <v>0</v>
      </c>
      <c r="BI126" s="50">
        <f t="shared" si="142"/>
        <v>0</v>
      </c>
      <c r="BJ126" s="50">
        <f t="shared" si="143"/>
        <v>0</v>
      </c>
      <c r="BK126" s="50">
        <f t="shared" si="144"/>
        <v>0</v>
      </c>
      <c r="BL126" s="50">
        <f t="shared" si="145"/>
        <v>0</v>
      </c>
      <c r="BM126" s="51">
        <f t="shared" si="146"/>
        <v>0</v>
      </c>
      <c r="BN126" s="52">
        <f t="shared" si="147"/>
        <v>0</v>
      </c>
      <c r="BO126" s="52">
        <f t="shared" si="148"/>
        <v>0</v>
      </c>
      <c r="BP126" s="51">
        <f t="shared" si="149"/>
        <v>0.32</v>
      </c>
      <c r="BQ126" s="53">
        <f t="shared" si="150"/>
        <v>0</v>
      </c>
      <c r="BR126" s="53">
        <f t="shared" si="151"/>
        <v>0</v>
      </c>
      <c r="BS126" s="54">
        <f t="shared" si="152"/>
        <v>0</v>
      </c>
      <c r="BT126" s="55">
        <f t="shared" si="153"/>
        <v>0</v>
      </c>
      <c r="BU126" s="10" t="e">
        <f t="shared" si="154"/>
        <v>#DIV/0!</v>
      </c>
      <c r="BV126" s="3"/>
    </row>
    <row r="127" spans="1:74" ht="11.65" hidden="1">
      <c r="A127" s="646"/>
      <c r="B127" s="61"/>
      <c r="C127" s="56"/>
      <c r="D127" s="44"/>
      <c r="E127" s="7"/>
      <c r="F127" s="45"/>
      <c r="G127" s="46">
        <f t="shared" si="107"/>
        <v>0</v>
      </c>
      <c r="H127" s="7"/>
      <c r="I127" s="46">
        <f t="shared" si="108"/>
        <v>0</v>
      </c>
      <c r="J127" s="47">
        <v>0</v>
      </c>
      <c r="K127" s="47">
        <f t="shared" si="109"/>
        <v>0</v>
      </c>
      <c r="L127" s="47">
        <f t="shared" si="110"/>
        <v>0</v>
      </c>
      <c r="M127" s="47">
        <f t="shared" si="111"/>
        <v>0</v>
      </c>
      <c r="N127" s="47">
        <f t="shared" si="112"/>
        <v>0</v>
      </c>
      <c r="O127" s="47">
        <f t="shared" si="113"/>
        <v>0</v>
      </c>
      <c r="P127" s="47">
        <v>0</v>
      </c>
      <c r="Q127" s="47">
        <f t="shared" si="114"/>
        <v>0</v>
      </c>
      <c r="R127" s="47">
        <v>0</v>
      </c>
      <c r="S127" s="47">
        <f t="shared" si="115"/>
        <v>0</v>
      </c>
      <c r="T127" s="47">
        <v>0</v>
      </c>
      <c r="U127" s="47">
        <f t="shared" si="116"/>
        <v>0</v>
      </c>
      <c r="V127" s="47">
        <v>0</v>
      </c>
      <c r="W127" s="47">
        <f t="shared" si="117"/>
        <v>0</v>
      </c>
      <c r="X127" s="47">
        <v>0</v>
      </c>
      <c r="Y127" s="47">
        <f t="shared" si="118"/>
        <v>0</v>
      </c>
      <c r="Z127" s="47">
        <f t="shared" si="119"/>
        <v>0</v>
      </c>
      <c r="AA127" s="47">
        <f t="shared" si="120"/>
        <v>0</v>
      </c>
      <c r="AB127" s="47">
        <f t="shared" si="121"/>
        <v>0</v>
      </c>
      <c r="AC127" s="47">
        <f t="shared" si="122"/>
        <v>0</v>
      </c>
      <c r="AD127" s="47">
        <v>0</v>
      </c>
      <c r="AE127" s="47">
        <f t="shared" si="123"/>
        <v>0</v>
      </c>
      <c r="AF127" s="47">
        <v>0</v>
      </c>
      <c r="AG127" s="47">
        <f t="shared" si="124"/>
        <v>0</v>
      </c>
      <c r="AH127" s="47">
        <v>0</v>
      </c>
      <c r="AI127" s="47">
        <f t="shared" si="125"/>
        <v>0</v>
      </c>
      <c r="AJ127" s="47">
        <v>0</v>
      </c>
      <c r="AK127" s="47">
        <f t="shared" si="126"/>
        <v>0</v>
      </c>
      <c r="AL127" s="47">
        <v>0</v>
      </c>
      <c r="AM127" s="47">
        <f t="shared" si="127"/>
        <v>0</v>
      </c>
      <c r="AN127" s="47">
        <v>0</v>
      </c>
      <c r="AO127" s="47">
        <f t="shared" si="128"/>
        <v>0</v>
      </c>
      <c r="AP127" s="47">
        <v>0</v>
      </c>
      <c r="AQ127" s="47">
        <f t="shared" si="129"/>
        <v>0</v>
      </c>
      <c r="AR127" s="47">
        <v>0</v>
      </c>
      <c r="AS127" s="47">
        <f t="shared" si="130"/>
        <v>0</v>
      </c>
      <c r="AT127" s="47">
        <v>0</v>
      </c>
      <c r="AU127" s="47">
        <f t="shared" si="131"/>
        <v>0</v>
      </c>
      <c r="AV127" s="47">
        <v>0</v>
      </c>
      <c r="AW127" s="47">
        <f t="shared" si="132"/>
        <v>0</v>
      </c>
      <c r="AX127" s="47">
        <v>0</v>
      </c>
      <c r="AY127" s="47">
        <f t="shared" si="133"/>
        <v>0</v>
      </c>
      <c r="AZ127" s="47">
        <v>0</v>
      </c>
      <c r="BA127" s="47">
        <f t="shared" si="134"/>
        <v>0</v>
      </c>
      <c r="BB127" s="48">
        <f t="shared" si="135"/>
        <v>0</v>
      </c>
      <c r="BC127" s="49">
        <f t="shared" si="136"/>
        <v>0</v>
      </c>
      <c r="BD127" s="7" t="e">
        <f t="shared" si="137"/>
        <v>#DIV/0!</v>
      </c>
      <c r="BE127" s="47">
        <f t="shared" si="138"/>
        <v>0</v>
      </c>
      <c r="BF127" s="47">
        <f t="shared" si="139"/>
        <v>0</v>
      </c>
      <c r="BG127" s="50">
        <f t="shared" si="140"/>
        <v>0</v>
      </c>
      <c r="BH127" s="50">
        <f t="shared" si="141"/>
        <v>0</v>
      </c>
      <c r="BI127" s="50">
        <f t="shared" si="142"/>
        <v>0</v>
      </c>
      <c r="BJ127" s="50">
        <f t="shared" si="143"/>
        <v>0</v>
      </c>
      <c r="BK127" s="50">
        <f t="shared" si="144"/>
        <v>0</v>
      </c>
      <c r="BL127" s="50">
        <f t="shared" si="145"/>
        <v>0</v>
      </c>
      <c r="BM127" s="51">
        <f t="shared" si="146"/>
        <v>0</v>
      </c>
      <c r="BN127" s="52">
        <f t="shared" si="147"/>
        <v>0</v>
      </c>
      <c r="BO127" s="52">
        <f t="shared" si="148"/>
        <v>0</v>
      </c>
      <c r="BP127" s="51">
        <f t="shared" si="149"/>
        <v>0.32</v>
      </c>
      <c r="BQ127" s="53">
        <f t="shared" si="150"/>
        <v>0</v>
      </c>
      <c r="BR127" s="53">
        <f t="shared" si="151"/>
        <v>0</v>
      </c>
      <c r="BS127" s="54">
        <f t="shared" si="152"/>
        <v>0</v>
      </c>
      <c r="BT127" s="55">
        <f t="shared" si="153"/>
        <v>0</v>
      </c>
      <c r="BU127" s="10" t="e">
        <f t="shared" si="154"/>
        <v>#DIV/0!</v>
      </c>
      <c r="BV127" s="3"/>
    </row>
    <row r="128" spans="1:74" ht="11.65" hidden="1">
      <c r="A128" s="646"/>
      <c r="B128" s="61"/>
      <c r="C128" s="56"/>
      <c r="D128" s="44"/>
      <c r="E128" s="7"/>
      <c r="F128" s="45"/>
      <c r="G128" s="46">
        <f t="shared" si="107"/>
        <v>0</v>
      </c>
      <c r="H128" s="7"/>
      <c r="I128" s="46">
        <f t="shared" si="108"/>
        <v>0</v>
      </c>
      <c r="J128" s="47">
        <v>0</v>
      </c>
      <c r="K128" s="47">
        <f t="shared" si="109"/>
        <v>0</v>
      </c>
      <c r="L128" s="47">
        <f t="shared" si="110"/>
        <v>0</v>
      </c>
      <c r="M128" s="47">
        <f t="shared" si="111"/>
        <v>0</v>
      </c>
      <c r="N128" s="47">
        <f t="shared" si="112"/>
        <v>0</v>
      </c>
      <c r="O128" s="47">
        <f t="shared" si="113"/>
        <v>0</v>
      </c>
      <c r="P128" s="47">
        <v>0</v>
      </c>
      <c r="Q128" s="47">
        <f t="shared" si="114"/>
        <v>0</v>
      </c>
      <c r="R128" s="47">
        <v>0</v>
      </c>
      <c r="S128" s="47">
        <f t="shared" si="115"/>
        <v>0</v>
      </c>
      <c r="T128" s="47">
        <v>0</v>
      </c>
      <c r="U128" s="47">
        <f t="shared" si="116"/>
        <v>0</v>
      </c>
      <c r="V128" s="47">
        <v>0</v>
      </c>
      <c r="W128" s="47">
        <f t="shared" si="117"/>
        <v>0</v>
      </c>
      <c r="X128" s="47">
        <v>0</v>
      </c>
      <c r="Y128" s="47">
        <f t="shared" si="118"/>
        <v>0</v>
      </c>
      <c r="Z128" s="47">
        <f t="shared" si="119"/>
        <v>0</v>
      </c>
      <c r="AA128" s="47">
        <f t="shared" si="120"/>
        <v>0</v>
      </c>
      <c r="AB128" s="47">
        <f t="shared" si="121"/>
        <v>0</v>
      </c>
      <c r="AC128" s="47">
        <f t="shared" si="122"/>
        <v>0</v>
      </c>
      <c r="AD128" s="47">
        <v>0</v>
      </c>
      <c r="AE128" s="47">
        <f t="shared" si="123"/>
        <v>0</v>
      </c>
      <c r="AF128" s="47">
        <v>0</v>
      </c>
      <c r="AG128" s="47">
        <f t="shared" si="124"/>
        <v>0</v>
      </c>
      <c r="AH128" s="47">
        <v>0</v>
      </c>
      <c r="AI128" s="47">
        <f t="shared" si="125"/>
        <v>0</v>
      </c>
      <c r="AJ128" s="47">
        <v>0</v>
      </c>
      <c r="AK128" s="47">
        <f t="shared" si="126"/>
        <v>0</v>
      </c>
      <c r="AL128" s="47">
        <v>0</v>
      </c>
      <c r="AM128" s="47">
        <f t="shared" si="127"/>
        <v>0</v>
      </c>
      <c r="AN128" s="47">
        <v>0</v>
      </c>
      <c r="AO128" s="47">
        <f t="shared" si="128"/>
        <v>0</v>
      </c>
      <c r="AP128" s="47">
        <v>0</v>
      </c>
      <c r="AQ128" s="47">
        <f t="shared" si="129"/>
        <v>0</v>
      </c>
      <c r="AR128" s="47">
        <v>0</v>
      </c>
      <c r="AS128" s="47">
        <f t="shared" si="130"/>
        <v>0</v>
      </c>
      <c r="AT128" s="47">
        <v>0</v>
      </c>
      <c r="AU128" s="47">
        <f t="shared" si="131"/>
        <v>0</v>
      </c>
      <c r="AV128" s="47">
        <v>0</v>
      </c>
      <c r="AW128" s="47">
        <f t="shared" si="132"/>
        <v>0</v>
      </c>
      <c r="AX128" s="47">
        <v>0</v>
      </c>
      <c r="AY128" s="47">
        <f t="shared" si="133"/>
        <v>0</v>
      </c>
      <c r="AZ128" s="47">
        <v>0</v>
      </c>
      <c r="BA128" s="47">
        <f t="shared" si="134"/>
        <v>0</v>
      </c>
      <c r="BB128" s="48">
        <f t="shared" si="135"/>
        <v>0</v>
      </c>
      <c r="BC128" s="49">
        <f t="shared" si="136"/>
        <v>0</v>
      </c>
      <c r="BD128" s="7" t="e">
        <f t="shared" si="137"/>
        <v>#DIV/0!</v>
      </c>
      <c r="BE128" s="47">
        <f t="shared" si="138"/>
        <v>0</v>
      </c>
      <c r="BF128" s="47">
        <f t="shared" si="139"/>
        <v>0</v>
      </c>
      <c r="BG128" s="50">
        <f t="shared" si="140"/>
        <v>0</v>
      </c>
      <c r="BH128" s="50">
        <f t="shared" si="141"/>
        <v>0</v>
      </c>
      <c r="BI128" s="50">
        <f t="shared" si="142"/>
        <v>0</v>
      </c>
      <c r="BJ128" s="50">
        <f t="shared" si="143"/>
        <v>0</v>
      </c>
      <c r="BK128" s="50">
        <f t="shared" si="144"/>
        <v>0</v>
      </c>
      <c r="BL128" s="50">
        <f t="shared" si="145"/>
        <v>0</v>
      </c>
      <c r="BM128" s="51">
        <f t="shared" si="146"/>
        <v>0</v>
      </c>
      <c r="BN128" s="52">
        <f t="shared" si="147"/>
        <v>0</v>
      </c>
      <c r="BO128" s="52">
        <f t="shared" si="148"/>
        <v>0</v>
      </c>
      <c r="BP128" s="51">
        <f t="shared" si="149"/>
        <v>0.32</v>
      </c>
      <c r="BQ128" s="53">
        <f t="shared" si="150"/>
        <v>0</v>
      </c>
      <c r="BR128" s="53">
        <f t="shared" si="151"/>
        <v>0</v>
      </c>
      <c r="BS128" s="54">
        <f t="shared" si="152"/>
        <v>0</v>
      </c>
      <c r="BT128" s="55">
        <f t="shared" si="153"/>
        <v>0</v>
      </c>
      <c r="BU128" s="10" t="e">
        <f t="shared" si="154"/>
        <v>#DIV/0!</v>
      </c>
      <c r="BV128" s="3"/>
    </row>
    <row r="129" spans="1:74" ht="11.65" hidden="1">
      <c r="A129" s="646"/>
      <c r="B129" s="61"/>
      <c r="C129" s="56"/>
      <c r="D129" s="44"/>
      <c r="E129" s="7"/>
      <c r="F129" s="45"/>
      <c r="G129" s="46">
        <f t="shared" si="107"/>
        <v>0</v>
      </c>
      <c r="H129" s="7"/>
      <c r="I129" s="46">
        <f t="shared" si="108"/>
        <v>0</v>
      </c>
      <c r="J129" s="47">
        <v>0</v>
      </c>
      <c r="K129" s="47">
        <f t="shared" si="109"/>
        <v>0</v>
      </c>
      <c r="L129" s="47">
        <f t="shared" si="110"/>
        <v>0</v>
      </c>
      <c r="M129" s="47">
        <f t="shared" si="111"/>
        <v>0</v>
      </c>
      <c r="N129" s="47">
        <f t="shared" si="112"/>
        <v>0</v>
      </c>
      <c r="O129" s="47">
        <f t="shared" si="113"/>
        <v>0</v>
      </c>
      <c r="P129" s="47">
        <v>0</v>
      </c>
      <c r="Q129" s="47">
        <f t="shared" si="114"/>
        <v>0</v>
      </c>
      <c r="R129" s="47">
        <v>0</v>
      </c>
      <c r="S129" s="47">
        <f t="shared" si="115"/>
        <v>0</v>
      </c>
      <c r="T129" s="47">
        <v>0</v>
      </c>
      <c r="U129" s="47">
        <f t="shared" si="116"/>
        <v>0</v>
      </c>
      <c r="V129" s="47">
        <v>0</v>
      </c>
      <c r="W129" s="47">
        <f t="shared" si="117"/>
        <v>0</v>
      </c>
      <c r="X129" s="47">
        <v>0</v>
      </c>
      <c r="Y129" s="47">
        <f t="shared" si="118"/>
        <v>0</v>
      </c>
      <c r="Z129" s="47">
        <f t="shared" si="119"/>
        <v>0</v>
      </c>
      <c r="AA129" s="47">
        <f t="shared" si="120"/>
        <v>0</v>
      </c>
      <c r="AB129" s="47">
        <f t="shared" si="121"/>
        <v>0</v>
      </c>
      <c r="AC129" s="47">
        <f t="shared" si="122"/>
        <v>0</v>
      </c>
      <c r="AD129" s="47">
        <v>0</v>
      </c>
      <c r="AE129" s="47">
        <f t="shared" si="123"/>
        <v>0</v>
      </c>
      <c r="AF129" s="47">
        <v>0</v>
      </c>
      <c r="AG129" s="47">
        <f t="shared" si="124"/>
        <v>0</v>
      </c>
      <c r="AH129" s="47">
        <v>0</v>
      </c>
      <c r="AI129" s="47">
        <f t="shared" si="125"/>
        <v>0</v>
      </c>
      <c r="AJ129" s="47">
        <v>0</v>
      </c>
      <c r="AK129" s="47">
        <f t="shared" si="126"/>
        <v>0</v>
      </c>
      <c r="AL129" s="47">
        <v>0</v>
      </c>
      <c r="AM129" s="47">
        <f t="shared" si="127"/>
        <v>0</v>
      </c>
      <c r="AN129" s="47">
        <v>0</v>
      </c>
      <c r="AO129" s="47">
        <f t="shared" si="128"/>
        <v>0</v>
      </c>
      <c r="AP129" s="47">
        <v>0</v>
      </c>
      <c r="AQ129" s="47">
        <f t="shared" si="129"/>
        <v>0</v>
      </c>
      <c r="AR129" s="47">
        <v>0</v>
      </c>
      <c r="AS129" s="47">
        <f t="shared" si="130"/>
        <v>0</v>
      </c>
      <c r="AT129" s="47">
        <v>0</v>
      </c>
      <c r="AU129" s="47">
        <f t="shared" si="131"/>
        <v>0</v>
      </c>
      <c r="AV129" s="47">
        <v>0</v>
      </c>
      <c r="AW129" s="47">
        <f t="shared" si="132"/>
        <v>0</v>
      </c>
      <c r="AX129" s="47">
        <v>0</v>
      </c>
      <c r="AY129" s="47">
        <f t="shared" si="133"/>
        <v>0</v>
      </c>
      <c r="AZ129" s="47">
        <v>0</v>
      </c>
      <c r="BA129" s="47">
        <f t="shared" si="134"/>
        <v>0</v>
      </c>
      <c r="BB129" s="48">
        <f t="shared" si="135"/>
        <v>0</v>
      </c>
      <c r="BC129" s="49">
        <f t="shared" si="136"/>
        <v>0</v>
      </c>
      <c r="BD129" s="7" t="e">
        <f t="shared" si="137"/>
        <v>#DIV/0!</v>
      </c>
      <c r="BE129" s="47">
        <f t="shared" si="138"/>
        <v>0</v>
      </c>
      <c r="BF129" s="47">
        <f t="shared" si="139"/>
        <v>0</v>
      </c>
      <c r="BG129" s="50">
        <f t="shared" si="140"/>
        <v>0</v>
      </c>
      <c r="BH129" s="50">
        <f t="shared" si="141"/>
        <v>0</v>
      </c>
      <c r="BI129" s="50">
        <f t="shared" si="142"/>
        <v>0</v>
      </c>
      <c r="BJ129" s="50">
        <f t="shared" si="143"/>
        <v>0</v>
      </c>
      <c r="BK129" s="50">
        <f t="shared" si="144"/>
        <v>0</v>
      </c>
      <c r="BL129" s="50">
        <f t="shared" si="145"/>
        <v>0</v>
      </c>
      <c r="BM129" s="51">
        <f t="shared" si="146"/>
        <v>0</v>
      </c>
      <c r="BN129" s="52">
        <f t="shared" si="147"/>
        <v>0</v>
      </c>
      <c r="BO129" s="52">
        <f t="shared" si="148"/>
        <v>0</v>
      </c>
      <c r="BP129" s="51">
        <f t="shared" si="149"/>
        <v>0.32</v>
      </c>
      <c r="BQ129" s="53">
        <f t="shared" si="150"/>
        <v>0</v>
      </c>
      <c r="BR129" s="53">
        <f t="shared" si="151"/>
        <v>0</v>
      </c>
      <c r="BS129" s="54">
        <f t="shared" si="152"/>
        <v>0</v>
      </c>
      <c r="BT129" s="55">
        <f t="shared" si="153"/>
        <v>0</v>
      </c>
      <c r="BU129" s="10" t="e">
        <f t="shared" si="154"/>
        <v>#DIV/0!</v>
      </c>
      <c r="BV129" s="3"/>
    </row>
    <row r="130" spans="1:74" ht="11.65" hidden="1">
      <c r="A130" s="646"/>
      <c r="B130" s="61"/>
      <c r="C130" s="56"/>
      <c r="D130" s="44"/>
      <c r="E130" s="7"/>
      <c r="F130" s="45"/>
      <c r="G130" s="46">
        <f t="shared" si="107"/>
        <v>0</v>
      </c>
      <c r="H130" s="7"/>
      <c r="I130" s="46">
        <f t="shared" si="108"/>
        <v>0</v>
      </c>
      <c r="J130" s="47">
        <v>0</v>
      </c>
      <c r="K130" s="47">
        <f t="shared" si="109"/>
        <v>0</v>
      </c>
      <c r="L130" s="47">
        <f t="shared" si="110"/>
        <v>0</v>
      </c>
      <c r="M130" s="47">
        <f t="shared" si="111"/>
        <v>0</v>
      </c>
      <c r="N130" s="47">
        <f t="shared" si="112"/>
        <v>0</v>
      </c>
      <c r="O130" s="47">
        <f t="shared" si="113"/>
        <v>0</v>
      </c>
      <c r="P130" s="47">
        <v>0</v>
      </c>
      <c r="Q130" s="47">
        <f t="shared" si="114"/>
        <v>0</v>
      </c>
      <c r="R130" s="47">
        <v>0</v>
      </c>
      <c r="S130" s="47">
        <f t="shared" si="115"/>
        <v>0</v>
      </c>
      <c r="T130" s="47">
        <v>0</v>
      </c>
      <c r="U130" s="47">
        <f t="shared" si="116"/>
        <v>0</v>
      </c>
      <c r="V130" s="47">
        <v>0</v>
      </c>
      <c r="W130" s="47">
        <f t="shared" si="117"/>
        <v>0</v>
      </c>
      <c r="X130" s="47">
        <v>0</v>
      </c>
      <c r="Y130" s="47">
        <f t="shared" si="118"/>
        <v>0</v>
      </c>
      <c r="Z130" s="47">
        <f t="shared" si="119"/>
        <v>0</v>
      </c>
      <c r="AA130" s="47">
        <f t="shared" si="120"/>
        <v>0</v>
      </c>
      <c r="AB130" s="47">
        <f t="shared" si="121"/>
        <v>0</v>
      </c>
      <c r="AC130" s="47">
        <f t="shared" si="122"/>
        <v>0</v>
      </c>
      <c r="AD130" s="47">
        <v>0</v>
      </c>
      <c r="AE130" s="47">
        <f t="shared" si="123"/>
        <v>0</v>
      </c>
      <c r="AF130" s="47">
        <v>0</v>
      </c>
      <c r="AG130" s="47">
        <f t="shared" si="124"/>
        <v>0</v>
      </c>
      <c r="AH130" s="47">
        <v>0</v>
      </c>
      <c r="AI130" s="47">
        <f t="shared" si="125"/>
        <v>0</v>
      </c>
      <c r="AJ130" s="47">
        <v>0</v>
      </c>
      <c r="AK130" s="47">
        <f t="shared" si="126"/>
        <v>0</v>
      </c>
      <c r="AL130" s="47">
        <v>0</v>
      </c>
      <c r="AM130" s="47">
        <f t="shared" si="127"/>
        <v>0</v>
      </c>
      <c r="AN130" s="47">
        <v>0</v>
      </c>
      <c r="AO130" s="47">
        <f t="shared" si="128"/>
        <v>0</v>
      </c>
      <c r="AP130" s="47">
        <v>0</v>
      </c>
      <c r="AQ130" s="47">
        <f t="shared" si="129"/>
        <v>0</v>
      </c>
      <c r="AR130" s="47">
        <v>0</v>
      </c>
      <c r="AS130" s="47">
        <f t="shared" si="130"/>
        <v>0</v>
      </c>
      <c r="AT130" s="47">
        <v>0</v>
      </c>
      <c r="AU130" s="47">
        <f t="shared" si="131"/>
        <v>0</v>
      </c>
      <c r="AV130" s="47">
        <v>0</v>
      </c>
      <c r="AW130" s="47">
        <f t="shared" si="132"/>
        <v>0</v>
      </c>
      <c r="AX130" s="47">
        <v>0</v>
      </c>
      <c r="AY130" s="47">
        <f t="shared" si="133"/>
        <v>0</v>
      </c>
      <c r="AZ130" s="47">
        <v>0</v>
      </c>
      <c r="BA130" s="47">
        <f t="shared" si="134"/>
        <v>0</v>
      </c>
      <c r="BB130" s="48">
        <f t="shared" si="135"/>
        <v>0</v>
      </c>
      <c r="BC130" s="49">
        <f t="shared" si="136"/>
        <v>0</v>
      </c>
      <c r="BD130" s="7" t="e">
        <f t="shared" si="137"/>
        <v>#DIV/0!</v>
      </c>
      <c r="BE130" s="47">
        <f t="shared" si="138"/>
        <v>0</v>
      </c>
      <c r="BF130" s="47">
        <f t="shared" si="139"/>
        <v>0</v>
      </c>
      <c r="BG130" s="50">
        <f t="shared" si="140"/>
        <v>0</v>
      </c>
      <c r="BH130" s="50">
        <f t="shared" si="141"/>
        <v>0</v>
      </c>
      <c r="BI130" s="50">
        <f t="shared" si="142"/>
        <v>0</v>
      </c>
      <c r="BJ130" s="50">
        <f t="shared" si="143"/>
        <v>0</v>
      </c>
      <c r="BK130" s="50">
        <f t="shared" si="144"/>
        <v>0</v>
      </c>
      <c r="BL130" s="50">
        <f t="shared" si="145"/>
        <v>0</v>
      </c>
      <c r="BM130" s="51">
        <f t="shared" si="146"/>
        <v>0</v>
      </c>
      <c r="BN130" s="52">
        <f t="shared" si="147"/>
        <v>0</v>
      </c>
      <c r="BO130" s="52">
        <f t="shared" si="148"/>
        <v>0</v>
      </c>
      <c r="BP130" s="51">
        <f t="shared" si="149"/>
        <v>0.32</v>
      </c>
      <c r="BQ130" s="53">
        <f t="shared" si="150"/>
        <v>0</v>
      </c>
      <c r="BR130" s="53">
        <f t="shared" si="151"/>
        <v>0</v>
      </c>
      <c r="BS130" s="54">
        <f t="shared" si="152"/>
        <v>0</v>
      </c>
      <c r="BT130" s="55">
        <f t="shared" si="153"/>
        <v>0</v>
      </c>
      <c r="BU130" s="10" t="e">
        <f t="shared" si="154"/>
        <v>#DIV/0!</v>
      </c>
      <c r="BV130" s="3"/>
    </row>
    <row r="131" spans="1:74" ht="11.65" hidden="1">
      <c r="A131" s="646"/>
      <c r="B131" s="61"/>
      <c r="C131" s="56"/>
      <c r="D131" s="44"/>
      <c r="E131" s="7"/>
      <c r="F131" s="45"/>
      <c r="G131" s="46">
        <f t="shared" si="107"/>
        <v>0</v>
      </c>
      <c r="H131" s="7"/>
      <c r="I131" s="46">
        <f t="shared" si="108"/>
        <v>0</v>
      </c>
      <c r="J131" s="47">
        <v>0</v>
      </c>
      <c r="K131" s="47">
        <f t="shared" si="109"/>
        <v>0</v>
      </c>
      <c r="L131" s="47">
        <f t="shared" si="110"/>
        <v>0</v>
      </c>
      <c r="M131" s="47">
        <f t="shared" si="111"/>
        <v>0</v>
      </c>
      <c r="N131" s="47">
        <f t="shared" si="112"/>
        <v>0</v>
      </c>
      <c r="O131" s="47">
        <f t="shared" si="113"/>
        <v>0</v>
      </c>
      <c r="P131" s="47">
        <v>0</v>
      </c>
      <c r="Q131" s="47">
        <f t="shared" si="114"/>
        <v>0</v>
      </c>
      <c r="R131" s="47">
        <v>0</v>
      </c>
      <c r="S131" s="47">
        <f t="shared" si="115"/>
        <v>0</v>
      </c>
      <c r="T131" s="47">
        <v>0</v>
      </c>
      <c r="U131" s="47">
        <f t="shared" si="116"/>
        <v>0</v>
      </c>
      <c r="V131" s="47">
        <v>0</v>
      </c>
      <c r="W131" s="47">
        <f t="shared" si="117"/>
        <v>0</v>
      </c>
      <c r="X131" s="47">
        <v>0</v>
      </c>
      <c r="Y131" s="47">
        <f t="shared" si="118"/>
        <v>0</v>
      </c>
      <c r="Z131" s="47">
        <f t="shared" si="119"/>
        <v>0</v>
      </c>
      <c r="AA131" s="47">
        <f t="shared" si="120"/>
        <v>0</v>
      </c>
      <c r="AB131" s="47">
        <f t="shared" si="121"/>
        <v>0</v>
      </c>
      <c r="AC131" s="47">
        <f t="shared" si="122"/>
        <v>0</v>
      </c>
      <c r="AD131" s="47">
        <v>0</v>
      </c>
      <c r="AE131" s="47">
        <f t="shared" si="123"/>
        <v>0</v>
      </c>
      <c r="AF131" s="47">
        <v>0</v>
      </c>
      <c r="AG131" s="47">
        <f t="shared" si="124"/>
        <v>0</v>
      </c>
      <c r="AH131" s="47">
        <v>0</v>
      </c>
      <c r="AI131" s="47">
        <f t="shared" si="125"/>
        <v>0</v>
      </c>
      <c r="AJ131" s="47">
        <v>0</v>
      </c>
      <c r="AK131" s="47">
        <f t="shared" si="126"/>
        <v>0</v>
      </c>
      <c r="AL131" s="47">
        <v>0</v>
      </c>
      <c r="AM131" s="47">
        <f t="shared" si="127"/>
        <v>0</v>
      </c>
      <c r="AN131" s="47">
        <v>0</v>
      </c>
      <c r="AO131" s="47">
        <f t="shared" si="128"/>
        <v>0</v>
      </c>
      <c r="AP131" s="47">
        <v>0</v>
      </c>
      <c r="AQ131" s="47">
        <f t="shared" si="129"/>
        <v>0</v>
      </c>
      <c r="AR131" s="47">
        <v>0</v>
      </c>
      <c r="AS131" s="47">
        <f t="shared" si="130"/>
        <v>0</v>
      </c>
      <c r="AT131" s="47">
        <v>0</v>
      </c>
      <c r="AU131" s="47">
        <f t="shared" si="131"/>
        <v>0</v>
      </c>
      <c r="AV131" s="47">
        <v>0</v>
      </c>
      <c r="AW131" s="47">
        <f t="shared" si="132"/>
        <v>0</v>
      </c>
      <c r="AX131" s="47">
        <v>0</v>
      </c>
      <c r="AY131" s="47">
        <f t="shared" si="133"/>
        <v>0</v>
      </c>
      <c r="AZ131" s="47">
        <v>0</v>
      </c>
      <c r="BA131" s="47">
        <f t="shared" si="134"/>
        <v>0</v>
      </c>
      <c r="BB131" s="48">
        <f t="shared" si="135"/>
        <v>0</v>
      </c>
      <c r="BC131" s="49">
        <f t="shared" si="136"/>
        <v>0</v>
      </c>
      <c r="BD131" s="7" t="e">
        <f t="shared" si="137"/>
        <v>#DIV/0!</v>
      </c>
      <c r="BE131" s="47">
        <f t="shared" si="138"/>
        <v>0</v>
      </c>
      <c r="BF131" s="47">
        <f t="shared" si="139"/>
        <v>0</v>
      </c>
      <c r="BG131" s="50">
        <f t="shared" si="140"/>
        <v>0</v>
      </c>
      <c r="BH131" s="50">
        <f t="shared" si="141"/>
        <v>0</v>
      </c>
      <c r="BI131" s="50">
        <f t="shared" si="142"/>
        <v>0</v>
      </c>
      <c r="BJ131" s="50">
        <f t="shared" si="143"/>
        <v>0</v>
      </c>
      <c r="BK131" s="50">
        <f t="shared" si="144"/>
        <v>0</v>
      </c>
      <c r="BL131" s="50">
        <f t="shared" si="145"/>
        <v>0</v>
      </c>
      <c r="BM131" s="51">
        <f t="shared" si="146"/>
        <v>0</v>
      </c>
      <c r="BN131" s="52">
        <f t="shared" si="147"/>
        <v>0</v>
      </c>
      <c r="BO131" s="52">
        <f t="shared" si="148"/>
        <v>0</v>
      </c>
      <c r="BP131" s="51">
        <f t="shared" si="149"/>
        <v>0.32</v>
      </c>
      <c r="BQ131" s="53">
        <f t="shared" si="150"/>
        <v>0</v>
      </c>
      <c r="BR131" s="53">
        <f t="shared" si="151"/>
        <v>0</v>
      </c>
      <c r="BS131" s="54">
        <f t="shared" si="152"/>
        <v>0</v>
      </c>
      <c r="BT131" s="55">
        <f t="shared" si="153"/>
        <v>0</v>
      </c>
      <c r="BU131" s="10" t="e">
        <f t="shared" si="154"/>
        <v>#DIV/0!</v>
      </c>
      <c r="BV131" s="3"/>
    </row>
    <row r="132" spans="1:74" ht="11.65" hidden="1">
      <c r="A132" s="646"/>
      <c r="B132" s="61"/>
      <c r="C132" s="56"/>
      <c r="D132" s="44"/>
      <c r="E132" s="7"/>
      <c r="F132" s="45"/>
      <c r="G132" s="46">
        <f t="shared" si="107"/>
        <v>0</v>
      </c>
      <c r="H132" s="7"/>
      <c r="I132" s="46">
        <f t="shared" si="108"/>
        <v>0</v>
      </c>
      <c r="J132" s="47">
        <v>0</v>
      </c>
      <c r="K132" s="47">
        <f t="shared" si="109"/>
        <v>0</v>
      </c>
      <c r="L132" s="47">
        <f t="shared" si="110"/>
        <v>0</v>
      </c>
      <c r="M132" s="47">
        <f t="shared" si="111"/>
        <v>0</v>
      </c>
      <c r="N132" s="47">
        <f t="shared" si="112"/>
        <v>0</v>
      </c>
      <c r="O132" s="47">
        <f t="shared" si="113"/>
        <v>0</v>
      </c>
      <c r="P132" s="47">
        <v>0</v>
      </c>
      <c r="Q132" s="47">
        <f t="shared" si="114"/>
        <v>0</v>
      </c>
      <c r="R132" s="47">
        <v>0</v>
      </c>
      <c r="S132" s="47">
        <f t="shared" si="115"/>
        <v>0</v>
      </c>
      <c r="T132" s="47">
        <v>0</v>
      </c>
      <c r="U132" s="47">
        <f t="shared" si="116"/>
        <v>0</v>
      </c>
      <c r="V132" s="47">
        <v>0</v>
      </c>
      <c r="W132" s="47">
        <f t="shared" si="117"/>
        <v>0</v>
      </c>
      <c r="X132" s="47">
        <v>0</v>
      </c>
      <c r="Y132" s="47">
        <f t="shared" si="118"/>
        <v>0</v>
      </c>
      <c r="Z132" s="47">
        <f t="shared" si="119"/>
        <v>0</v>
      </c>
      <c r="AA132" s="47">
        <f t="shared" si="120"/>
        <v>0</v>
      </c>
      <c r="AB132" s="47">
        <f t="shared" si="121"/>
        <v>0</v>
      </c>
      <c r="AC132" s="47">
        <f t="shared" si="122"/>
        <v>0</v>
      </c>
      <c r="AD132" s="47">
        <v>0</v>
      </c>
      <c r="AE132" s="47">
        <f t="shared" si="123"/>
        <v>0</v>
      </c>
      <c r="AF132" s="47">
        <v>0</v>
      </c>
      <c r="AG132" s="47">
        <f t="shared" si="124"/>
        <v>0</v>
      </c>
      <c r="AH132" s="47">
        <v>0</v>
      </c>
      <c r="AI132" s="47">
        <f t="shared" si="125"/>
        <v>0</v>
      </c>
      <c r="AJ132" s="47">
        <v>0</v>
      </c>
      <c r="AK132" s="47">
        <f t="shared" si="126"/>
        <v>0</v>
      </c>
      <c r="AL132" s="47">
        <v>0</v>
      </c>
      <c r="AM132" s="47">
        <f t="shared" si="127"/>
        <v>0</v>
      </c>
      <c r="AN132" s="47">
        <v>0</v>
      </c>
      <c r="AO132" s="47">
        <f t="shared" si="128"/>
        <v>0</v>
      </c>
      <c r="AP132" s="47">
        <v>0</v>
      </c>
      <c r="AQ132" s="47">
        <f t="shared" si="129"/>
        <v>0</v>
      </c>
      <c r="AR132" s="47">
        <v>0</v>
      </c>
      <c r="AS132" s="47">
        <f t="shared" si="130"/>
        <v>0</v>
      </c>
      <c r="AT132" s="47">
        <v>0</v>
      </c>
      <c r="AU132" s="47">
        <f t="shared" si="131"/>
        <v>0</v>
      </c>
      <c r="AV132" s="47">
        <v>0</v>
      </c>
      <c r="AW132" s="47">
        <f t="shared" si="132"/>
        <v>0</v>
      </c>
      <c r="AX132" s="47">
        <v>0</v>
      </c>
      <c r="AY132" s="47">
        <f t="shared" si="133"/>
        <v>0</v>
      </c>
      <c r="AZ132" s="47">
        <v>0</v>
      </c>
      <c r="BA132" s="47">
        <f t="shared" si="134"/>
        <v>0</v>
      </c>
      <c r="BB132" s="48">
        <f t="shared" si="135"/>
        <v>0</v>
      </c>
      <c r="BC132" s="49">
        <f t="shared" si="136"/>
        <v>0</v>
      </c>
      <c r="BD132" s="7" t="e">
        <f t="shared" si="137"/>
        <v>#DIV/0!</v>
      </c>
      <c r="BE132" s="47">
        <f t="shared" si="138"/>
        <v>0</v>
      </c>
      <c r="BF132" s="47">
        <f t="shared" si="139"/>
        <v>0</v>
      </c>
      <c r="BG132" s="50">
        <f t="shared" si="140"/>
        <v>0</v>
      </c>
      <c r="BH132" s="50">
        <f t="shared" si="141"/>
        <v>0</v>
      </c>
      <c r="BI132" s="50">
        <f t="shared" si="142"/>
        <v>0</v>
      </c>
      <c r="BJ132" s="50">
        <f t="shared" si="143"/>
        <v>0</v>
      </c>
      <c r="BK132" s="50">
        <f t="shared" si="144"/>
        <v>0</v>
      </c>
      <c r="BL132" s="50">
        <f t="shared" si="145"/>
        <v>0</v>
      </c>
      <c r="BM132" s="51">
        <f t="shared" si="146"/>
        <v>0</v>
      </c>
      <c r="BN132" s="52">
        <f t="shared" si="147"/>
        <v>0</v>
      </c>
      <c r="BO132" s="52">
        <f t="shared" si="148"/>
        <v>0</v>
      </c>
      <c r="BP132" s="51">
        <f t="shared" si="149"/>
        <v>0.32</v>
      </c>
      <c r="BQ132" s="53">
        <f t="shared" si="150"/>
        <v>0</v>
      </c>
      <c r="BR132" s="53">
        <f t="shared" si="151"/>
        <v>0</v>
      </c>
      <c r="BS132" s="54">
        <f t="shared" si="152"/>
        <v>0</v>
      </c>
      <c r="BT132" s="55">
        <f t="shared" si="153"/>
        <v>0</v>
      </c>
      <c r="BU132" s="10" t="e">
        <f t="shared" si="154"/>
        <v>#DIV/0!</v>
      </c>
      <c r="BV132" s="3"/>
    </row>
    <row r="133" spans="1:74" ht="11.65" hidden="1">
      <c r="A133" s="646"/>
      <c r="B133" s="61"/>
      <c r="C133" s="56"/>
      <c r="D133" s="44"/>
      <c r="E133" s="7"/>
      <c r="F133" s="45"/>
      <c r="G133" s="46">
        <f t="shared" si="107"/>
        <v>0</v>
      </c>
      <c r="H133" s="7"/>
      <c r="I133" s="46">
        <f t="shared" si="108"/>
        <v>0</v>
      </c>
      <c r="J133" s="47">
        <v>0</v>
      </c>
      <c r="K133" s="47">
        <f t="shared" si="109"/>
        <v>0</v>
      </c>
      <c r="L133" s="47">
        <f t="shared" si="110"/>
        <v>0</v>
      </c>
      <c r="M133" s="47">
        <f t="shared" si="111"/>
        <v>0</v>
      </c>
      <c r="N133" s="47">
        <f t="shared" si="112"/>
        <v>0</v>
      </c>
      <c r="O133" s="47">
        <f t="shared" si="113"/>
        <v>0</v>
      </c>
      <c r="P133" s="47">
        <v>0</v>
      </c>
      <c r="Q133" s="47">
        <f t="shared" si="114"/>
        <v>0</v>
      </c>
      <c r="R133" s="47">
        <v>0</v>
      </c>
      <c r="S133" s="47">
        <f t="shared" si="115"/>
        <v>0</v>
      </c>
      <c r="T133" s="47">
        <v>0</v>
      </c>
      <c r="U133" s="47">
        <f t="shared" si="116"/>
        <v>0</v>
      </c>
      <c r="V133" s="47">
        <v>0</v>
      </c>
      <c r="W133" s="47">
        <f t="shared" si="117"/>
        <v>0</v>
      </c>
      <c r="X133" s="47">
        <v>0</v>
      </c>
      <c r="Y133" s="47">
        <f t="shared" si="118"/>
        <v>0</v>
      </c>
      <c r="Z133" s="47">
        <f t="shared" si="119"/>
        <v>0</v>
      </c>
      <c r="AA133" s="47">
        <f t="shared" si="120"/>
        <v>0</v>
      </c>
      <c r="AB133" s="47">
        <f t="shared" si="121"/>
        <v>0</v>
      </c>
      <c r="AC133" s="47">
        <f t="shared" si="122"/>
        <v>0</v>
      </c>
      <c r="AD133" s="47">
        <v>0</v>
      </c>
      <c r="AE133" s="47">
        <f t="shared" si="123"/>
        <v>0</v>
      </c>
      <c r="AF133" s="47">
        <v>0</v>
      </c>
      <c r="AG133" s="47">
        <f t="shared" si="124"/>
        <v>0</v>
      </c>
      <c r="AH133" s="47">
        <v>0</v>
      </c>
      <c r="AI133" s="47">
        <f t="shared" si="125"/>
        <v>0</v>
      </c>
      <c r="AJ133" s="47">
        <v>0</v>
      </c>
      <c r="AK133" s="47">
        <f t="shared" si="126"/>
        <v>0</v>
      </c>
      <c r="AL133" s="47">
        <v>0</v>
      </c>
      <c r="AM133" s="47">
        <f t="shared" si="127"/>
        <v>0</v>
      </c>
      <c r="AN133" s="47">
        <v>0</v>
      </c>
      <c r="AO133" s="47">
        <f t="shared" si="128"/>
        <v>0</v>
      </c>
      <c r="AP133" s="47">
        <v>0</v>
      </c>
      <c r="AQ133" s="47">
        <f t="shared" si="129"/>
        <v>0</v>
      </c>
      <c r="AR133" s="47">
        <v>0</v>
      </c>
      <c r="AS133" s="47">
        <f t="shared" si="130"/>
        <v>0</v>
      </c>
      <c r="AT133" s="47">
        <v>0</v>
      </c>
      <c r="AU133" s="47">
        <f t="shared" si="131"/>
        <v>0</v>
      </c>
      <c r="AV133" s="47">
        <v>0</v>
      </c>
      <c r="AW133" s="47">
        <f t="shared" si="132"/>
        <v>0</v>
      </c>
      <c r="AX133" s="47">
        <v>0</v>
      </c>
      <c r="AY133" s="47">
        <f t="shared" si="133"/>
        <v>0</v>
      </c>
      <c r="AZ133" s="47">
        <v>0</v>
      </c>
      <c r="BA133" s="47">
        <f t="shared" si="134"/>
        <v>0</v>
      </c>
      <c r="BB133" s="48">
        <f t="shared" si="135"/>
        <v>0</v>
      </c>
      <c r="BC133" s="49">
        <f t="shared" si="136"/>
        <v>0</v>
      </c>
      <c r="BD133" s="7" t="e">
        <f t="shared" si="137"/>
        <v>#DIV/0!</v>
      </c>
      <c r="BE133" s="47">
        <f t="shared" si="138"/>
        <v>0</v>
      </c>
      <c r="BF133" s="47">
        <f t="shared" si="139"/>
        <v>0</v>
      </c>
      <c r="BG133" s="50">
        <f t="shared" si="140"/>
        <v>0</v>
      </c>
      <c r="BH133" s="50">
        <f t="shared" si="141"/>
        <v>0</v>
      </c>
      <c r="BI133" s="50">
        <f t="shared" si="142"/>
        <v>0</v>
      </c>
      <c r="BJ133" s="50">
        <f t="shared" si="143"/>
        <v>0</v>
      </c>
      <c r="BK133" s="50">
        <f t="shared" si="144"/>
        <v>0</v>
      </c>
      <c r="BL133" s="50">
        <f t="shared" si="145"/>
        <v>0</v>
      </c>
      <c r="BM133" s="51">
        <f t="shared" si="146"/>
        <v>0</v>
      </c>
      <c r="BN133" s="52">
        <f t="shared" si="147"/>
        <v>0</v>
      </c>
      <c r="BO133" s="52">
        <f t="shared" si="148"/>
        <v>0</v>
      </c>
      <c r="BP133" s="51">
        <f t="shared" si="149"/>
        <v>0.32</v>
      </c>
      <c r="BQ133" s="53">
        <f t="shared" si="150"/>
        <v>0</v>
      </c>
      <c r="BR133" s="53">
        <f t="shared" si="151"/>
        <v>0</v>
      </c>
      <c r="BS133" s="54">
        <f t="shared" si="152"/>
        <v>0</v>
      </c>
      <c r="BT133" s="55">
        <f t="shared" si="153"/>
        <v>0</v>
      </c>
      <c r="BU133" s="10" t="e">
        <f t="shared" si="154"/>
        <v>#DIV/0!</v>
      </c>
      <c r="BV133" s="3"/>
    </row>
    <row r="134" spans="1:74" ht="11.65" hidden="1">
      <c r="A134" s="646"/>
      <c r="B134" s="61"/>
      <c r="C134" s="56"/>
      <c r="D134" s="44"/>
      <c r="E134" s="7"/>
      <c r="F134" s="45"/>
      <c r="G134" s="46">
        <f t="shared" si="107"/>
        <v>0</v>
      </c>
      <c r="H134" s="7"/>
      <c r="I134" s="46">
        <f t="shared" si="108"/>
        <v>0</v>
      </c>
      <c r="J134" s="47">
        <v>0</v>
      </c>
      <c r="K134" s="47">
        <f t="shared" si="109"/>
        <v>0</v>
      </c>
      <c r="L134" s="47">
        <f t="shared" si="110"/>
        <v>0</v>
      </c>
      <c r="M134" s="47">
        <f t="shared" si="111"/>
        <v>0</v>
      </c>
      <c r="N134" s="47">
        <f t="shared" si="112"/>
        <v>0</v>
      </c>
      <c r="O134" s="47">
        <f t="shared" si="113"/>
        <v>0</v>
      </c>
      <c r="P134" s="47">
        <v>0</v>
      </c>
      <c r="Q134" s="47">
        <f t="shared" si="114"/>
        <v>0</v>
      </c>
      <c r="R134" s="47">
        <v>0</v>
      </c>
      <c r="S134" s="47">
        <f t="shared" si="115"/>
        <v>0</v>
      </c>
      <c r="T134" s="47">
        <v>0</v>
      </c>
      <c r="U134" s="47">
        <f t="shared" si="116"/>
        <v>0</v>
      </c>
      <c r="V134" s="47">
        <v>0</v>
      </c>
      <c r="W134" s="47">
        <f t="shared" si="117"/>
        <v>0</v>
      </c>
      <c r="X134" s="47">
        <v>0</v>
      </c>
      <c r="Y134" s="47">
        <f t="shared" si="118"/>
        <v>0</v>
      </c>
      <c r="Z134" s="47">
        <f t="shared" si="119"/>
        <v>0</v>
      </c>
      <c r="AA134" s="47">
        <f t="shared" si="120"/>
        <v>0</v>
      </c>
      <c r="AB134" s="47">
        <f t="shared" si="121"/>
        <v>0</v>
      </c>
      <c r="AC134" s="47">
        <f t="shared" si="122"/>
        <v>0</v>
      </c>
      <c r="AD134" s="47">
        <v>0</v>
      </c>
      <c r="AE134" s="47">
        <f t="shared" si="123"/>
        <v>0</v>
      </c>
      <c r="AF134" s="47">
        <v>0</v>
      </c>
      <c r="AG134" s="47">
        <f t="shared" si="124"/>
        <v>0</v>
      </c>
      <c r="AH134" s="47">
        <v>0</v>
      </c>
      <c r="AI134" s="47">
        <f t="shared" si="125"/>
        <v>0</v>
      </c>
      <c r="AJ134" s="47">
        <v>0</v>
      </c>
      <c r="AK134" s="47">
        <f t="shared" si="126"/>
        <v>0</v>
      </c>
      <c r="AL134" s="47">
        <v>0</v>
      </c>
      <c r="AM134" s="47">
        <f t="shared" si="127"/>
        <v>0</v>
      </c>
      <c r="AN134" s="47">
        <v>0</v>
      </c>
      <c r="AO134" s="47">
        <f t="shared" si="128"/>
        <v>0</v>
      </c>
      <c r="AP134" s="47">
        <v>0</v>
      </c>
      <c r="AQ134" s="47">
        <f t="shared" si="129"/>
        <v>0</v>
      </c>
      <c r="AR134" s="47">
        <v>0</v>
      </c>
      <c r="AS134" s="47">
        <f t="shared" si="130"/>
        <v>0</v>
      </c>
      <c r="AT134" s="47">
        <v>0</v>
      </c>
      <c r="AU134" s="47">
        <f t="shared" si="131"/>
        <v>0</v>
      </c>
      <c r="AV134" s="47">
        <v>0</v>
      </c>
      <c r="AW134" s="47">
        <f t="shared" si="132"/>
        <v>0</v>
      </c>
      <c r="AX134" s="47">
        <v>0</v>
      </c>
      <c r="AY134" s="47">
        <f t="shared" si="133"/>
        <v>0</v>
      </c>
      <c r="AZ134" s="47">
        <v>0</v>
      </c>
      <c r="BA134" s="47">
        <f t="shared" si="134"/>
        <v>0</v>
      </c>
      <c r="BB134" s="48">
        <f t="shared" si="135"/>
        <v>0</v>
      </c>
      <c r="BC134" s="49">
        <f t="shared" si="136"/>
        <v>0</v>
      </c>
      <c r="BD134" s="7" t="e">
        <f t="shared" si="137"/>
        <v>#DIV/0!</v>
      </c>
      <c r="BE134" s="47">
        <f t="shared" si="138"/>
        <v>0</v>
      </c>
      <c r="BF134" s="47">
        <f t="shared" si="139"/>
        <v>0</v>
      </c>
      <c r="BG134" s="50">
        <f t="shared" si="140"/>
        <v>0</v>
      </c>
      <c r="BH134" s="50">
        <f t="shared" si="141"/>
        <v>0</v>
      </c>
      <c r="BI134" s="50">
        <f t="shared" si="142"/>
        <v>0</v>
      </c>
      <c r="BJ134" s="50">
        <f t="shared" si="143"/>
        <v>0</v>
      </c>
      <c r="BK134" s="50">
        <f t="shared" si="144"/>
        <v>0</v>
      </c>
      <c r="BL134" s="50">
        <f t="shared" si="145"/>
        <v>0</v>
      </c>
      <c r="BM134" s="51">
        <f t="shared" si="146"/>
        <v>0</v>
      </c>
      <c r="BN134" s="52">
        <f t="shared" si="147"/>
        <v>0</v>
      </c>
      <c r="BO134" s="52">
        <f t="shared" si="148"/>
        <v>0</v>
      </c>
      <c r="BP134" s="51">
        <f t="shared" si="149"/>
        <v>0.32</v>
      </c>
      <c r="BQ134" s="53">
        <f t="shared" si="150"/>
        <v>0</v>
      </c>
      <c r="BR134" s="53">
        <f t="shared" si="151"/>
        <v>0</v>
      </c>
      <c r="BS134" s="54">
        <f t="shared" si="152"/>
        <v>0</v>
      </c>
      <c r="BT134" s="55">
        <f t="shared" si="153"/>
        <v>0</v>
      </c>
      <c r="BU134" s="10" t="e">
        <f t="shared" si="154"/>
        <v>#DIV/0!</v>
      </c>
      <c r="BV134" s="3"/>
    </row>
    <row r="135" spans="1:74" ht="11.65" hidden="1">
      <c r="A135" s="646"/>
      <c r="B135" s="61"/>
      <c r="C135" s="56"/>
      <c r="D135" s="44"/>
      <c r="E135" s="7"/>
      <c r="F135" s="45"/>
      <c r="G135" s="46">
        <f t="shared" si="107"/>
        <v>0</v>
      </c>
      <c r="H135" s="7"/>
      <c r="I135" s="46">
        <f t="shared" si="108"/>
        <v>0</v>
      </c>
      <c r="J135" s="47">
        <v>0</v>
      </c>
      <c r="K135" s="47">
        <f t="shared" si="109"/>
        <v>0</v>
      </c>
      <c r="L135" s="47">
        <f t="shared" si="110"/>
        <v>0</v>
      </c>
      <c r="M135" s="47">
        <f t="shared" si="111"/>
        <v>0</v>
      </c>
      <c r="N135" s="47">
        <f t="shared" si="112"/>
        <v>0</v>
      </c>
      <c r="O135" s="47">
        <f t="shared" si="113"/>
        <v>0</v>
      </c>
      <c r="P135" s="47">
        <v>0</v>
      </c>
      <c r="Q135" s="47">
        <f t="shared" si="114"/>
        <v>0</v>
      </c>
      <c r="R135" s="47">
        <v>0</v>
      </c>
      <c r="S135" s="47">
        <f t="shared" si="115"/>
        <v>0</v>
      </c>
      <c r="T135" s="47">
        <v>0</v>
      </c>
      <c r="U135" s="47">
        <f t="shared" si="116"/>
        <v>0</v>
      </c>
      <c r="V135" s="47">
        <v>0</v>
      </c>
      <c r="W135" s="47">
        <f t="shared" si="117"/>
        <v>0</v>
      </c>
      <c r="X135" s="47">
        <v>0</v>
      </c>
      <c r="Y135" s="47">
        <f t="shared" si="118"/>
        <v>0</v>
      </c>
      <c r="Z135" s="47">
        <f t="shared" si="119"/>
        <v>0</v>
      </c>
      <c r="AA135" s="47">
        <f t="shared" si="120"/>
        <v>0</v>
      </c>
      <c r="AB135" s="47">
        <f t="shared" si="121"/>
        <v>0</v>
      </c>
      <c r="AC135" s="47">
        <f t="shared" si="122"/>
        <v>0</v>
      </c>
      <c r="AD135" s="47">
        <v>0</v>
      </c>
      <c r="AE135" s="47">
        <f t="shared" si="123"/>
        <v>0</v>
      </c>
      <c r="AF135" s="47">
        <v>0</v>
      </c>
      <c r="AG135" s="47">
        <f t="shared" si="124"/>
        <v>0</v>
      </c>
      <c r="AH135" s="47">
        <v>0</v>
      </c>
      <c r="AI135" s="47">
        <f t="shared" si="125"/>
        <v>0</v>
      </c>
      <c r="AJ135" s="47">
        <v>0</v>
      </c>
      <c r="AK135" s="47">
        <f t="shared" si="126"/>
        <v>0</v>
      </c>
      <c r="AL135" s="47">
        <v>0</v>
      </c>
      <c r="AM135" s="47">
        <f t="shared" si="127"/>
        <v>0</v>
      </c>
      <c r="AN135" s="47">
        <v>0</v>
      </c>
      <c r="AO135" s="47">
        <f t="shared" si="128"/>
        <v>0</v>
      </c>
      <c r="AP135" s="47">
        <v>0</v>
      </c>
      <c r="AQ135" s="47">
        <f t="shared" si="129"/>
        <v>0</v>
      </c>
      <c r="AR135" s="47">
        <v>0</v>
      </c>
      <c r="AS135" s="47">
        <f t="shared" si="130"/>
        <v>0</v>
      </c>
      <c r="AT135" s="47">
        <v>0</v>
      </c>
      <c r="AU135" s="47">
        <f t="shared" si="131"/>
        <v>0</v>
      </c>
      <c r="AV135" s="47">
        <v>0</v>
      </c>
      <c r="AW135" s="47">
        <f t="shared" si="132"/>
        <v>0</v>
      </c>
      <c r="AX135" s="47">
        <v>0</v>
      </c>
      <c r="AY135" s="47">
        <f t="shared" si="133"/>
        <v>0</v>
      </c>
      <c r="AZ135" s="47">
        <v>0</v>
      </c>
      <c r="BA135" s="47">
        <f t="shared" si="134"/>
        <v>0</v>
      </c>
      <c r="BB135" s="48">
        <f t="shared" si="135"/>
        <v>0</v>
      </c>
      <c r="BC135" s="49">
        <f t="shared" si="136"/>
        <v>0</v>
      </c>
      <c r="BD135" s="7" t="e">
        <f t="shared" si="137"/>
        <v>#DIV/0!</v>
      </c>
      <c r="BE135" s="47">
        <f t="shared" si="138"/>
        <v>0</v>
      </c>
      <c r="BF135" s="47">
        <f t="shared" si="139"/>
        <v>0</v>
      </c>
      <c r="BG135" s="50">
        <f t="shared" si="140"/>
        <v>0</v>
      </c>
      <c r="BH135" s="50">
        <f t="shared" si="141"/>
        <v>0</v>
      </c>
      <c r="BI135" s="50">
        <f t="shared" si="142"/>
        <v>0</v>
      </c>
      <c r="BJ135" s="50">
        <f t="shared" si="143"/>
        <v>0</v>
      </c>
      <c r="BK135" s="50">
        <f t="shared" si="144"/>
        <v>0</v>
      </c>
      <c r="BL135" s="50">
        <f t="shared" si="145"/>
        <v>0</v>
      </c>
      <c r="BM135" s="51">
        <f t="shared" si="146"/>
        <v>0</v>
      </c>
      <c r="BN135" s="52">
        <f t="shared" si="147"/>
        <v>0</v>
      </c>
      <c r="BO135" s="52">
        <f t="shared" si="148"/>
        <v>0</v>
      </c>
      <c r="BP135" s="51">
        <f t="shared" si="149"/>
        <v>0.32</v>
      </c>
      <c r="BQ135" s="53">
        <f t="shared" si="150"/>
        <v>0</v>
      </c>
      <c r="BR135" s="53">
        <f t="shared" si="151"/>
        <v>0</v>
      </c>
      <c r="BS135" s="54">
        <f t="shared" si="152"/>
        <v>0</v>
      </c>
      <c r="BT135" s="55">
        <f t="shared" si="153"/>
        <v>0</v>
      </c>
      <c r="BU135" s="10" t="e">
        <f t="shared" si="154"/>
        <v>#DIV/0!</v>
      </c>
      <c r="BV135" s="3"/>
    </row>
    <row r="136" spans="1:74" ht="11.65" hidden="1">
      <c r="A136" s="646"/>
      <c r="B136" s="61"/>
      <c r="C136" s="56"/>
      <c r="D136" s="44"/>
      <c r="E136" s="7"/>
      <c r="F136" s="45"/>
      <c r="G136" s="46">
        <f t="shared" si="107"/>
        <v>0</v>
      </c>
      <c r="H136" s="7"/>
      <c r="I136" s="46">
        <f t="shared" si="108"/>
        <v>0</v>
      </c>
      <c r="J136" s="47">
        <v>0</v>
      </c>
      <c r="K136" s="47">
        <f t="shared" si="109"/>
        <v>0</v>
      </c>
      <c r="L136" s="47">
        <f t="shared" si="110"/>
        <v>0</v>
      </c>
      <c r="M136" s="47">
        <f t="shared" si="111"/>
        <v>0</v>
      </c>
      <c r="N136" s="47">
        <f t="shared" si="112"/>
        <v>0</v>
      </c>
      <c r="O136" s="47">
        <f t="shared" si="113"/>
        <v>0</v>
      </c>
      <c r="P136" s="47">
        <v>0</v>
      </c>
      <c r="Q136" s="47">
        <f t="shared" si="114"/>
        <v>0</v>
      </c>
      <c r="R136" s="47">
        <v>0</v>
      </c>
      <c r="S136" s="47">
        <f t="shared" si="115"/>
        <v>0</v>
      </c>
      <c r="T136" s="47">
        <v>0</v>
      </c>
      <c r="U136" s="47">
        <f t="shared" si="116"/>
        <v>0</v>
      </c>
      <c r="V136" s="47">
        <v>0</v>
      </c>
      <c r="W136" s="47">
        <f t="shared" si="117"/>
        <v>0</v>
      </c>
      <c r="X136" s="47">
        <v>0</v>
      </c>
      <c r="Y136" s="47">
        <f t="shared" si="118"/>
        <v>0</v>
      </c>
      <c r="Z136" s="47">
        <f t="shared" si="119"/>
        <v>0</v>
      </c>
      <c r="AA136" s="47">
        <f t="shared" si="120"/>
        <v>0</v>
      </c>
      <c r="AB136" s="47">
        <f t="shared" si="121"/>
        <v>0</v>
      </c>
      <c r="AC136" s="47">
        <f t="shared" si="122"/>
        <v>0</v>
      </c>
      <c r="AD136" s="47">
        <v>0</v>
      </c>
      <c r="AE136" s="47">
        <f t="shared" si="123"/>
        <v>0</v>
      </c>
      <c r="AF136" s="47">
        <v>0</v>
      </c>
      <c r="AG136" s="47">
        <f t="shared" si="124"/>
        <v>0</v>
      </c>
      <c r="AH136" s="47">
        <v>0</v>
      </c>
      <c r="AI136" s="47">
        <f t="shared" si="125"/>
        <v>0</v>
      </c>
      <c r="AJ136" s="47">
        <v>0</v>
      </c>
      <c r="AK136" s="47">
        <f t="shared" si="126"/>
        <v>0</v>
      </c>
      <c r="AL136" s="47">
        <v>0</v>
      </c>
      <c r="AM136" s="47">
        <f t="shared" si="127"/>
        <v>0</v>
      </c>
      <c r="AN136" s="47">
        <v>0</v>
      </c>
      <c r="AO136" s="47">
        <f t="shared" si="128"/>
        <v>0</v>
      </c>
      <c r="AP136" s="47">
        <v>0</v>
      </c>
      <c r="AQ136" s="47">
        <f t="shared" si="129"/>
        <v>0</v>
      </c>
      <c r="AR136" s="47">
        <v>0</v>
      </c>
      <c r="AS136" s="47">
        <f t="shared" si="130"/>
        <v>0</v>
      </c>
      <c r="AT136" s="47">
        <v>0</v>
      </c>
      <c r="AU136" s="47">
        <f t="shared" si="131"/>
        <v>0</v>
      </c>
      <c r="AV136" s="47">
        <v>0</v>
      </c>
      <c r="AW136" s="47">
        <f t="shared" si="132"/>
        <v>0</v>
      </c>
      <c r="AX136" s="47">
        <v>0</v>
      </c>
      <c r="AY136" s="47">
        <f t="shared" si="133"/>
        <v>0</v>
      </c>
      <c r="AZ136" s="47">
        <v>0</v>
      </c>
      <c r="BA136" s="47">
        <f t="shared" si="134"/>
        <v>0</v>
      </c>
      <c r="BB136" s="48">
        <f t="shared" si="135"/>
        <v>0</v>
      </c>
      <c r="BC136" s="49">
        <f t="shared" si="136"/>
        <v>0</v>
      </c>
      <c r="BD136" s="7" t="e">
        <f t="shared" si="137"/>
        <v>#DIV/0!</v>
      </c>
      <c r="BE136" s="47">
        <f t="shared" si="138"/>
        <v>0</v>
      </c>
      <c r="BF136" s="47">
        <f t="shared" si="139"/>
        <v>0</v>
      </c>
      <c r="BG136" s="50">
        <f t="shared" si="140"/>
        <v>0</v>
      </c>
      <c r="BH136" s="50">
        <f t="shared" si="141"/>
        <v>0</v>
      </c>
      <c r="BI136" s="50">
        <f t="shared" si="142"/>
        <v>0</v>
      </c>
      <c r="BJ136" s="50">
        <f t="shared" si="143"/>
        <v>0</v>
      </c>
      <c r="BK136" s="50">
        <f t="shared" si="144"/>
        <v>0</v>
      </c>
      <c r="BL136" s="50">
        <f t="shared" si="145"/>
        <v>0</v>
      </c>
      <c r="BM136" s="51">
        <f t="shared" si="146"/>
        <v>0</v>
      </c>
      <c r="BN136" s="52">
        <f t="shared" si="147"/>
        <v>0</v>
      </c>
      <c r="BO136" s="52">
        <f t="shared" si="148"/>
        <v>0</v>
      </c>
      <c r="BP136" s="51">
        <f t="shared" si="149"/>
        <v>0.32</v>
      </c>
      <c r="BQ136" s="53">
        <f t="shared" si="150"/>
        <v>0</v>
      </c>
      <c r="BR136" s="53">
        <f t="shared" si="151"/>
        <v>0</v>
      </c>
      <c r="BS136" s="54">
        <f t="shared" si="152"/>
        <v>0</v>
      </c>
      <c r="BT136" s="55">
        <f t="shared" si="153"/>
        <v>0</v>
      </c>
      <c r="BU136" s="10" t="e">
        <f t="shared" si="154"/>
        <v>#DIV/0!</v>
      </c>
      <c r="BV136" s="3"/>
    </row>
    <row r="137" spans="1:74" ht="11.65" hidden="1">
      <c r="A137" s="646"/>
      <c r="B137" s="61"/>
      <c r="C137" s="56"/>
      <c r="D137" s="44"/>
      <c r="E137" s="7"/>
      <c r="F137" s="45"/>
      <c r="G137" s="46">
        <f t="shared" si="107"/>
        <v>0</v>
      </c>
      <c r="H137" s="7"/>
      <c r="I137" s="46">
        <f t="shared" si="108"/>
        <v>0</v>
      </c>
      <c r="J137" s="47">
        <v>0</v>
      </c>
      <c r="K137" s="47">
        <f t="shared" si="109"/>
        <v>0</v>
      </c>
      <c r="L137" s="47">
        <f t="shared" si="110"/>
        <v>0</v>
      </c>
      <c r="M137" s="47">
        <f t="shared" si="111"/>
        <v>0</v>
      </c>
      <c r="N137" s="47">
        <f t="shared" si="112"/>
        <v>0</v>
      </c>
      <c r="O137" s="47">
        <f t="shared" si="113"/>
        <v>0</v>
      </c>
      <c r="P137" s="47">
        <v>0</v>
      </c>
      <c r="Q137" s="47">
        <f t="shared" si="114"/>
        <v>0</v>
      </c>
      <c r="R137" s="47">
        <v>0</v>
      </c>
      <c r="S137" s="47">
        <f t="shared" si="115"/>
        <v>0</v>
      </c>
      <c r="T137" s="47">
        <v>0</v>
      </c>
      <c r="U137" s="47">
        <f t="shared" si="116"/>
        <v>0</v>
      </c>
      <c r="V137" s="47">
        <v>0</v>
      </c>
      <c r="W137" s="47">
        <f t="shared" si="117"/>
        <v>0</v>
      </c>
      <c r="X137" s="47">
        <v>0</v>
      </c>
      <c r="Y137" s="47">
        <f t="shared" si="118"/>
        <v>0</v>
      </c>
      <c r="Z137" s="47">
        <f t="shared" si="119"/>
        <v>0</v>
      </c>
      <c r="AA137" s="47">
        <f t="shared" si="120"/>
        <v>0</v>
      </c>
      <c r="AB137" s="47">
        <f t="shared" si="121"/>
        <v>0</v>
      </c>
      <c r="AC137" s="47">
        <f t="shared" si="122"/>
        <v>0</v>
      </c>
      <c r="AD137" s="47">
        <v>0</v>
      </c>
      <c r="AE137" s="47">
        <f t="shared" si="123"/>
        <v>0</v>
      </c>
      <c r="AF137" s="47">
        <v>0</v>
      </c>
      <c r="AG137" s="47">
        <f t="shared" si="124"/>
        <v>0</v>
      </c>
      <c r="AH137" s="47">
        <v>0</v>
      </c>
      <c r="AI137" s="47">
        <f t="shared" si="125"/>
        <v>0</v>
      </c>
      <c r="AJ137" s="47">
        <v>0</v>
      </c>
      <c r="AK137" s="47">
        <f t="shared" si="126"/>
        <v>0</v>
      </c>
      <c r="AL137" s="47">
        <v>0</v>
      </c>
      <c r="AM137" s="47">
        <f t="shared" si="127"/>
        <v>0</v>
      </c>
      <c r="AN137" s="47">
        <v>0</v>
      </c>
      <c r="AO137" s="47">
        <f t="shared" si="128"/>
        <v>0</v>
      </c>
      <c r="AP137" s="47">
        <v>0</v>
      </c>
      <c r="AQ137" s="47">
        <f t="shared" si="129"/>
        <v>0</v>
      </c>
      <c r="AR137" s="47">
        <v>0</v>
      </c>
      <c r="AS137" s="47">
        <f t="shared" si="130"/>
        <v>0</v>
      </c>
      <c r="AT137" s="47">
        <v>0</v>
      </c>
      <c r="AU137" s="47">
        <f t="shared" si="131"/>
        <v>0</v>
      </c>
      <c r="AV137" s="47">
        <v>0</v>
      </c>
      <c r="AW137" s="47">
        <f t="shared" si="132"/>
        <v>0</v>
      </c>
      <c r="AX137" s="47">
        <v>0</v>
      </c>
      <c r="AY137" s="47">
        <f t="shared" si="133"/>
        <v>0</v>
      </c>
      <c r="AZ137" s="47">
        <v>0</v>
      </c>
      <c r="BA137" s="47">
        <f t="shared" si="134"/>
        <v>0</v>
      </c>
      <c r="BB137" s="48">
        <f t="shared" si="135"/>
        <v>0</v>
      </c>
      <c r="BC137" s="49">
        <f t="shared" si="136"/>
        <v>0</v>
      </c>
      <c r="BD137" s="7" t="e">
        <f t="shared" si="137"/>
        <v>#DIV/0!</v>
      </c>
      <c r="BE137" s="47">
        <f t="shared" si="138"/>
        <v>0</v>
      </c>
      <c r="BF137" s="47">
        <f t="shared" si="139"/>
        <v>0</v>
      </c>
      <c r="BG137" s="50">
        <f t="shared" si="140"/>
        <v>0</v>
      </c>
      <c r="BH137" s="50">
        <f t="shared" si="141"/>
        <v>0</v>
      </c>
      <c r="BI137" s="50">
        <f t="shared" si="142"/>
        <v>0</v>
      </c>
      <c r="BJ137" s="50">
        <f t="shared" si="143"/>
        <v>0</v>
      </c>
      <c r="BK137" s="50">
        <f t="shared" si="144"/>
        <v>0</v>
      </c>
      <c r="BL137" s="50">
        <f t="shared" si="145"/>
        <v>0</v>
      </c>
      <c r="BM137" s="51">
        <f t="shared" si="146"/>
        <v>0</v>
      </c>
      <c r="BN137" s="52">
        <f t="shared" si="147"/>
        <v>0</v>
      </c>
      <c r="BO137" s="52">
        <f t="shared" si="148"/>
        <v>0</v>
      </c>
      <c r="BP137" s="51">
        <f t="shared" si="149"/>
        <v>0.32</v>
      </c>
      <c r="BQ137" s="53">
        <f t="shared" si="150"/>
        <v>0</v>
      </c>
      <c r="BR137" s="53">
        <f t="shared" si="151"/>
        <v>0</v>
      </c>
      <c r="BS137" s="54">
        <f t="shared" si="152"/>
        <v>0</v>
      </c>
      <c r="BT137" s="55">
        <f t="shared" si="153"/>
        <v>0</v>
      </c>
      <c r="BU137" s="10" t="e">
        <f t="shared" si="154"/>
        <v>#DIV/0!</v>
      </c>
      <c r="BV137" s="3"/>
    </row>
    <row r="138" spans="1:74" ht="11.65" hidden="1">
      <c r="A138" s="646"/>
      <c r="B138" s="61"/>
      <c r="C138" s="56"/>
      <c r="D138" s="44"/>
      <c r="E138" s="7"/>
      <c r="F138" s="45"/>
      <c r="G138" s="46">
        <f t="shared" si="107"/>
        <v>0</v>
      </c>
      <c r="H138" s="7"/>
      <c r="I138" s="46">
        <f t="shared" si="108"/>
        <v>0</v>
      </c>
      <c r="J138" s="47">
        <v>0</v>
      </c>
      <c r="K138" s="47">
        <f t="shared" si="109"/>
        <v>0</v>
      </c>
      <c r="L138" s="47">
        <f t="shared" si="110"/>
        <v>0</v>
      </c>
      <c r="M138" s="47">
        <f t="shared" si="111"/>
        <v>0</v>
      </c>
      <c r="N138" s="47">
        <f t="shared" si="112"/>
        <v>0</v>
      </c>
      <c r="O138" s="47">
        <f t="shared" si="113"/>
        <v>0</v>
      </c>
      <c r="P138" s="47">
        <v>0</v>
      </c>
      <c r="Q138" s="47">
        <f t="shared" si="114"/>
        <v>0</v>
      </c>
      <c r="R138" s="47">
        <v>0</v>
      </c>
      <c r="S138" s="47">
        <f t="shared" si="115"/>
        <v>0</v>
      </c>
      <c r="T138" s="47">
        <v>0</v>
      </c>
      <c r="U138" s="47">
        <f t="shared" si="116"/>
        <v>0</v>
      </c>
      <c r="V138" s="47">
        <v>0</v>
      </c>
      <c r="W138" s="47">
        <f t="shared" si="117"/>
        <v>0</v>
      </c>
      <c r="X138" s="47">
        <v>0</v>
      </c>
      <c r="Y138" s="47">
        <f t="shared" si="118"/>
        <v>0</v>
      </c>
      <c r="Z138" s="47">
        <f t="shared" si="119"/>
        <v>0</v>
      </c>
      <c r="AA138" s="47">
        <f t="shared" si="120"/>
        <v>0</v>
      </c>
      <c r="AB138" s="47">
        <f t="shared" si="121"/>
        <v>0</v>
      </c>
      <c r="AC138" s="47">
        <f t="shared" si="122"/>
        <v>0</v>
      </c>
      <c r="AD138" s="47">
        <v>0</v>
      </c>
      <c r="AE138" s="47">
        <f t="shared" si="123"/>
        <v>0</v>
      </c>
      <c r="AF138" s="47">
        <v>0</v>
      </c>
      <c r="AG138" s="47">
        <f t="shared" si="124"/>
        <v>0</v>
      </c>
      <c r="AH138" s="47">
        <v>0</v>
      </c>
      <c r="AI138" s="47">
        <f t="shared" si="125"/>
        <v>0</v>
      </c>
      <c r="AJ138" s="47">
        <v>0</v>
      </c>
      <c r="AK138" s="47">
        <f t="shared" si="126"/>
        <v>0</v>
      </c>
      <c r="AL138" s="47">
        <v>0</v>
      </c>
      <c r="AM138" s="47">
        <f t="shared" si="127"/>
        <v>0</v>
      </c>
      <c r="AN138" s="47">
        <v>0</v>
      </c>
      <c r="AO138" s="47">
        <f t="shared" si="128"/>
        <v>0</v>
      </c>
      <c r="AP138" s="47">
        <v>0</v>
      </c>
      <c r="AQ138" s="47">
        <f t="shared" si="129"/>
        <v>0</v>
      </c>
      <c r="AR138" s="47">
        <v>0</v>
      </c>
      <c r="AS138" s="47">
        <f t="shared" si="130"/>
        <v>0</v>
      </c>
      <c r="AT138" s="47">
        <v>0</v>
      </c>
      <c r="AU138" s="47">
        <f t="shared" si="131"/>
        <v>0</v>
      </c>
      <c r="AV138" s="47">
        <v>0</v>
      </c>
      <c r="AW138" s="47">
        <f t="shared" si="132"/>
        <v>0</v>
      </c>
      <c r="AX138" s="47">
        <v>0</v>
      </c>
      <c r="AY138" s="47">
        <f t="shared" si="133"/>
        <v>0</v>
      </c>
      <c r="AZ138" s="47">
        <v>0</v>
      </c>
      <c r="BA138" s="47">
        <f t="shared" si="134"/>
        <v>0</v>
      </c>
      <c r="BB138" s="48">
        <f t="shared" si="135"/>
        <v>0</v>
      </c>
      <c r="BC138" s="49">
        <f t="shared" si="136"/>
        <v>0</v>
      </c>
      <c r="BD138" s="7" t="e">
        <f t="shared" si="137"/>
        <v>#DIV/0!</v>
      </c>
      <c r="BE138" s="47">
        <f t="shared" si="138"/>
        <v>0</v>
      </c>
      <c r="BF138" s="47">
        <f t="shared" si="139"/>
        <v>0</v>
      </c>
      <c r="BG138" s="50">
        <f t="shared" si="140"/>
        <v>0</v>
      </c>
      <c r="BH138" s="50">
        <f t="shared" si="141"/>
        <v>0</v>
      </c>
      <c r="BI138" s="50">
        <f t="shared" si="142"/>
        <v>0</v>
      </c>
      <c r="BJ138" s="50">
        <f t="shared" si="143"/>
        <v>0</v>
      </c>
      <c r="BK138" s="50">
        <f t="shared" si="144"/>
        <v>0</v>
      </c>
      <c r="BL138" s="50">
        <f t="shared" si="145"/>
        <v>0</v>
      </c>
      <c r="BM138" s="51">
        <f t="shared" si="146"/>
        <v>0</v>
      </c>
      <c r="BN138" s="52">
        <f t="shared" si="147"/>
        <v>0</v>
      </c>
      <c r="BO138" s="52">
        <f t="shared" si="148"/>
        <v>0</v>
      </c>
      <c r="BP138" s="51">
        <f t="shared" si="149"/>
        <v>0.32</v>
      </c>
      <c r="BQ138" s="53">
        <f t="shared" si="150"/>
        <v>0</v>
      </c>
      <c r="BR138" s="53">
        <f t="shared" si="151"/>
        <v>0</v>
      </c>
      <c r="BS138" s="54">
        <f t="shared" si="152"/>
        <v>0</v>
      </c>
      <c r="BT138" s="55">
        <f t="shared" si="153"/>
        <v>0</v>
      </c>
      <c r="BU138" s="10" t="e">
        <f t="shared" si="154"/>
        <v>#DIV/0!</v>
      </c>
      <c r="BV138" s="3"/>
    </row>
    <row r="139" spans="1:74" ht="11.65" hidden="1">
      <c r="A139" s="646"/>
      <c r="B139" s="61"/>
      <c r="C139" s="56"/>
      <c r="D139" s="44"/>
      <c r="E139" s="7"/>
      <c r="F139" s="45"/>
      <c r="G139" s="46">
        <f t="shared" si="107"/>
        <v>0</v>
      </c>
      <c r="H139" s="7"/>
      <c r="I139" s="46">
        <f t="shared" si="108"/>
        <v>0</v>
      </c>
      <c r="J139" s="47">
        <v>0</v>
      </c>
      <c r="K139" s="47">
        <f t="shared" si="109"/>
        <v>0</v>
      </c>
      <c r="L139" s="47">
        <f t="shared" si="110"/>
        <v>0</v>
      </c>
      <c r="M139" s="47">
        <f t="shared" si="111"/>
        <v>0</v>
      </c>
      <c r="N139" s="47">
        <f t="shared" si="112"/>
        <v>0</v>
      </c>
      <c r="O139" s="47">
        <f t="shared" si="113"/>
        <v>0</v>
      </c>
      <c r="P139" s="47">
        <v>0</v>
      </c>
      <c r="Q139" s="47">
        <f t="shared" si="114"/>
        <v>0</v>
      </c>
      <c r="R139" s="47">
        <v>0</v>
      </c>
      <c r="S139" s="47">
        <f t="shared" si="115"/>
        <v>0</v>
      </c>
      <c r="T139" s="47">
        <v>0</v>
      </c>
      <c r="U139" s="47">
        <f t="shared" si="116"/>
        <v>0</v>
      </c>
      <c r="V139" s="47">
        <v>0</v>
      </c>
      <c r="W139" s="47">
        <f t="shared" si="117"/>
        <v>0</v>
      </c>
      <c r="X139" s="47">
        <v>0</v>
      </c>
      <c r="Y139" s="47">
        <f t="shared" si="118"/>
        <v>0</v>
      </c>
      <c r="Z139" s="47">
        <f t="shared" si="119"/>
        <v>0</v>
      </c>
      <c r="AA139" s="47">
        <f t="shared" si="120"/>
        <v>0</v>
      </c>
      <c r="AB139" s="47">
        <f t="shared" si="121"/>
        <v>0</v>
      </c>
      <c r="AC139" s="47">
        <f t="shared" si="122"/>
        <v>0</v>
      </c>
      <c r="AD139" s="47">
        <v>0</v>
      </c>
      <c r="AE139" s="47">
        <f t="shared" si="123"/>
        <v>0</v>
      </c>
      <c r="AF139" s="47">
        <v>0</v>
      </c>
      <c r="AG139" s="47">
        <f t="shared" si="124"/>
        <v>0</v>
      </c>
      <c r="AH139" s="47">
        <v>0</v>
      </c>
      <c r="AI139" s="47">
        <f t="shared" si="125"/>
        <v>0</v>
      </c>
      <c r="AJ139" s="47">
        <v>0</v>
      </c>
      <c r="AK139" s="47">
        <f t="shared" si="126"/>
        <v>0</v>
      </c>
      <c r="AL139" s="47">
        <v>0</v>
      </c>
      <c r="AM139" s="47">
        <f t="shared" si="127"/>
        <v>0</v>
      </c>
      <c r="AN139" s="47">
        <v>0</v>
      </c>
      <c r="AO139" s="47">
        <f t="shared" si="128"/>
        <v>0</v>
      </c>
      <c r="AP139" s="47">
        <v>0</v>
      </c>
      <c r="AQ139" s="47">
        <f t="shared" si="129"/>
        <v>0</v>
      </c>
      <c r="AR139" s="47">
        <v>0</v>
      </c>
      <c r="AS139" s="47">
        <f t="shared" si="130"/>
        <v>0</v>
      </c>
      <c r="AT139" s="47">
        <v>0</v>
      </c>
      <c r="AU139" s="47">
        <f t="shared" si="131"/>
        <v>0</v>
      </c>
      <c r="AV139" s="47">
        <v>0</v>
      </c>
      <c r="AW139" s="47">
        <f t="shared" si="132"/>
        <v>0</v>
      </c>
      <c r="AX139" s="47">
        <v>0</v>
      </c>
      <c r="AY139" s="47">
        <f t="shared" si="133"/>
        <v>0</v>
      </c>
      <c r="AZ139" s="47">
        <v>0</v>
      </c>
      <c r="BA139" s="47">
        <f t="shared" si="134"/>
        <v>0</v>
      </c>
      <c r="BB139" s="48">
        <f t="shared" si="135"/>
        <v>0</v>
      </c>
      <c r="BC139" s="49">
        <f t="shared" si="136"/>
        <v>0</v>
      </c>
      <c r="BD139" s="7" t="e">
        <f t="shared" si="137"/>
        <v>#DIV/0!</v>
      </c>
      <c r="BE139" s="47">
        <f t="shared" si="138"/>
        <v>0</v>
      </c>
      <c r="BF139" s="47">
        <f t="shared" si="139"/>
        <v>0</v>
      </c>
      <c r="BG139" s="50">
        <f t="shared" si="140"/>
        <v>0</v>
      </c>
      <c r="BH139" s="50">
        <f t="shared" si="141"/>
        <v>0</v>
      </c>
      <c r="BI139" s="50">
        <f t="shared" si="142"/>
        <v>0</v>
      </c>
      <c r="BJ139" s="50">
        <f t="shared" si="143"/>
        <v>0</v>
      </c>
      <c r="BK139" s="50">
        <f t="shared" si="144"/>
        <v>0</v>
      </c>
      <c r="BL139" s="50">
        <f t="shared" si="145"/>
        <v>0</v>
      </c>
      <c r="BM139" s="51">
        <f t="shared" si="146"/>
        <v>0</v>
      </c>
      <c r="BN139" s="52">
        <f t="shared" si="147"/>
        <v>0</v>
      </c>
      <c r="BO139" s="52">
        <f t="shared" si="148"/>
        <v>0</v>
      </c>
      <c r="BP139" s="51">
        <f t="shared" si="149"/>
        <v>0.32</v>
      </c>
      <c r="BQ139" s="53">
        <f t="shared" si="150"/>
        <v>0</v>
      </c>
      <c r="BR139" s="53">
        <f t="shared" si="151"/>
        <v>0</v>
      </c>
      <c r="BS139" s="54">
        <f t="shared" si="152"/>
        <v>0</v>
      </c>
      <c r="BT139" s="55">
        <f t="shared" si="153"/>
        <v>0</v>
      </c>
      <c r="BU139" s="10" t="e">
        <f t="shared" si="154"/>
        <v>#DIV/0!</v>
      </c>
      <c r="BV139" s="3"/>
    </row>
    <row r="140" spans="1:74" ht="11.65" hidden="1">
      <c r="A140" s="646"/>
      <c r="B140" s="61"/>
      <c r="C140" s="56"/>
      <c r="D140" s="44"/>
      <c r="E140" s="7"/>
      <c r="F140" s="45"/>
      <c r="G140" s="46">
        <f t="shared" si="107"/>
        <v>0</v>
      </c>
      <c r="H140" s="7"/>
      <c r="I140" s="46">
        <f t="shared" si="108"/>
        <v>0</v>
      </c>
      <c r="J140" s="47">
        <v>0</v>
      </c>
      <c r="K140" s="47">
        <f t="shared" si="109"/>
        <v>0</v>
      </c>
      <c r="L140" s="47">
        <f t="shared" si="110"/>
        <v>0</v>
      </c>
      <c r="M140" s="47">
        <f t="shared" si="111"/>
        <v>0</v>
      </c>
      <c r="N140" s="47">
        <f t="shared" si="112"/>
        <v>0</v>
      </c>
      <c r="O140" s="47">
        <f t="shared" si="113"/>
        <v>0</v>
      </c>
      <c r="P140" s="47">
        <v>0</v>
      </c>
      <c r="Q140" s="47">
        <f t="shared" si="114"/>
        <v>0</v>
      </c>
      <c r="R140" s="47">
        <v>0</v>
      </c>
      <c r="S140" s="47">
        <f t="shared" si="115"/>
        <v>0</v>
      </c>
      <c r="T140" s="47">
        <v>0</v>
      </c>
      <c r="U140" s="47">
        <f t="shared" si="116"/>
        <v>0</v>
      </c>
      <c r="V140" s="47">
        <v>0</v>
      </c>
      <c r="W140" s="47">
        <f t="shared" si="117"/>
        <v>0</v>
      </c>
      <c r="X140" s="47">
        <v>0</v>
      </c>
      <c r="Y140" s="47">
        <f t="shared" si="118"/>
        <v>0</v>
      </c>
      <c r="Z140" s="47">
        <f t="shared" si="119"/>
        <v>0</v>
      </c>
      <c r="AA140" s="47">
        <f t="shared" si="120"/>
        <v>0</v>
      </c>
      <c r="AB140" s="47">
        <f t="shared" si="121"/>
        <v>0</v>
      </c>
      <c r="AC140" s="47">
        <f t="shared" si="122"/>
        <v>0</v>
      </c>
      <c r="AD140" s="47">
        <v>0</v>
      </c>
      <c r="AE140" s="47">
        <f t="shared" si="123"/>
        <v>0</v>
      </c>
      <c r="AF140" s="47">
        <v>0</v>
      </c>
      <c r="AG140" s="47">
        <f t="shared" si="124"/>
        <v>0</v>
      </c>
      <c r="AH140" s="47">
        <v>0</v>
      </c>
      <c r="AI140" s="47">
        <f t="shared" si="125"/>
        <v>0</v>
      </c>
      <c r="AJ140" s="47">
        <v>0</v>
      </c>
      <c r="AK140" s="47">
        <f t="shared" si="126"/>
        <v>0</v>
      </c>
      <c r="AL140" s="47">
        <v>0</v>
      </c>
      <c r="AM140" s="47">
        <f t="shared" si="127"/>
        <v>0</v>
      </c>
      <c r="AN140" s="47">
        <v>0</v>
      </c>
      <c r="AO140" s="47">
        <f t="shared" si="128"/>
        <v>0</v>
      </c>
      <c r="AP140" s="47">
        <v>0</v>
      </c>
      <c r="AQ140" s="47">
        <f t="shared" si="129"/>
        <v>0</v>
      </c>
      <c r="AR140" s="47">
        <v>0</v>
      </c>
      <c r="AS140" s="47">
        <f t="shared" si="130"/>
        <v>0</v>
      </c>
      <c r="AT140" s="47">
        <v>0</v>
      </c>
      <c r="AU140" s="47">
        <f t="shared" si="131"/>
        <v>0</v>
      </c>
      <c r="AV140" s="47">
        <v>0</v>
      </c>
      <c r="AW140" s="47">
        <f t="shared" si="132"/>
        <v>0</v>
      </c>
      <c r="AX140" s="47">
        <v>0</v>
      </c>
      <c r="AY140" s="47">
        <f t="shared" si="133"/>
        <v>0</v>
      </c>
      <c r="AZ140" s="47">
        <v>0</v>
      </c>
      <c r="BA140" s="47">
        <f t="shared" si="134"/>
        <v>0</v>
      </c>
      <c r="BB140" s="48">
        <f t="shared" si="135"/>
        <v>0</v>
      </c>
      <c r="BC140" s="49">
        <f t="shared" si="136"/>
        <v>0</v>
      </c>
      <c r="BD140" s="7" t="e">
        <f t="shared" si="137"/>
        <v>#DIV/0!</v>
      </c>
      <c r="BE140" s="47">
        <f t="shared" si="138"/>
        <v>0</v>
      </c>
      <c r="BF140" s="47">
        <f t="shared" si="139"/>
        <v>0</v>
      </c>
      <c r="BG140" s="50">
        <f t="shared" si="140"/>
        <v>0</v>
      </c>
      <c r="BH140" s="50">
        <f t="shared" si="141"/>
        <v>0</v>
      </c>
      <c r="BI140" s="50">
        <f t="shared" si="142"/>
        <v>0</v>
      </c>
      <c r="BJ140" s="50">
        <f t="shared" si="143"/>
        <v>0</v>
      </c>
      <c r="BK140" s="50">
        <f t="shared" si="144"/>
        <v>0</v>
      </c>
      <c r="BL140" s="50">
        <f t="shared" si="145"/>
        <v>0</v>
      </c>
      <c r="BM140" s="51">
        <f t="shared" si="146"/>
        <v>0</v>
      </c>
      <c r="BN140" s="52">
        <f t="shared" si="147"/>
        <v>0</v>
      </c>
      <c r="BO140" s="52">
        <f t="shared" si="148"/>
        <v>0</v>
      </c>
      <c r="BP140" s="51">
        <f t="shared" si="149"/>
        <v>0.32</v>
      </c>
      <c r="BQ140" s="53">
        <f t="shared" si="150"/>
        <v>0</v>
      </c>
      <c r="BR140" s="53">
        <f t="shared" si="151"/>
        <v>0</v>
      </c>
      <c r="BS140" s="54">
        <f t="shared" si="152"/>
        <v>0</v>
      </c>
      <c r="BT140" s="55">
        <f t="shared" si="153"/>
        <v>0</v>
      </c>
      <c r="BU140" s="10" t="e">
        <f t="shared" si="154"/>
        <v>#DIV/0!</v>
      </c>
      <c r="BV140" s="3"/>
    </row>
    <row r="141" spans="1:74" ht="11.65" hidden="1">
      <c r="A141" s="646"/>
      <c r="B141" s="61"/>
      <c r="C141" s="56"/>
      <c r="D141" s="44"/>
      <c r="E141" s="7"/>
      <c r="F141" s="45"/>
      <c r="G141" s="46">
        <f t="shared" si="107"/>
        <v>0</v>
      </c>
      <c r="H141" s="7"/>
      <c r="I141" s="46">
        <f t="shared" si="108"/>
        <v>0</v>
      </c>
      <c r="J141" s="47">
        <v>0</v>
      </c>
      <c r="K141" s="47">
        <f t="shared" si="109"/>
        <v>0</v>
      </c>
      <c r="L141" s="47">
        <f t="shared" si="110"/>
        <v>0</v>
      </c>
      <c r="M141" s="47">
        <f t="shared" si="111"/>
        <v>0</v>
      </c>
      <c r="N141" s="47">
        <f t="shared" si="112"/>
        <v>0</v>
      </c>
      <c r="O141" s="47">
        <f t="shared" si="113"/>
        <v>0</v>
      </c>
      <c r="P141" s="47">
        <v>0</v>
      </c>
      <c r="Q141" s="47">
        <f t="shared" si="114"/>
        <v>0</v>
      </c>
      <c r="R141" s="47">
        <v>0</v>
      </c>
      <c r="S141" s="47">
        <f t="shared" si="115"/>
        <v>0</v>
      </c>
      <c r="T141" s="47">
        <v>0</v>
      </c>
      <c r="U141" s="47">
        <f t="shared" si="116"/>
        <v>0</v>
      </c>
      <c r="V141" s="47">
        <v>0</v>
      </c>
      <c r="W141" s="47">
        <f t="shared" si="117"/>
        <v>0</v>
      </c>
      <c r="X141" s="47">
        <v>0</v>
      </c>
      <c r="Y141" s="47">
        <f t="shared" si="118"/>
        <v>0</v>
      </c>
      <c r="Z141" s="47">
        <f t="shared" si="119"/>
        <v>0</v>
      </c>
      <c r="AA141" s="47">
        <f t="shared" si="120"/>
        <v>0</v>
      </c>
      <c r="AB141" s="47">
        <f t="shared" si="121"/>
        <v>0</v>
      </c>
      <c r="AC141" s="47">
        <f t="shared" si="122"/>
        <v>0</v>
      </c>
      <c r="AD141" s="47">
        <v>0</v>
      </c>
      <c r="AE141" s="47">
        <f t="shared" si="123"/>
        <v>0</v>
      </c>
      <c r="AF141" s="47">
        <v>0</v>
      </c>
      <c r="AG141" s="47">
        <f t="shared" si="124"/>
        <v>0</v>
      </c>
      <c r="AH141" s="47">
        <v>0</v>
      </c>
      <c r="AI141" s="47">
        <f t="shared" si="125"/>
        <v>0</v>
      </c>
      <c r="AJ141" s="47">
        <v>0</v>
      </c>
      <c r="AK141" s="47">
        <f t="shared" si="126"/>
        <v>0</v>
      </c>
      <c r="AL141" s="47">
        <v>0</v>
      </c>
      <c r="AM141" s="47">
        <f t="shared" si="127"/>
        <v>0</v>
      </c>
      <c r="AN141" s="47">
        <v>0</v>
      </c>
      <c r="AO141" s="47">
        <f t="shared" si="128"/>
        <v>0</v>
      </c>
      <c r="AP141" s="47">
        <v>0</v>
      </c>
      <c r="AQ141" s="47">
        <f t="shared" si="129"/>
        <v>0</v>
      </c>
      <c r="AR141" s="47">
        <v>0</v>
      </c>
      <c r="AS141" s="47">
        <f t="shared" si="130"/>
        <v>0</v>
      </c>
      <c r="AT141" s="47">
        <v>0</v>
      </c>
      <c r="AU141" s="47">
        <f t="shared" si="131"/>
        <v>0</v>
      </c>
      <c r="AV141" s="47">
        <v>0</v>
      </c>
      <c r="AW141" s="47">
        <f t="shared" si="132"/>
        <v>0</v>
      </c>
      <c r="AX141" s="47">
        <v>0</v>
      </c>
      <c r="AY141" s="47">
        <f t="shared" si="133"/>
        <v>0</v>
      </c>
      <c r="AZ141" s="47">
        <v>0</v>
      </c>
      <c r="BA141" s="47">
        <f t="shared" si="134"/>
        <v>0</v>
      </c>
      <c r="BB141" s="48">
        <f t="shared" si="135"/>
        <v>0</v>
      </c>
      <c r="BC141" s="49">
        <f t="shared" si="136"/>
        <v>0</v>
      </c>
      <c r="BD141" s="7" t="e">
        <f t="shared" si="137"/>
        <v>#DIV/0!</v>
      </c>
      <c r="BE141" s="47">
        <f t="shared" si="138"/>
        <v>0</v>
      </c>
      <c r="BF141" s="47">
        <f t="shared" si="139"/>
        <v>0</v>
      </c>
      <c r="BG141" s="50">
        <f t="shared" si="140"/>
        <v>0</v>
      </c>
      <c r="BH141" s="50">
        <f t="shared" si="141"/>
        <v>0</v>
      </c>
      <c r="BI141" s="50">
        <f t="shared" si="142"/>
        <v>0</v>
      </c>
      <c r="BJ141" s="50">
        <f t="shared" si="143"/>
        <v>0</v>
      </c>
      <c r="BK141" s="50">
        <f t="shared" si="144"/>
        <v>0</v>
      </c>
      <c r="BL141" s="50">
        <f t="shared" si="145"/>
        <v>0</v>
      </c>
      <c r="BM141" s="51">
        <f t="shared" si="146"/>
        <v>0</v>
      </c>
      <c r="BN141" s="52">
        <f t="shared" si="147"/>
        <v>0</v>
      </c>
      <c r="BO141" s="52">
        <f t="shared" si="148"/>
        <v>0</v>
      </c>
      <c r="BP141" s="51">
        <f t="shared" si="149"/>
        <v>0.32</v>
      </c>
      <c r="BQ141" s="53">
        <f t="shared" si="150"/>
        <v>0</v>
      </c>
      <c r="BR141" s="53">
        <f t="shared" si="151"/>
        <v>0</v>
      </c>
      <c r="BS141" s="54">
        <f t="shared" si="152"/>
        <v>0</v>
      </c>
      <c r="BT141" s="55">
        <f t="shared" si="153"/>
        <v>0</v>
      </c>
      <c r="BU141" s="10" t="e">
        <f t="shared" si="154"/>
        <v>#DIV/0!</v>
      </c>
      <c r="BV141" s="3"/>
    </row>
    <row r="142" spans="1:74" ht="11.65" hidden="1">
      <c r="A142" s="646"/>
      <c r="B142" s="61"/>
      <c r="C142" s="56"/>
      <c r="D142" s="44"/>
      <c r="E142" s="7"/>
      <c r="F142" s="45"/>
      <c r="G142" s="46">
        <f t="shared" ref="G142:G156" si="155">(D142*F142)/1000000</f>
        <v>0</v>
      </c>
      <c r="H142" s="7"/>
      <c r="I142" s="46">
        <f t="shared" ref="I142:I156" si="156">G142*H142</f>
        <v>0</v>
      </c>
      <c r="J142" s="47">
        <v>0</v>
      </c>
      <c r="K142" s="47">
        <f t="shared" ref="K142:K156" si="157">J142*$K$5</f>
        <v>0</v>
      </c>
      <c r="L142" s="47">
        <f t="shared" ref="L142:L156" si="158">K142*$L$5</f>
        <v>0</v>
      </c>
      <c r="M142" s="47">
        <f t="shared" ref="M142:M156" si="159">L142*$M$5</f>
        <v>0</v>
      </c>
      <c r="N142" s="47">
        <f t="shared" ref="N142:N156" si="160">M142</f>
        <v>0</v>
      </c>
      <c r="O142" s="47">
        <f t="shared" ref="O142:O156" si="161">N142*H142</f>
        <v>0</v>
      </c>
      <c r="P142" s="47">
        <v>0</v>
      </c>
      <c r="Q142" s="47">
        <f t="shared" ref="Q142:Q156" si="162">P142*$Q$5</f>
        <v>0</v>
      </c>
      <c r="R142" s="47">
        <v>0</v>
      </c>
      <c r="S142" s="47">
        <f t="shared" ref="S142:S156" si="163">R142*H142</f>
        <v>0</v>
      </c>
      <c r="T142" s="47">
        <v>0</v>
      </c>
      <c r="U142" s="47">
        <f t="shared" ref="U142:U156" si="164">T142*$U$5</f>
        <v>0</v>
      </c>
      <c r="V142" s="47">
        <v>0</v>
      </c>
      <c r="W142" s="47">
        <f t="shared" ref="W142:W156" si="165">V142*H142</f>
        <v>0</v>
      </c>
      <c r="X142" s="47">
        <v>0</v>
      </c>
      <c r="Y142" s="47">
        <f t="shared" ref="Y142:Y156" si="166">X142*$Y$5</f>
        <v>0</v>
      </c>
      <c r="Z142" s="47">
        <f t="shared" ref="Z142:Z156" si="167">Y142*$Z$5</f>
        <v>0</v>
      </c>
      <c r="AA142" s="47">
        <f t="shared" ref="AA142:AA156" si="168">Z142*$AA$5</f>
        <v>0</v>
      </c>
      <c r="AB142" s="47">
        <f t="shared" ref="AB142:AB156" si="169">AA142</f>
        <v>0</v>
      </c>
      <c r="AC142" s="47">
        <f t="shared" ref="AC142:AC156" si="170">AB142*H142</f>
        <v>0</v>
      </c>
      <c r="AD142" s="47">
        <v>0</v>
      </c>
      <c r="AE142" s="47">
        <f t="shared" ref="AE142:AE156" si="171">AD142*H142</f>
        <v>0</v>
      </c>
      <c r="AF142" s="47">
        <v>0</v>
      </c>
      <c r="AG142" s="47">
        <f t="shared" ref="AG142:AG156" si="172">AF142*H142</f>
        <v>0</v>
      </c>
      <c r="AH142" s="47">
        <v>0</v>
      </c>
      <c r="AI142" s="47">
        <f t="shared" ref="AI142:AI156" si="173">AH142*H142</f>
        <v>0</v>
      </c>
      <c r="AJ142" s="47">
        <v>0</v>
      </c>
      <c r="AK142" s="47">
        <f t="shared" ref="AK142:AK156" si="174">AJ142*H142</f>
        <v>0</v>
      </c>
      <c r="AL142" s="47">
        <v>0</v>
      </c>
      <c r="AM142" s="47">
        <f t="shared" ref="AM142:AM156" si="175">AL142*H142</f>
        <v>0</v>
      </c>
      <c r="AN142" s="47">
        <v>0</v>
      </c>
      <c r="AO142" s="47">
        <f t="shared" ref="AO142:AO156" si="176">AN142*H142</f>
        <v>0</v>
      </c>
      <c r="AP142" s="47">
        <v>0</v>
      </c>
      <c r="AQ142" s="47">
        <f t="shared" ref="AQ142:AQ156" si="177">AP142*H142</f>
        <v>0</v>
      </c>
      <c r="AR142" s="47">
        <v>0</v>
      </c>
      <c r="AS142" s="47">
        <f t="shared" ref="AS142:AS156" si="178">AR142*H142</f>
        <v>0</v>
      </c>
      <c r="AT142" s="47">
        <v>0</v>
      </c>
      <c r="AU142" s="47">
        <f t="shared" ref="AU142:AU156" si="179">AT142*H142</f>
        <v>0</v>
      </c>
      <c r="AV142" s="47">
        <v>0</v>
      </c>
      <c r="AW142" s="47">
        <f t="shared" ref="AW142:AW156" si="180">AV142*H142</f>
        <v>0</v>
      </c>
      <c r="AX142" s="47">
        <v>0</v>
      </c>
      <c r="AY142" s="47">
        <f t="shared" ref="AY142:AY156" si="181">AX142*H142</f>
        <v>0</v>
      </c>
      <c r="AZ142" s="47">
        <v>0</v>
      </c>
      <c r="BA142" s="47">
        <f t="shared" ref="BA142:BA156" si="182">AZ142*H142</f>
        <v>0</v>
      </c>
      <c r="BB142" s="48">
        <f t="shared" ref="BB142:BB156" si="183">N142+R142+V142+AB142+AD142+AF142+AH142+AJ142+AL142+AN142+AP142+AR142+AT142+AV142+AX142+AZ142</f>
        <v>0</v>
      </c>
      <c r="BC142" s="49">
        <f t="shared" ref="BC142:BC156" si="184">O142+S142+W142+AC142+AE142+AG142+AI142+AK142+AM142+AO142+AQ142+AS142+AU142+AW142+AY142+BA142</f>
        <v>0</v>
      </c>
      <c r="BD142" s="7" t="e">
        <f t="shared" ref="BD142:BD156" si="185">BC142/I142</f>
        <v>#DIV/0!</v>
      </c>
      <c r="BE142" s="47">
        <f t="shared" ref="BE142:BE156" si="186">BB142*$BE$5</f>
        <v>0</v>
      </c>
      <c r="BF142" s="47">
        <f t="shared" ref="BF142:BF156" si="187">BC142*$BE$5</f>
        <v>0</v>
      </c>
      <c r="BG142" s="50">
        <f t="shared" ref="BG142:BG156" si="188">BB142*$BG$5</f>
        <v>0</v>
      </c>
      <c r="BH142" s="50">
        <f t="shared" ref="BH142:BH156" si="189">BC142*$BG$5</f>
        <v>0</v>
      </c>
      <c r="BI142" s="50">
        <f t="shared" ref="BI142:BI156" si="190">BB142*$BI$5</f>
        <v>0</v>
      </c>
      <c r="BJ142" s="50">
        <f t="shared" ref="BJ142:BJ156" si="191">BC142*$BI$5</f>
        <v>0</v>
      </c>
      <c r="BK142" s="50">
        <f t="shared" ref="BK142:BK156" si="192">BB142*$BK$5</f>
        <v>0</v>
      </c>
      <c r="BL142" s="50">
        <f t="shared" ref="BL142:BL156" si="193">BC142*$BK$5</f>
        <v>0</v>
      </c>
      <c r="BM142" s="51">
        <f t="shared" ref="BM142:BM156" si="194">$BM$5</f>
        <v>0</v>
      </c>
      <c r="BN142" s="52">
        <f t="shared" ref="BN142:BN156" si="195">BB142*BM142</f>
        <v>0</v>
      </c>
      <c r="BO142" s="52">
        <f t="shared" ref="BO142:BO156" si="196">BC142*BM$12</f>
        <v>0</v>
      </c>
      <c r="BP142" s="51">
        <f t="shared" ref="BP142:BP156" si="197">$BP$5</f>
        <v>0.32</v>
      </c>
      <c r="BQ142" s="53">
        <f t="shared" ref="BQ142:BQ156" si="198">BB142*$BP142</f>
        <v>0</v>
      </c>
      <c r="BR142" s="53">
        <f t="shared" ref="BR142:BR156" si="199">BC142*BP142</f>
        <v>0</v>
      </c>
      <c r="BS142" s="54">
        <f t="shared" ref="BS142:BS156" si="200">BB142+BE142+BG142+BI142+BK142+BN142+BQ142</f>
        <v>0</v>
      </c>
      <c r="BT142" s="55">
        <f t="shared" ref="BT142:BT156" si="201">BC142+BF142+BH142+BJ142+BL142+BO142+BR142</f>
        <v>0</v>
      </c>
      <c r="BU142" s="10" t="e">
        <f t="shared" ref="BU142:BU156" si="202">BT142/I142</f>
        <v>#DIV/0!</v>
      </c>
      <c r="BV142" s="3"/>
    </row>
    <row r="143" spans="1:74" ht="11.65" hidden="1">
      <c r="A143" s="646"/>
      <c r="B143" s="61"/>
      <c r="C143" s="56"/>
      <c r="D143" s="44"/>
      <c r="E143" s="7"/>
      <c r="F143" s="45"/>
      <c r="G143" s="46">
        <f t="shared" si="155"/>
        <v>0</v>
      </c>
      <c r="H143" s="7"/>
      <c r="I143" s="46">
        <f t="shared" si="156"/>
        <v>0</v>
      </c>
      <c r="J143" s="47">
        <v>0</v>
      </c>
      <c r="K143" s="47">
        <f t="shared" si="157"/>
        <v>0</v>
      </c>
      <c r="L143" s="47">
        <f t="shared" si="158"/>
        <v>0</v>
      </c>
      <c r="M143" s="47">
        <f t="shared" si="159"/>
        <v>0</v>
      </c>
      <c r="N143" s="47">
        <f t="shared" si="160"/>
        <v>0</v>
      </c>
      <c r="O143" s="47">
        <f t="shared" si="161"/>
        <v>0</v>
      </c>
      <c r="P143" s="47">
        <v>0</v>
      </c>
      <c r="Q143" s="47">
        <f t="shared" si="162"/>
        <v>0</v>
      </c>
      <c r="R143" s="47">
        <v>0</v>
      </c>
      <c r="S143" s="47">
        <f t="shared" si="163"/>
        <v>0</v>
      </c>
      <c r="T143" s="47">
        <v>0</v>
      </c>
      <c r="U143" s="47">
        <f t="shared" si="164"/>
        <v>0</v>
      </c>
      <c r="V143" s="47">
        <v>0</v>
      </c>
      <c r="W143" s="47">
        <f t="shared" si="165"/>
        <v>0</v>
      </c>
      <c r="X143" s="47">
        <v>0</v>
      </c>
      <c r="Y143" s="47">
        <f t="shared" si="166"/>
        <v>0</v>
      </c>
      <c r="Z143" s="47">
        <f t="shared" si="167"/>
        <v>0</v>
      </c>
      <c r="AA143" s="47">
        <f t="shared" si="168"/>
        <v>0</v>
      </c>
      <c r="AB143" s="47">
        <f t="shared" si="169"/>
        <v>0</v>
      </c>
      <c r="AC143" s="47">
        <f t="shared" si="170"/>
        <v>0</v>
      </c>
      <c r="AD143" s="47">
        <v>0</v>
      </c>
      <c r="AE143" s="47">
        <f t="shared" si="171"/>
        <v>0</v>
      </c>
      <c r="AF143" s="47">
        <v>0</v>
      </c>
      <c r="AG143" s="47">
        <f t="shared" si="172"/>
        <v>0</v>
      </c>
      <c r="AH143" s="47">
        <v>0</v>
      </c>
      <c r="AI143" s="47">
        <f t="shared" si="173"/>
        <v>0</v>
      </c>
      <c r="AJ143" s="47">
        <v>0</v>
      </c>
      <c r="AK143" s="47">
        <f t="shared" si="174"/>
        <v>0</v>
      </c>
      <c r="AL143" s="47">
        <v>0</v>
      </c>
      <c r="AM143" s="47">
        <f t="shared" si="175"/>
        <v>0</v>
      </c>
      <c r="AN143" s="47">
        <v>0</v>
      </c>
      <c r="AO143" s="47">
        <f t="shared" si="176"/>
        <v>0</v>
      </c>
      <c r="AP143" s="47">
        <v>0</v>
      </c>
      <c r="AQ143" s="47">
        <f t="shared" si="177"/>
        <v>0</v>
      </c>
      <c r="AR143" s="47">
        <v>0</v>
      </c>
      <c r="AS143" s="47">
        <f t="shared" si="178"/>
        <v>0</v>
      </c>
      <c r="AT143" s="47">
        <v>0</v>
      </c>
      <c r="AU143" s="47">
        <f t="shared" si="179"/>
        <v>0</v>
      </c>
      <c r="AV143" s="47">
        <v>0</v>
      </c>
      <c r="AW143" s="47">
        <f t="shared" si="180"/>
        <v>0</v>
      </c>
      <c r="AX143" s="47">
        <v>0</v>
      </c>
      <c r="AY143" s="47">
        <f t="shared" si="181"/>
        <v>0</v>
      </c>
      <c r="AZ143" s="47">
        <v>0</v>
      </c>
      <c r="BA143" s="47">
        <f t="shared" si="182"/>
        <v>0</v>
      </c>
      <c r="BB143" s="48">
        <f t="shared" si="183"/>
        <v>0</v>
      </c>
      <c r="BC143" s="49">
        <f t="shared" si="184"/>
        <v>0</v>
      </c>
      <c r="BD143" s="7" t="e">
        <f t="shared" si="185"/>
        <v>#DIV/0!</v>
      </c>
      <c r="BE143" s="47">
        <f t="shared" si="186"/>
        <v>0</v>
      </c>
      <c r="BF143" s="47">
        <f t="shared" si="187"/>
        <v>0</v>
      </c>
      <c r="BG143" s="50">
        <f t="shared" si="188"/>
        <v>0</v>
      </c>
      <c r="BH143" s="50">
        <f t="shared" si="189"/>
        <v>0</v>
      </c>
      <c r="BI143" s="50">
        <f t="shared" si="190"/>
        <v>0</v>
      </c>
      <c r="BJ143" s="50">
        <f t="shared" si="191"/>
        <v>0</v>
      </c>
      <c r="BK143" s="50">
        <f t="shared" si="192"/>
        <v>0</v>
      </c>
      <c r="BL143" s="50">
        <f t="shared" si="193"/>
        <v>0</v>
      </c>
      <c r="BM143" s="51">
        <f t="shared" si="194"/>
        <v>0</v>
      </c>
      <c r="BN143" s="52">
        <f t="shared" si="195"/>
        <v>0</v>
      </c>
      <c r="BO143" s="52">
        <f t="shared" si="196"/>
        <v>0</v>
      </c>
      <c r="BP143" s="51">
        <f t="shared" si="197"/>
        <v>0.32</v>
      </c>
      <c r="BQ143" s="53">
        <f t="shared" si="198"/>
        <v>0</v>
      </c>
      <c r="BR143" s="53">
        <f t="shared" si="199"/>
        <v>0</v>
      </c>
      <c r="BS143" s="54">
        <f t="shared" si="200"/>
        <v>0</v>
      </c>
      <c r="BT143" s="55">
        <f t="shared" si="201"/>
        <v>0</v>
      </c>
      <c r="BU143" s="10" t="e">
        <f t="shared" si="202"/>
        <v>#DIV/0!</v>
      </c>
      <c r="BV143" s="3"/>
    </row>
    <row r="144" spans="1:74" ht="11.65" hidden="1">
      <c r="A144" s="646"/>
      <c r="B144" s="61"/>
      <c r="C144" s="56"/>
      <c r="D144" s="44"/>
      <c r="E144" s="7"/>
      <c r="F144" s="45"/>
      <c r="G144" s="46">
        <f t="shared" si="155"/>
        <v>0</v>
      </c>
      <c r="H144" s="7"/>
      <c r="I144" s="46">
        <f t="shared" si="156"/>
        <v>0</v>
      </c>
      <c r="J144" s="47">
        <v>0</v>
      </c>
      <c r="K144" s="47">
        <f t="shared" si="157"/>
        <v>0</v>
      </c>
      <c r="L144" s="47">
        <f t="shared" si="158"/>
        <v>0</v>
      </c>
      <c r="M144" s="47">
        <f t="shared" si="159"/>
        <v>0</v>
      </c>
      <c r="N144" s="47">
        <f t="shared" si="160"/>
        <v>0</v>
      </c>
      <c r="O144" s="47">
        <f t="shared" si="161"/>
        <v>0</v>
      </c>
      <c r="P144" s="47">
        <v>0</v>
      </c>
      <c r="Q144" s="47">
        <f t="shared" si="162"/>
        <v>0</v>
      </c>
      <c r="R144" s="47">
        <v>0</v>
      </c>
      <c r="S144" s="47">
        <f t="shared" si="163"/>
        <v>0</v>
      </c>
      <c r="T144" s="47">
        <v>0</v>
      </c>
      <c r="U144" s="47">
        <f t="shared" si="164"/>
        <v>0</v>
      </c>
      <c r="V144" s="47">
        <v>0</v>
      </c>
      <c r="W144" s="47">
        <f t="shared" si="165"/>
        <v>0</v>
      </c>
      <c r="X144" s="47">
        <v>0</v>
      </c>
      <c r="Y144" s="47">
        <f t="shared" si="166"/>
        <v>0</v>
      </c>
      <c r="Z144" s="47">
        <f t="shared" si="167"/>
        <v>0</v>
      </c>
      <c r="AA144" s="47">
        <f t="shared" si="168"/>
        <v>0</v>
      </c>
      <c r="AB144" s="47">
        <f t="shared" si="169"/>
        <v>0</v>
      </c>
      <c r="AC144" s="47">
        <f t="shared" si="170"/>
        <v>0</v>
      </c>
      <c r="AD144" s="47">
        <v>0</v>
      </c>
      <c r="AE144" s="47">
        <f t="shared" si="171"/>
        <v>0</v>
      </c>
      <c r="AF144" s="47">
        <v>0</v>
      </c>
      <c r="AG144" s="47">
        <f t="shared" si="172"/>
        <v>0</v>
      </c>
      <c r="AH144" s="47">
        <v>0</v>
      </c>
      <c r="AI144" s="47">
        <f t="shared" si="173"/>
        <v>0</v>
      </c>
      <c r="AJ144" s="47">
        <v>0</v>
      </c>
      <c r="AK144" s="47">
        <f t="shared" si="174"/>
        <v>0</v>
      </c>
      <c r="AL144" s="47">
        <v>0</v>
      </c>
      <c r="AM144" s="47">
        <f t="shared" si="175"/>
        <v>0</v>
      </c>
      <c r="AN144" s="47">
        <v>0</v>
      </c>
      <c r="AO144" s="47">
        <f t="shared" si="176"/>
        <v>0</v>
      </c>
      <c r="AP144" s="47">
        <v>0</v>
      </c>
      <c r="AQ144" s="47">
        <f t="shared" si="177"/>
        <v>0</v>
      </c>
      <c r="AR144" s="47">
        <v>0</v>
      </c>
      <c r="AS144" s="47">
        <f t="shared" si="178"/>
        <v>0</v>
      </c>
      <c r="AT144" s="47">
        <v>0</v>
      </c>
      <c r="AU144" s="47">
        <f t="shared" si="179"/>
        <v>0</v>
      </c>
      <c r="AV144" s="47">
        <v>0</v>
      </c>
      <c r="AW144" s="47">
        <f t="shared" si="180"/>
        <v>0</v>
      </c>
      <c r="AX144" s="47">
        <v>0</v>
      </c>
      <c r="AY144" s="47">
        <f t="shared" si="181"/>
        <v>0</v>
      </c>
      <c r="AZ144" s="47">
        <v>0</v>
      </c>
      <c r="BA144" s="47">
        <f t="shared" si="182"/>
        <v>0</v>
      </c>
      <c r="BB144" s="48">
        <f t="shared" si="183"/>
        <v>0</v>
      </c>
      <c r="BC144" s="49">
        <f t="shared" si="184"/>
        <v>0</v>
      </c>
      <c r="BD144" s="7" t="e">
        <f t="shared" si="185"/>
        <v>#DIV/0!</v>
      </c>
      <c r="BE144" s="47">
        <f t="shared" si="186"/>
        <v>0</v>
      </c>
      <c r="BF144" s="47">
        <f t="shared" si="187"/>
        <v>0</v>
      </c>
      <c r="BG144" s="50">
        <f t="shared" si="188"/>
        <v>0</v>
      </c>
      <c r="BH144" s="50">
        <f t="shared" si="189"/>
        <v>0</v>
      </c>
      <c r="BI144" s="50">
        <f t="shared" si="190"/>
        <v>0</v>
      </c>
      <c r="BJ144" s="50">
        <f t="shared" si="191"/>
        <v>0</v>
      </c>
      <c r="BK144" s="50">
        <f t="shared" si="192"/>
        <v>0</v>
      </c>
      <c r="BL144" s="50">
        <f t="shared" si="193"/>
        <v>0</v>
      </c>
      <c r="BM144" s="51">
        <f t="shared" si="194"/>
        <v>0</v>
      </c>
      <c r="BN144" s="52">
        <f t="shared" si="195"/>
        <v>0</v>
      </c>
      <c r="BO144" s="52">
        <f t="shared" si="196"/>
        <v>0</v>
      </c>
      <c r="BP144" s="51">
        <f t="shared" si="197"/>
        <v>0.32</v>
      </c>
      <c r="BQ144" s="53">
        <f t="shared" si="198"/>
        <v>0</v>
      </c>
      <c r="BR144" s="53">
        <f t="shared" si="199"/>
        <v>0</v>
      </c>
      <c r="BS144" s="54">
        <f t="shared" si="200"/>
        <v>0</v>
      </c>
      <c r="BT144" s="55">
        <f t="shared" si="201"/>
        <v>0</v>
      </c>
      <c r="BU144" s="10" t="e">
        <f t="shared" si="202"/>
        <v>#DIV/0!</v>
      </c>
      <c r="BV144" s="3"/>
    </row>
    <row r="145" spans="1:74" ht="11.65" hidden="1">
      <c r="A145" s="646"/>
      <c r="B145" s="61"/>
      <c r="C145" s="56"/>
      <c r="D145" s="44"/>
      <c r="E145" s="7"/>
      <c r="F145" s="45"/>
      <c r="G145" s="46">
        <f t="shared" si="155"/>
        <v>0</v>
      </c>
      <c r="H145" s="7"/>
      <c r="I145" s="46">
        <f t="shared" si="156"/>
        <v>0</v>
      </c>
      <c r="J145" s="47">
        <v>0</v>
      </c>
      <c r="K145" s="47">
        <f t="shared" si="157"/>
        <v>0</v>
      </c>
      <c r="L145" s="47">
        <f t="shared" si="158"/>
        <v>0</v>
      </c>
      <c r="M145" s="47">
        <f t="shared" si="159"/>
        <v>0</v>
      </c>
      <c r="N145" s="47">
        <f t="shared" si="160"/>
        <v>0</v>
      </c>
      <c r="O145" s="47">
        <f t="shared" si="161"/>
        <v>0</v>
      </c>
      <c r="P145" s="47">
        <v>0</v>
      </c>
      <c r="Q145" s="47">
        <f t="shared" si="162"/>
        <v>0</v>
      </c>
      <c r="R145" s="47">
        <v>0</v>
      </c>
      <c r="S145" s="47">
        <f t="shared" si="163"/>
        <v>0</v>
      </c>
      <c r="T145" s="47">
        <v>0</v>
      </c>
      <c r="U145" s="47">
        <f t="shared" si="164"/>
        <v>0</v>
      </c>
      <c r="V145" s="47">
        <v>0</v>
      </c>
      <c r="W145" s="47">
        <f t="shared" si="165"/>
        <v>0</v>
      </c>
      <c r="X145" s="47">
        <v>0</v>
      </c>
      <c r="Y145" s="47">
        <f t="shared" si="166"/>
        <v>0</v>
      </c>
      <c r="Z145" s="47">
        <f t="shared" si="167"/>
        <v>0</v>
      </c>
      <c r="AA145" s="47">
        <f t="shared" si="168"/>
        <v>0</v>
      </c>
      <c r="AB145" s="47">
        <f t="shared" si="169"/>
        <v>0</v>
      </c>
      <c r="AC145" s="47">
        <f t="shared" si="170"/>
        <v>0</v>
      </c>
      <c r="AD145" s="47">
        <v>0</v>
      </c>
      <c r="AE145" s="47">
        <f t="shared" si="171"/>
        <v>0</v>
      </c>
      <c r="AF145" s="47">
        <v>0</v>
      </c>
      <c r="AG145" s="47">
        <f t="shared" si="172"/>
        <v>0</v>
      </c>
      <c r="AH145" s="47">
        <v>0</v>
      </c>
      <c r="AI145" s="47">
        <f t="shared" si="173"/>
        <v>0</v>
      </c>
      <c r="AJ145" s="47">
        <v>0</v>
      </c>
      <c r="AK145" s="47">
        <f t="shared" si="174"/>
        <v>0</v>
      </c>
      <c r="AL145" s="47">
        <v>0</v>
      </c>
      <c r="AM145" s="47">
        <f t="shared" si="175"/>
        <v>0</v>
      </c>
      <c r="AN145" s="47">
        <v>0</v>
      </c>
      <c r="AO145" s="47">
        <f t="shared" si="176"/>
        <v>0</v>
      </c>
      <c r="AP145" s="47">
        <v>0</v>
      </c>
      <c r="AQ145" s="47">
        <f t="shared" si="177"/>
        <v>0</v>
      </c>
      <c r="AR145" s="47">
        <v>0</v>
      </c>
      <c r="AS145" s="47">
        <f t="shared" si="178"/>
        <v>0</v>
      </c>
      <c r="AT145" s="47">
        <v>0</v>
      </c>
      <c r="AU145" s="47">
        <f t="shared" si="179"/>
        <v>0</v>
      </c>
      <c r="AV145" s="47">
        <v>0</v>
      </c>
      <c r="AW145" s="47">
        <f t="shared" si="180"/>
        <v>0</v>
      </c>
      <c r="AX145" s="47">
        <v>0</v>
      </c>
      <c r="AY145" s="47">
        <f t="shared" si="181"/>
        <v>0</v>
      </c>
      <c r="AZ145" s="47">
        <v>0</v>
      </c>
      <c r="BA145" s="47">
        <f t="shared" si="182"/>
        <v>0</v>
      </c>
      <c r="BB145" s="48">
        <f t="shared" si="183"/>
        <v>0</v>
      </c>
      <c r="BC145" s="49">
        <f t="shared" si="184"/>
        <v>0</v>
      </c>
      <c r="BD145" s="7" t="e">
        <f t="shared" si="185"/>
        <v>#DIV/0!</v>
      </c>
      <c r="BE145" s="47">
        <f t="shared" si="186"/>
        <v>0</v>
      </c>
      <c r="BF145" s="47">
        <f t="shared" si="187"/>
        <v>0</v>
      </c>
      <c r="BG145" s="50">
        <f t="shared" si="188"/>
        <v>0</v>
      </c>
      <c r="BH145" s="50">
        <f t="shared" si="189"/>
        <v>0</v>
      </c>
      <c r="BI145" s="50">
        <f t="shared" si="190"/>
        <v>0</v>
      </c>
      <c r="BJ145" s="50">
        <f t="shared" si="191"/>
        <v>0</v>
      </c>
      <c r="BK145" s="50">
        <f t="shared" si="192"/>
        <v>0</v>
      </c>
      <c r="BL145" s="50">
        <f t="shared" si="193"/>
        <v>0</v>
      </c>
      <c r="BM145" s="51">
        <f t="shared" si="194"/>
        <v>0</v>
      </c>
      <c r="BN145" s="52">
        <f t="shared" si="195"/>
        <v>0</v>
      </c>
      <c r="BO145" s="52">
        <f t="shared" si="196"/>
        <v>0</v>
      </c>
      <c r="BP145" s="51">
        <f t="shared" si="197"/>
        <v>0.32</v>
      </c>
      <c r="BQ145" s="53">
        <f t="shared" si="198"/>
        <v>0</v>
      </c>
      <c r="BR145" s="53">
        <f t="shared" si="199"/>
        <v>0</v>
      </c>
      <c r="BS145" s="54">
        <f t="shared" si="200"/>
        <v>0</v>
      </c>
      <c r="BT145" s="55">
        <f t="shared" si="201"/>
        <v>0</v>
      </c>
      <c r="BU145" s="10" t="e">
        <f t="shared" si="202"/>
        <v>#DIV/0!</v>
      </c>
      <c r="BV145" s="3"/>
    </row>
    <row r="146" spans="1:74" ht="11.65" hidden="1">
      <c r="A146" s="646"/>
      <c r="B146" s="61"/>
      <c r="C146" s="56"/>
      <c r="D146" s="44"/>
      <c r="E146" s="7"/>
      <c r="F146" s="45"/>
      <c r="G146" s="46">
        <f t="shared" si="155"/>
        <v>0</v>
      </c>
      <c r="H146" s="7"/>
      <c r="I146" s="46">
        <f t="shared" si="156"/>
        <v>0</v>
      </c>
      <c r="J146" s="47">
        <v>0</v>
      </c>
      <c r="K146" s="47">
        <f t="shared" si="157"/>
        <v>0</v>
      </c>
      <c r="L146" s="47">
        <f t="shared" si="158"/>
        <v>0</v>
      </c>
      <c r="M146" s="47">
        <f t="shared" si="159"/>
        <v>0</v>
      </c>
      <c r="N146" s="47">
        <f t="shared" si="160"/>
        <v>0</v>
      </c>
      <c r="O146" s="47">
        <f t="shared" si="161"/>
        <v>0</v>
      </c>
      <c r="P146" s="47">
        <v>0</v>
      </c>
      <c r="Q146" s="47">
        <f t="shared" si="162"/>
        <v>0</v>
      </c>
      <c r="R146" s="47">
        <v>0</v>
      </c>
      <c r="S146" s="47">
        <f t="shared" si="163"/>
        <v>0</v>
      </c>
      <c r="T146" s="47">
        <v>0</v>
      </c>
      <c r="U146" s="47">
        <f t="shared" si="164"/>
        <v>0</v>
      </c>
      <c r="V146" s="47">
        <v>0</v>
      </c>
      <c r="W146" s="47">
        <f t="shared" si="165"/>
        <v>0</v>
      </c>
      <c r="X146" s="47">
        <v>0</v>
      </c>
      <c r="Y146" s="47">
        <f t="shared" si="166"/>
        <v>0</v>
      </c>
      <c r="Z146" s="47">
        <f t="shared" si="167"/>
        <v>0</v>
      </c>
      <c r="AA146" s="47">
        <f t="shared" si="168"/>
        <v>0</v>
      </c>
      <c r="AB146" s="47">
        <f t="shared" si="169"/>
        <v>0</v>
      </c>
      <c r="AC146" s="47">
        <f t="shared" si="170"/>
        <v>0</v>
      </c>
      <c r="AD146" s="47">
        <v>0</v>
      </c>
      <c r="AE146" s="47">
        <f t="shared" si="171"/>
        <v>0</v>
      </c>
      <c r="AF146" s="47">
        <v>0</v>
      </c>
      <c r="AG146" s="47">
        <f t="shared" si="172"/>
        <v>0</v>
      </c>
      <c r="AH146" s="47">
        <v>0</v>
      </c>
      <c r="AI146" s="47">
        <f t="shared" si="173"/>
        <v>0</v>
      </c>
      <c r="AJ146" s="47">
        <v>0</v>
      </c>
      <c r="AK146" s="47">
        <f t="shared" si="174"/>
        <v>0</v>
      </c>
      <c r="AL146" s="47">
        <v>0</v>
      </c>
      <c r="AM146" s="47">
        <f t="shared" si="175"/>
        <v>0</v>
      </c>
      <c r="AN146" s="47">
        <v>0</v>
      </c>
      <c r="AO146" s="47">
        <f t="shared" si="176"/>
        <v>0</v>
      </c>
      <c r="AP146" s="47">
        <v>0</v>
      </c>
      <c r="AQ146" s="47">
        <f t="shared" si="177"/>
        <v>0</v>
      </c>
      <c r="AR146" s="47">
        <v>0</v>
      </c>
      <c r="AS146" s="47">
        <f t="shared" si="178"/>
        <v>0</v>
      </c>
      <c r="AT146" s="47">
        <v>0</v>
      </c>
      <c r="AU146" s="47">
        <f t="shared" si="179"/>
        <v>0</v>
      </c>
      <c r="AV146" s="47">
        <v>0</v>
      </c>
      <c r="AW146" s="47">
        <f t="shared" si="180"/>
        <v>0</v>
      </c>
      <c r="AX146" s="47">
        <v>0</v>
      </c>
      <c r="AY146" s="47">
        <f t="shared" si="181"/>
        <v>0</v>
      </c>
      <c r="AZ146" s="47">
        <v>0</v>
      </c>
      <c r="BA146" s="47">
        <f t="shared" si="182"/>
        <v>0</v>
      </c>
      <c r="BB146" s="48">
        <f t="shared" si="183"/>
        <v>0</v>
      </c>
      <c r="BC146" s="49">
        <f t="shared" si="184"/>
        <v>0</v>
      </c>
      <c r="BD146" s="7" t="e">
        <f t="shared" si="185"/>
        <v>#DIV/0!</v>
      </c>
      <c r="BE146" s="47">
        <f t="shared" si="186"/>
        <v>0</v>
      </c>
      <c r="BF146" s="47">
        <f t="shared" si="187"/>
        <v>0</v>
      </c>
      <c r="BG146" s="50">
        <f t="shared" si="188"/>
        <v>0</v>
      </c>
      <c r="BH146" s="50">
        <f t="shared" si="189"/>
        <v>0</v>
      </c>
      <c r="BI146" s="50">
        <f t="shared" si="190"/>
        <v>0</v>
      </c>
      <c r="BJ146" s="50">
        <f t="shared" si="191"/>
        <v>0</v>
      </c>
      <c r="BK146" s="50">
        <f t="shared" si="192"/>
        <v>0</v>
      </c>
      <c r="BL146" s="50">
        <f t="shared" si="193"/>
        <v>0</v>
      </c>
      <c r="BM146" s="51">
        <f t="shared" si="194"/>
        <v>0</v>
      </c>
      <c r="BN146" s="52">
        <f t="shared" si="195"/>
        <v>0</v>
      </c>
      <c r="BO146" s="52">
        <f t="shared" si="196"/>
        <v>0</v>
      </c>
      <c r="BP146" s="51">
        <f t="shared" si="197"/>
        <v>0.32</v>
      </c>
      <c r="BQ146" s="53">
        <f t="shared" si="198"/>
        <v>0</v>
      </c>
      <c r="BR146" s="53">
        <f t="shared" si="199"/>
        <v>0</v>
      </c>
      <c r="BS146" s="54">
        <f t="shared" si="200"/>
        <v>0</v>
      </c>
      <c r="BT146" s="55">
        <f t="shared" si="201"/>
        <v>0</v>
      </c>
      <c r="BU146" s="10" t="e">
        <f t="shared" si="202"/>
        <v>#DIV/0!</v>
      </c>
      <c r="BV146" s="3"/>
    </row>
    <row r="147" spans="1:74" ht="11.65" hidden="1">
      <c r="A147" s="646"/>
      <c r="B147" s="61"/>
      <c r="C147" s="56"/>
      <c r="D147" s="44"/>
      <c r="E147" s="7"/>
      <c r="F147" s="45"/>
      <c r="G147" s="46">
        <f t="shared" si="155"/>
        <v>0</v>
      </c>
      <c r="H147" s="7"/>
      <c r="I147" s="46">
        <f t="shared" si="156"/>
        <v>0</v>
      </c>
      <c r="J147" s="47">
        <v>0</v>
      </c>
      <c r="K147" s="47">
        <f t="shared" si="157"/>
        <v>0</v>
      </c>
      <c r="L147" s="47">
        <f t="shared" si="158"/>
        <v>0</v>
      </c>
      <c r="M147" s="47">
        <f t="shared" si="159"/>
        <v>0</v>
      </c>
      <c r="N147" s="47">
        <f t="shared" si="160"/>
        <v>0</v>
      </c>
      <c r="O147" s="47">
        <f t="shared" si="161"/>
        <v>0</v>
      </c>
      <c r="P147" s="47">
        <v>0</v>
      </c>
      <c r="Q147" s="47">
        <f t="shared" si="162"/>
        <v>0</v>
      </c>
      <c r="R147" s="47">
        <v>0</v>
      </c>
      <c r="S147" s="47">
        <f t="shared" si="163"/>
        <v>0</v>
      </c>
      <c r="T147" s="47">
        <v>0</v>
      </c>
      <c r="U147" s="47">
        <f t="shared" si="164"/>
        <v>0</v>
      </c>
      <c r="V147" s="47">
        <v>0</v>
      </c>
      <c r="W147" s="47">
        <f t="shared" si="165"/>
        <v>0</v>
      </c>
      <c r="X147" s="47">
        <v>0</v>
      </c>
      <c r="Y147" s="47">
        <f t="shared" si="166"/>
        <v>0</v>
      </c>
      <c r="Z147" s="47">
        <f t="shared" si="167"/>
        <v>0</v>
      </c>
      <c r="AA147" s="47">
        <f t="shared" si="168"/>
        <v>0</v>
      </c>
      <c r="AB147" s="47">
        <f t="shared" si="169"/>
        <v>0</v>
      </c>
      <c r="AC147" s="47">
        <f t="shared" si="170"/>
        <v>0</v>
      </c>
      <c r="AD147" s="47">
        <v>0</v>
      </c>
      <c r="AE147" s="47">
        <f t="shared" si="171"/>
        <v>0</v>
      </c>
      <c r="AF147" s="47">
        <v>0</v>
      </c>
      <c r="AG147" s="47">
        <f t="shared" si="172"/>
        <v>0</v>
      </c>
      <c r="AH147" s="47">
        <v>0</v>
      </c>
      <c r="AI147" s="47">
        <f t="shared" si="173"/>
        <v>0</v>
      </c>
      <c r="AJ147" s="47">
        <v>0</v>
      </c>
      <c r="AK147" s="47">
        <f t="shared" si="174"/>
        <v>0</v>
      </c>
      <c r="AL147" s="47">
        <v>0</v>
      </c>
      <c r="AM147" s="47">
        <f t="shared" si="175"/>
        <v>0</v>
      </c>
      <c r="AN147" s="47">
        <v>0</v>
      </c>
      <c r="AO147" s="47">
        <f t="shared" si="176"/>
        <v>0</v>
      </c>
      <c r="AP147" s="47">
        <v>0</v>
      </c>
      <c r="AQ147" s="47">
        <f t="shared" si="177"/>
        <v>0</v>
      </c>
      <c r="AR147" s="47">
        <v>0</v>
      </c>
      <c r="AS147" s="47">
        <f t="shared" si="178"/>
        <v>0</v>
      </c>
      <c r="AT147" s="47">
        <v>0</v>
      </c>
      <c r="AU147" s="47">
        <f t="shared" si="179"/>
        <v>0</v>
      </c>
      <c r="AV147" s="47">
        <v>0</v>
      </c>
      <c r="AW147" s="47">
        <f t="shared" si="180"/>
        <v>0</v>
      </c>
      <c r="AX147" s="47">
        <v>0</v>
      </c>
      <c r="AY147" s="47">
        <f t="shared" si="181"/>
        <v>0</v>
      </c>
      <c r="AZ147" s="47">
        <v>0</v>
      </c>
      <c r="BA147" s="47">
        <f t="shared" si="182"/>
        <v>0</v>
      </c>
      <c r="BB147" s="48">
        <f t="shared" si="183"/>
        <v>0</v>
      </c>
      <c r="BC147" s="49">
        <f t="shared" si="184"/>
        <v>0</v>
      </c>
      <c r="BD147" s="7" t="e">
        <f t="shared" si="185"/>
        <v>#DIV/0!</v>
      </c>
      <c r="BE147" s="47">
        <f t="shared" si="186"/>
        <v>0</v>
      </c>
      <c r="BF147" s="47">
        <f t="shared" si="187"/>
        <v>0</v>
      </c>
      <c r="BG147" s="50">
        <f t="shared" si="188"/>
        <v>0</v>
      </c>
      <c r="BH147" s="50">
        <f t="shared" si="189"/>
        <v>0</v>
      </c>
      <c r="BI147" s="50">
        <f t="shared" si="190"/>
        <v>0</v>
      </c>
      <c r="BJ147" s="50">
        <f t="shared" si="191"/>
        <v>0</v>
      </c>
      <c r="BK147" s="50">
        <f t="shared" si="192"/>
        <v>0</v>
      </c>
      <c r="BL147" s="50">
        <f t="shared" si="193"/>
        <v>0</v>
      </c>
      <c r="BM147" s="51">
        <f t="shared" si="194"/>
        <v>0</v>
      </c>
      <c r="BN147" s="52">
        <f t="shared" si="195"/>
        <v>0</v>
      </c>
      <c r="BO147" s="52">
        <f t="shared" si="196"/>
        <v>0</v>
      </c>
      <c r="BP147" s="51">
        <f t="shared" si="197"/>
        <v>0.32</v>
      </c>
      <c r="BQ147" s="53">
        <f t="shared" si="198"/>
        <v>0</v>
      </c>
      <c r="BR147" s="53">
        <f t="shared" si="199"/>
        <v>0</v>
      </c>
      <c r="BS147" s="54">
        <f t="shared" si="200"/>
        <v>0</v>
      </c>
      <c r="BT147" s="55">
        <f t="shared" si="201"/>
        <v>0</v>
      </c>
      <c r="BU147" s="10" t="e">
        <f t="shared" si="202"/>
        <v>#DIV/0!</v>
      </c>
      <c r="BV147" s="3"/>
    </row>
    <row r="148" spans="1:74" ht="11.65" hidden="1">
      <c r="A148" s="646"/>
      <c r="B148" s="61"/>
      <c r="C148" s="56"/>
      <c r="D148" s="44"/>
      <c r="E148" s="7"/>
      <c r="F148" s="45"/>
      <c r="G148" s="46">
        <f t="shared" si="155"/>
        <v>0</v>
      </c>
      <c r="H148" s="7"/>
      <c r="I148" s="46">
        <f t="shared" si="156"/>
        <v>0</v>
      </c>
      <c r="J148" s="47">
        <v>0</v>
      </c>
      <c r="K148" s="47">
        <f t="shared" si="157"/>
        <v>0</v>
      </c>
      <c r="L148" s="47">
        <f t="shared" si="158"/>
        <v>0</v>
      </c>
      <c r="M148" s="47">
        <f t="shared" si="159"/>
        <v>0</v>
      </c>
      <c r="N148" s="47">
        <f t="shared" si="160"/>
        <v>0</v>
      </c>
      <c r="O148" s="47">
        <f t="shared" si="161"/>
        <v>0</v>
      </c>
      <c r="P148" s="47">
        <v>0</v>
      </c>
      <c r="Q148" s="47">
        <f t="shared" si="162"/>
        <v>0</v>
      </c>
      <c r="R148" s="47">
        <v>0</v>
      </c>
      <c r="S148" s="47">
        <f t="shared" si="163"/>
        <v>0</v>
      </c>
      <c r="T148" s="47">
        <v>0</v>
      </c>
      <c r="U148" s="47">
        <f t="shared" si="164"/>
        <v>0</v>
      </c>
      <c r="V148" s="47">
        <v>0</v>
      </c>
      <c r="W148" s="47">
        <f t="shared" si="165"/>
        <v>0</v>
      </c>
      <c r="X148" s="47">
        <v>0</v>
      </c>
      <c r="Y148" s="47">
        <f t="shared" si="166"/>
        <v>0</v>
      </c>
      <c r="Z148" s="47">
        <f t="shared" si="167"/>
        <v>0</v>
      </c>
      <c r="AA148" s="47">
        <f t="shared" si="168"/>
        <v>0</v>
      </c>
      <c r="AB148" s="47">
        <f t="shared" si="169"/>
        <v>0</v>
      </c>
      <c r="AC148" s="47">
        <f t="shared" si="170"/>
        <v>0</v>
      </c>
      <c r="AD148" s="47">
        <v>0</v>
      </c>
      <c r="AE148" s="47">
        <f t="shared" si="171"/>
        <v>0</v>
      </c>
      <c r="AF148" s="47">
        <v>0</v>
      </c>
      <c r="AG148" s="47">
        <f t="shared" si="172"/>
        <v>0</v>
      </c>
      <c r="AH148" s="47">
        <v>0</v>
      </c>
      <c r="AI148" s="47">
        <f t="shared" si="173"/>
        <v>0</v>
      </c>
      <c r="AJ148" s="47">
        <v>0</v>
      </c>
      <c r="AK148" s="47">
        <f t="shared" si="174"/>
        <v>0</v>
      </c>
      <c r="AL148" s="47">
        <v>0</v>
      </c>
      <c r="AM148" s="47">
        <f t="shared" si="175"/>
        <v>0</v>
      </c>
      <c r="AN148" s="47">
        <v>0</v>
      </c>
      <c r="AO148" s="47">
        <f t="shared" si="176"/>
        <v>0</v>
      </c>
      <c r="AP148" s="47">
        <v>0</v>
      </c>
      <c r="AQ148" s="47">
        <f t="shared" si="177"/>
        <v>0</v>
      </c>
      <c r="AR148" s="47">
        <v>0</v>
      </c>
      <c r="AS148" s="47">
        <f t="shared" si="178"/>
        <v>0</v>
      </c>
      <c r="AT148" s="47">
        <v>0</v>
      </c>
      <c r="AU148" s="47">
        <f t="shared" si="179"/>
        <v>0</v>
      </c>
      <c r="AV148" s="47">
        <v>0</v>
      </c>
      <c r="AW148" s="47">
        <f t="shared" si="180"/>
        <v>0</v>
      </c>
      <c r="AX148" s="47">
        <v>0</v>
      </c>
      <c r="AY148" s="47">
        <f t="shared" si="181"/>
        <v>0</v>
      </c>
      <c r="AZ148" s="47">
        <v>0</v>
      </c>
      <c r="BA148" s="47">
        <f t="shared" si="182"/>
        <v>0</v>
      </c>
      <c r="BB148" s="48">
        <f t="shared" si="183"/>
        <v>0</v>
      </c>
      <c r="BC148" s="49">
        <f t="shared" si="184"/>
        <v>0</v>
      </c>
      <c r="BD148" s="7" t="e">
        <f t="shared" si="185"/>
        <v>#DIV/0!</v>
      </c>
      <c r="BE148" s="47">
        <f t="shared" si="186"/>
        <v>0</v>
      </c>
      <c r="BF148" s="47">
        <f t="shared" si="187"/>
        <v>0</v>
      </c>
      <c r="BG148" s="50">
        <f t="shared" si="188"/>
        <v>0</v>
      </c>
      <c r="BH148" s="50">
        <f t="shared" si="189"/>
        <v>0</v>
      </c>
      <c r="BI148" s="50">
        <f t="shared" si="190"/>
        <v>0</v>
      </c>
      <c r="BJ148" s="50">
        <f t="shared" si="191"/>
        <v>0</v>
      </c>
      <c r="BK148" s="50">
        <f t="shared" si="192"/>
        <v>0</v>
      </c>
      <c r="BL148" s="50">
        <f t="shared" si="193"/>
        <v>0</v>
      </c>
      <c r="BM148" s="51">
        <f t="shared" si="194"/>
        <v>0</v>
      </c>
      <c r="BN148" s="52">
        <f t="shared" si="195"/>
        <v>0</v>
      </c>
      <c r="BO148" s="52">
        <f t="shared" si="196"/>
        <v>0</v>
      </c>
      <c r="BP148" s="51">
        <f t="shared" si="197"/>
        <v>0.32</v>
      </c>
      <c r="BQ148" s="53">
        <f t="shared" si="198"/>
        <v>0</v>
      </c>
      <c r="BR148" s="53">
        <f t="shared" si="199"/>
        <v>0</v>
      </c>
      <c r="BS148" s="54">
        <f t="shared" si="200"/>
        <v>0</v>
      </c>
      <c r="BT148" s="55">
        <f t="shared" si="201"/>
        <v>0</v>
      </c>
      <c r="BU148" s="10" t="e">
        <f t="shared" si="202"/>
        <v>#DIV/0!</v>
      </c>
      <c r="BV148" s="3"/>
    </row>
    <row r="149" spans="1:74" ht="11.65" hidden="1">
      <c r="A149" s="646"/>
      <c r="B149" s="61"/>
      <c r="C149" s="56"/>
      <c r="D149" s="44"/>
      <c r="E149" s="7"/>
      <c r="F149" s="45"/>
      <c r="G149" s="46">
        <f t="shared" si="155"/>
        <v>0</v>
      </c>
      <c r="H149" s="7"/>
      <c r="I149" s="46">
        <f t="shared" si="156"/>
        <v>0</v>
      </c>
      <c r="J149" s="47">
        <v>0</v>
      </c>
      <c r="K149" s="47">
        <f t="shared" si="157"/>
        <v>0</v>
      </c>
      <c r="L149" s="47">
        <f t="shared" si="158"/>
        <v>0</v>
      </c>
      <c r="M149" s="47">
        <f t="shared" si="159"/>
        <v>0</v>
      </c>
      <c r="N149" s="47">
        <f t="shared" si="160"/>
        <v>0</v>
      </c>
      <c r="O149" s="47">
        <f t="shared" si="161"/>
        <v>0</v>
      </c>
      <c r="P149" s="47">
        <v>0</v>
      </c>
      <c r="Q149" s="47">
        <f t="shared" si="162"/>
        <v>0</v>
      </c>
      <c r="R149" s="47">
        <v>0</v>
      </c>
      <c r="S149" s="47">
        <f t="shared" si="163"/>
        <v>0</v>
      </c>
      <c r="T149" s="47">
        <v>0</v>
      </c>
      <c r="U149" s="47">
        <f t="shared" si="164"/>
        <v>0</v>
      </c>
      <c r="V149" s="47">
        <v>0</v>
      </c>
      <c r="W149" s="47">
        <f t="shared" si="165"/>
        <v>0</v>
      </c>
      <c r="X149" s="47">
        <v>0</v>
      </c>
      <c r="Y149" s="47">
        <f t="shared" si="166"/>
        <v>0</v>
      </c>
      <c r="Z149" s="47">
        <f t="shared" si="167"/>
        <v>0</v>
      </c>
      <c r="AA149" s="47">
        <f t="shared" si="168"/>
        <v>0</v>
      </c>
      <c r="AB149" s="47">
        <f t="shared" si="169"/>
        <v>0</v>
      </c>
      <c r="AC149" s="47">
        <f t="shared" si="170"/>
        <v>0</v>
      </c>
      <c r="AD149" s="47">
        <v>0</v>
      </c>
      <c r="AE149" s="47">
        <f t="shared" si="171"/>
        <v>0</v>
      </c>
      <c r="AF149" s="47">
        <v>0</v>
      </c>
      <c r="AG149" s="47">
        <f t="shared" si="172"/>
        <v>0</v>
      </c>
      <c r="AH149" s="47">
        <v>0</v>
      </c>
      <c r="AI149" s="47">
        <f t="shared" si="173"/>
        <v>0</v>
      </c>
      <c r="AJ149" s="47">
        <v>0</v>
      </c>
      <c r="AK149" s="47">
        <f t="shared" si="174"/>
        <v>0</v>
      </c>
      <c r="AL149" s="47">
        <v>0</v>
      </c>
      <c r="AM149" s="47">
        <f t="shared" si="175"/>
        <v>0</v>
      </c>
      <c r="AN149" s="47">
        <v>0</v>
      </c>
      <c r="AO149" s="47">
        <f t="shared" si="176"/>
        <v>0</v>
      </c>
      <c r="AP149" s="47">
        <v>0</v>
      </c>
      <c r="AQ149" s="47">
        <f t="shared" si="177"/>
        <v>0</v>
      </c>
      <c r="AR149" s="47">
        <v>0</v>
      </c>
      <c r="AS149" s="47">
        <f t="shared" si="178"/>
        <v>0</v>
      </c>
      <c r="AT149" s="47">
        <v>0</v>
      </c>
      <c r="AU149" s="47">
        <f t="shared" si="179"/>
        <v>0</v>
      </c>
      <c r="AV149" s="47">
        <v>0</v>
      </c>
      <c r="AW149" s="47">
        <f t="shared" si="180"/>
        <v>0</v>
      </c>
      <c r="AX149" s="47">
        <v>0</v>
      </c>
      <c r="AY149" s="47">
        <f t="shared" si="181"/>
        <v>0</v>
      </c>
      <c r="AZ149" s="47">
        <v>0</v>
      </c>
      <c r="BA149" s="47">
        <f t="shared" si="182"/>
        <v>0</v>
      </c>
      <c r="BB149" s="48">
        <f t="shared" si="183"/>
        <v>0</v>
      </c>
      <c r="BC149" s="49">
        <f t="shared" si="184"/>
        <v>0</v>
      </c>
      <c r="BD149" s="7" t="e">
        <f t="shared" si="185"/>
        <v>#DIV/0!</v>
      </c>
      <c r="BE149" s="47">
        <f t="shared" si="186"/>
        <v>0</v>
      </c>
      <c r="BF149" s="47">
        <f t="shared" si="187"/>
        <v>0</v>
      </c>
      <c r="BG149" s="50">
        <f t="shared" si="188"/>
        <v>0</v>
      </c>
      <c r="BH149" s="50">
        <f t="shared" si="189"/>
        <v>0</v>
      </c>
      <c r="BI149" s="50">
        <f t="shared" si="190"/>
        <v>0</v>
      </c>
      <c r="BJ149" s="50">
        <f t="shared" si="191"/>
        <v>0</v>
      </c>
      <c r="BK149" s="50">
        <f t="shared" si="192"/>
        <v>0</v>
      </c>
      <c r="BL149" s="50">
        <f t="shared" si="193"/>
        <v>0</v>
      </c>
      <c r="BM149" s="51">
        <f t="shared" si="194"/>
        <v>0</v>
      </c>
      <c r="BN149" s="52">
        <f t="shared" si="195"/>
        <v>0</v>
      </c>
      <c r="BO149" s="52">
        <f t="shared" si="196"/>
        <v>0</v>
      </c>
      <c r="BP149" s="51">
        <f t="shared" si="197"/>
        <v>0.32</v>
      </c>
      <c r="BQ149" s="53">
        <f t="shared" si="198"/>
        <v>0</v>
      </c>
      <c r="BR149" s="53">
        <f t="shared" si="199"/>
        <v>0</v>
      </c>
      <c r="BS149" s="54">
        <f t="shared" si="200"/>
        <v>0</v>
      </c>
      <c r="BT149" s="55">
        <f t="shared" si="201"/>
        <v>0</v>
      </c>
      <c r="BU149" s="10" t="e">
        <f t="shared" si="202"/>
        <v>#DIV/0!</v>
      </c>
      <c r="BV149" s="3"/>
    </row>
    <row r="150" spans="1:74" ht="11.65" hidden="1">
      <c r="A150" s="646"/>
      <c r="B150" s="61"/>
      <c r="C150" s="56"/>
      <c r="D150" s="44"/>
      <c r="E150" s="7"/>
      <c r="F150" s="45"/>
      <c r="G150" s="46">
        <f t="shared" si="155"/>
        <v>0</v>
      </c>
      <c r="H150" s="7"/>
      <c r="I150" s="46">
        <f t="shared" si="156"/>
        <v>0</v>
      </c>
      <c r="J150" s="47">
        <v>0</v>
      </c>
      <c r="K150" s="47">
        <f t="shared" si="157"/>
        <v>0</v>
      </c>
      <c r="L150" s="47">
        <f t="shared" si="158"/>
        <v>0</v>
      </c>
      <c r="M150" s="47">
        <f t="shared" si="159"/>
        <v>0</v>
      </c>
      <c r="N150" s="47">
        <f t="shared" si="160"/>
        <v>0</v>
      </c>
      <c r="O150" s="47">
        <f t="shared" si="161"/>
        <v>0</v>
      </c>
      <c r="P150" s="47">
        <v>0</v>
      </c>
      <c r="Q150" s="47">
        <f t="shared" si="162"/>
        <v>0</v>
      </c>
      <c r="R150" s="47">
        <v>0</v>
      </c>
      <c r="S150" s="47">
        <f t="shared" si="163"/>
        <v>0</v>
      </c>
      <c r="T150" s="47">
        <v>0</v>
      </c>
      <c r="U150" s="47">
        <f t="shared" si="164"/>
        <v>0</v>
      </c>
      <c r="V150" s="47">
        <v>0</v>
      </c>
      <c r="W150" s="47">
        <f t="shared" si="165"/>
        <v>0</v>
      </c>
      <c r="X150" s="47">
        <v>0</v>
      </c>
      <c r="Y150" s="47">
        <f t="shared" si="166"/>
        <v>0</v>
      </c>
      <c r="Z150" s="47">
        <f t="shared" si="167"/>
        <v>0</v>
      </c>
      <c r="AA150" s="47">
        <f t="shared" si="168"/>
        <v>0</v>
      </c>
      <c r="AB150" s="47">
        <f t="shared" si="169"/>
        <v>0</v>
      </c>
      <c r="AC150" s="47">
        <f t="shared" si="170"/>
        <v>0</v>
      </c>
      <c r="AD150" s="47">
        <v>0</v>
      </c>
      <c r="AE150" s="47">
        <f t="shared" si="171"/>
        <v>0</v>
      </c>
      <c r="AF150" s="47">
        <v>0</v>
      </c>
      <c r="AG150" s="47">
        <f t="shared" si="172"/>
        <v>0</v>
      </c>
      <c r="AH150" s="47">
        <v>0</v>
      </c>
      <c r="AI150" s="47">
        <f t="shared" si="173"/>
        <v>0</v>
      </c>
      <c r="AJ150" s="47">
        <v>0</v>
      </c>
      <c r="AK150" s="47">
        <f t="shared" si="174"/>
        <v>0</v>
      </c>
      <c r="AL150" s="47">
        <v>0</v>
      </c>
      <c r="AM150" s="47">
        <f t="shared" si="175"/>
        <v>0</v>
      </c>
      <c r="AN150" s="47">
        <v>0</v>
      </c>
      <c r="AO150" s="47">
        <f t="shared" si="176"/>
        <v>0</v>
      </c>
      <c r="AP150" s="47">
        <v>0</v>
      </c>
      <c r="AQ150" s="47">
        <f t="shared" si="177"/>
        <v>0</v>
      </c>
      <c r="AR150" s="47">
        <v>0</v>
      </c>
      <c r="AS150" s="47">
        <f t="shared" si="178"/>
        <v>0</v>
      </c>
      <c r="AT150" s="47">
        <v>0</v>
      </c>
      <c r="AU150" s="47">
        <f t="shared" si="179"/>
        <v>0</v>
      </c>
      <c r="AV150" s="47">
        <v>0</v>
      </c>
      <c r="AW150" s="47">
        <f t="shared" si="180"/>
        <v>0</v>
      </c>
      <c r="AX150" s="47">
        <v>0</v>
      </c>
      <c r="AY150" s="47">
        <f t="shared" si="181"/>
        <v>0</v>
      </c>
      <c r="AZ150" s="47">
        <v>0</v>
      </c>
      <c r="BA150" s="47">
        <f t="shared" si="182"/>
        <v>0</v>
      </c>
      <c r="BB150" s="48">
        <f t="shared" si="183"/>
        <v>0</v>
      </c>
      <c r="BC150" s="49">
        <f t="shared" si="184"/>
        <v>0</v>
      </c>
      <c r="BD150" s="7" t="e">
        <f t="shared" si="185"/>
        <v>#DIV/0!</v>
      </c>
      <c r="BE150" s="47">
        <f t="shared" si="186"/>
        <v>0</v>
      </c>
      <c r="BF150" s="47">
        <f t="shared" si="187"/>
        <v>0</v>
      </c>
      <c r="BG150" s="50">
        <f t="shared" si="188"/>
        <v>0</v>
      </c>
      <c r="BH150" s="50">
        <f t="shared" si="189"/>
        <v>0</v>
      </c>
      <c r="BI150" s="50">
        <f t="shared" si="190"/>
        <v>0</v>
      </c>
      <c r="BJ150" s="50">
        <f t="shared" si="191"/>
        <v>0</v>
      </c>
      <c r="BK150" s="50">
        <f t="shared" si="192"/>
        <v>0</v>
      </c>
      <c r="BL150" s="50">
        <f t="shared" si="193"/>
        <v>0</v>
      </c>
      <c r="BM150" s="51">
        <f t="shared" si="194"/>
        <v>0</v>
      </c>
      <c r="BN150" s="52">
        <f t="shared" si="195"/>
        <v>0</v>
      </c>
      <c r="BO150" s="52">
        <f t="shared" si="196"/>
        <v>0</v>
      </c>
      <c r="BP150" s="51">
        <f t="shared" si="197"/>
        <v>0.32</v>
      </c>
      <c r="BQ150" s="53">
        <f t="shared" si="198"/>
        <v>0</v>
      </c>
      <c r="BR150" s="53">
        <f t="shared" si="199"/>
        <v>0</v>
      </c>
      <c r="BS150" s="54">
        <f t="shared" si="200"/>
        <v>0</v>
      </c>
      <c r="BT150" s="55">
        <f t="shared" si="201"/>
        <v>0</v>
      </c>
      <c r="BU150" s="10" t="e">
        <f t="shared" si="202"/>
        <v>#DIV/0!</v>
      </c>
      <c r="BV150" s="3"/>
    </row>
    <row r="151" spans="1:74" ht="11.65" hidden="1">
      <c r="A151" s="646"/>
      <c r="B151" s="61"/>
      <c r="C151" s="56"/>
      <c r="D151" s="44"/>
      <c r="E151" s="7"/>
      <c r="F151" s="45"/>
      <c r="G151" s="46">
        <f t="shared" si="155"/>
        <v>0</v>
      </c>
      <c r="H151" s="7"/>
      <c r="I151" s="46">
        <f t="shared" si="156"/>
        <v>0</v>
      </c>
      <c r="J151" s="47">
        <v>0</v>
      </c>
      <c r="K151" s="47">
        <f t="shared" si="157"/>
        <v>0</v>
      </c>
      <c r="L151" s="47">
        <f t="shared" si="158"/>
        <v>0</v>
      </c>
      <c r="M151" s="47">
        <f t="shared" si="159"/>
        <v>0</v>
      </c>
      <c r="N151" s="47">
        <f t="shared" si="160"/>
        <v>0</v>
      </c>
      <c r="O151" s="47">
        <f t="shared" si="161"/>
        <v>0</v>
      </c>
      <c r="P151" s="47">
        <v>0</v>
      </c>
      <c r="Q151" s="47">
        <f t="shared" si="162"/>
        <v>0</v>
      </c>
      <c r="R151" s="47">
        <v>0</v>
      </c>
      <c r="S151" s="47">
        <f t="shared" si="163"/>
        <v>0</v>
      </c>
      <c r="T151" s="47">
        <v>0</v>
      </c>
      <c r="U151" s="47">
        <f t="shared" si="164"/>
        <v>0</v>
      </c>
      <c r="V151" s="47">
        <v>0</v>
      </c>
      <c r="W151" s="47">
        <f t="shared" si="165"/>
        <v>0</v>
      </c>
      <c r="X151" s="47">
        <v>0</v>
      </c>
      <c r="Y151" s="47">
        <f t="shared" si="166"/>
        <v>0</v>
      </c>
      <c r="Z151" s="47">
        <f t="shared" si="167"/>
        <v>0</v>
      </c>
      <c r="AA151" s="47">
        <f t="shared" si="168"/>
        <v>0</v>
      </c>
      <c r="AB151" s="47">
        <f t="shared" si="169"/>
        <v>0</v>
      </c>
      <c r="AC151" s="47">
        <f t="shared" si="170"/>
        <v>0</v>
      </c>
      <c r="AD151" s="47">
        <v>0</v>
      </c>
      <c r="AE151" s="47">
        <f t="shared" si="171"/>
        <v>0</v>
      </c>
      <c r="AF151" s="47">
        <v>0</v>
      </c>
      <c r="AG151" s="47">
        <f t="shared" si="172"/>
        <v>0</v>
      </c>
      <c r="AH151" s="47">
        <v>0</v>
      </c>
      <c r="AI151" s="47">
        <f t="shared" si="173"/>
        <v>0</v>
      </c>
      <c r="AJ151" s="47">
        <v>0</v>
      </c>
      <c r="AK151" s="47">
        <f t="shared" si="174"/>
        <v>0</v>
      </c>
      <c r="AL151" s="47">
        <v>0</v>
      </c>
      <c r="AM151" s="47">
        <f t="shared" si="175"/>
        <v>0</v>
      </c>
      <c r="AN151" s="47">
        <v>0</v>
      </c>
      <c r="AO151" s="47">
        <f t="shared" si="176"/>
        <v>0</v>
      </c>
      <c r="AP151" s="47">
        <v>0</v>
      </c>
      <c r="AQ151" s="47">
        <f t="shared" si="177"/>
        <v>0</v>
      </c>
      <c r="AR151" s="47">
        <v>0</v>
      </c>
      <c r="AS151" s="47">
        <f t="shared" si="178"/>
        <v>0</v>
      </c>
      <c r="AT151" s="47">
        <v>0</v>
      </c>
      <c r="AU151" s="47">
        <f t="shared" si="179"/>
        <v>0</v>
      </c>
      <c r="AV151" s="47">
        <v>0</v>
      </c>
      <c r="AW151" s="47">
        <f t="shared" si="180"/>
        <v>0</v>
      </c>
      <c r="AX151" s="47">
        <v>0</v>
      </c>
      <c r="AY151" s="47">
        <f t="shared" si="181"/>
        <v>0</v>
      </c>
      <c r="AZ151" s="47">
        <v>0</v>
      </c>
      <c r="BA151" s="47">
        <f t="shared" si="182"/>
        <v>0</v>
      </c>
      <c r="BB151" s="48">
        <f t="shared" si="183"/>
        <v>0</v>
      </c>
      <c r="BC151" s="49">
        <f t="shared" si="184"/>
        <v>0</v>
      </c>
      <c r="BD151" s="7" t="e">
        <f t="shared" si="185"/>
        <v>#DIV/0!</v>
      </c>
      <c r="BE151" s="47">
        <f t="shared" si="186"/>
        <v>0</v>
      </c>
      <c r="BF151" s="47">
        <f t="shared" si="187"/>
        <v>0</v>
      </c>
      <c r="BG151" s="50">
        <f t="shared" si="188"/>
        <v>0</v>
      </c>
      <c r="BH151" s="50">
        <f t="shared" si="189"/>
        <v>0</v>
      </c>
      <c r="BI151" s="50">
        <f t="shared" si="190"/>
        <v>0</v>
      </c>
      <c r="BJ151" s="50">
        <f t="shared" si="191"/>
        <v>0</v>
      </c>
      <c r="BK151" s="50">
        <f t="shared" si="192"/>
        <v>0</v>
      </c>
      <c r="BL151" s="50">
        <f t="shared" si="193"/>
        <v>0</v>
      </c>
      <c r="BM151" s="51">
        <f t="shared" si="194"/>
        <v>0</v>
      </c>
      <c r="BN151" s="52">
        <f t="shared" si="195"/>
        <v>0</v>
      </c>
      <c r="BO151" s="52">
        <f t="shared" si="196"/>
        <v>0</v>
      </c>
      <c r="BP151" s="51">
        <f t="shared" si="197"/>
        <v>0.32</v>
      </c>
      <c r="BQ151" s="53">
        <f t="shared" si="198"/>
        <v>0</v>
      </c>
      <c r="BR151" s="53">
        <f t="shared" si="199"/>
        <v>0</v>
      </c>
      <c r="BS151" s="54">
        <f t="shared" si="200"/>
        <v>0</v>
      </c>
      <c r="BT151" s="55">
        <f t="shared" si="201"/>
        <v>0</v>
      </c>
      <c r="BU151" s="10" t="e">
        <f t="shared" si="202"/>
        <v>#DIV/0!</v>
      </c>
      <c r="BV151" s="3"/>
    </row>
    <row r="152" spans="1:74" ht="11.65" hidden="1">
      <c r="A152" s="646"/>
      <c r="B152" s="61"/>
      <c r="C152" s="56"/>
      <c r="D152" s="44"/>
      <c r="E152" s="7"/>
      <c r="F152" s="45"/>
      <c r="G152" s="46">
        <f t="shared" si="155"/>
        <v>0</v>
      </c>
      <c r="H152" s="7"/>
      <c r="I152" s="46">
        <f t="shared" si="156"/>
        <v>0</v>
      </c>
      <c r="J152" s="47">
        <v>0</v>
      </c>
      <c r="K152" s="47">
        <f t="shared" si="157"/>
        <v>0</v>
      </c>
      <c r="L152" s="47">
        <f t="shared" si="158"/>
        <v>0</v>
      </c>
      <c r="M152" s="47">
        <f t="shared" si="159"/>
        <v>0</v>
      </c>
      <c r="N152" s="47">
        <f t="shared" si="160"/>
        <v>0</v>
      </c>
      <c r="O152" s="47">
        <f t="shared" si="161"/>
        <v>0</v>
      </c>
      <c r="P152" s="47">
        <v>0</v>
      </c>
      <c r="Q152" s="47">
        <f t="shared" si="162"/>
        <v>0</v>
      </c>
      <c r="R152" s="47">
        <v>0</v>
      </c>
      <c r="S152" s="47">
        <f t="shared" si="163"/>
        <v>0</v>
      </c>
      <c r="T152" s="47">
        <v>0</v>
      </c>
      <c r="U152" s="47">
        <f t="shared" si="164"/>
        <v>0</v>
      </c>
      <c r="V152" s="47">
        <v>0</v>
      </c>
      <c r="W152" s="47">
        <f t="shared" si="165"/>
        <v>0</v>
      </c>
      <c r="X152" s="47">
        <v>0</v>
      </c>
      <c r="Y152" s="47">
        <f t="shared" si="166"/>
        <v>0</v>
      </c>
      <c r="Z152" s="47">
        <f t="shared" si="167"/>
        <v>0</v>
      </c>
      <c r="AA152" s="47">
        <f t="shared" si="168"/>
        <v>0</v>
      </c>
      <c r="AB152" s="47">
        <f t="shared" si="169"/>
        <v>0</v>
      </c>
      <c r="AC152" s="47">
        <f t="shared" si="170"/>
        <v>0</v>
      </c>
      <c r="AD152" s="47">
        <v>0</v>
      </c>
      <c r="AE152" s="47">
        <f t="shared" si="171"/>
        <v>0</v>
      </c>
      <c r="AF152" s="47">
        <v>0</v>
      </c>
      <c r="AG152" s="47">
        <f t="shared" si="172"/>
        <v>0</v>
      </c>
      <c r="AH152" s="47">
        <v>0</v>
      </c>
      <c r="AI152" s="47">
        <f t="shared" si="173"/>
        <v>0</v>
      </c>
      <c r="AJ152" s="47">
        <v>0</v>
      </c>
      <c r="AK152" s="47">
        <f t="shared" si="174"/>
        <v>0</v>
      </c>
      <c r="AL152" s="47">
        <v>0</v>
      </c>
      <c r="AM152" s="47">
        <f t="shared" si="175"/>
        <v>0</v>
      </c>
      <c r="AN152" s="47">
        <v>0</v>
      </c>
      <c r="AO152" s="47">
        <f t="shared" si="176"/>
        <v>0</v>
      </c>
      <c r="AP152" s="47">
        <v>0</v>
      </c>
      <c r="AQ152" s="47">
        <f t="shared" si="177"/>
        <v>0</v>
      </c>
      <c r="AR152" s="47">
        <v>0</v>
      </c>
      <c r="AS152" s="47">
        <f t="shared" si="178"/>
        <v>0</v>
      </c>
      <c r="AT152" s="47">
        <v>0</v>
      </c>
      <c r="AU152" s="47">
        <f t="shared" si="179"/>
        <v>0</v>
      </c>
      <c r="AV152" s="47">
        <v>0</v>
      </c>
      <c r="AW152" s="47">
        <f t="shared" si="180"/>
        <v>0</v>
      </c>
      <c r="AX152" s="47">
        <v>0</v>
      </c>
      <c r="AY152" s="47">
        <f t="shared" si="181"/>
        <v>0</v>
      </c>
      <c r="AZ152" s="47">
        <v>0</v>
      </c>
      <c r="BA152" s="47">
        <f t="shared" si="182"/>
        <v>0</v>
      </c>
      <c r="BB152" s="48">
        <f t="shared" si="183"/>
        <v>0</v>
      </c>
      <c r="BC152" s="49">
        <f t="shared" si="184"/>
        <v>0</v>
      </c>
      <c r="BD152" s="7" t="e">
        <f t="shared" si="185"/>
        <v>#DIV/0!</v>
      </c>
      <c r="BE152" s="47">
        <f t="shared" si="186"/>
        <v>0</v>
      </c>
      <c r="BF152" s="47">
        <f t="shared" si="187"/>
        <v>0</v>
      </c>
      <c r="BG152" s="50">
        <f t="shared" si="188"/>
        <v>0</v>
      </c>
      <c r="BH152" s="50">
        <f t="shared" si="189"/>
        <v>0</v>
      </c>
      <c r="BI152" s="50">
        <f t="shared" si="190"/>
        <v>0</v>
      </c>
      <c r="BJ152" s="50">
        <f t="shared" si="191"/>
        <v>0</v>
      </c>
      <c r="BK152" s="50">
        <f t="shared" si="192"/>
        <v>0</v>
      </c>
      <c r="BL152" s="50">
        <f t="shared" si="193"/>
        <v>0</v>
      </c>
      <c r="BM152" s="51">
        <f t="shared" si="194"/>
        <v>0</v>
      </c>
      <c r="BN152" s="52">
        <f t="shared" si="195"/>
        <v>0</v>
      </c>
      <c r="BO152" s="52">
        <f t="shared" si="196"/>
        <v>0</v>
      </c>
      <c r="BP152" s="51">
        <f t="shared" si="197"/>
        <v>0.32</v>
      </c>
      <c r="BQ152" s="53">
        <f t="shared" si="198"/>
        <v>0</v>
      </c>
      <c r="BR152" s="53">
        <f t="shared" si="199"/>
        <v>0</v>
      </c>
      <c r="BS152" s="54">
        <f t="shared" si="200"/>
        <v>0</v>
      </c>
      <c r="BT152" s="55">
        <f t="shared" si="201"/>
        <v>0</v>
      </c>
      <c r="BU152" s="10" t="e">
        <f t="shared" si="202"/>
        <v>#DIV/0!</v>
      </c>
      <c r="BV152" s="3"/>
    </row>
    <row r="153" spans="1:74" ht="11.65" hidden="1">
      <c r="A153" s="646"/>
      <c r="B153" s="61"/>
      <c r="C153" s="56"/>
      <c r="D153" s="44"/>
      <c r="E153" s="7"/>
      <c r="F153" s="45"/>
      <c r="G153" s="46">
        <f t="shared" si="155"/>
        <v>0</v>
      </c>
      <c r="H153" s="7"/>
      <c r="I153" s="46">
        <f t="shared" si="156"/>
        <v>0</v>
      </c>
      <c r="J153" s="47">
        <v>0</v>
      </c>
      <c r="K153" s="47">
        <f t="shared" si="157"/>
        <v>0</v>
      </c>
      <c r="L153" s="47">
        <f t="shared" si="158"/>
        <v>0</v>
      </c>
      <c r="M153" s="47">
        <f t="shared" si="159"/>
        <v>0</v>
      </c>
      <c r="N153" s="47">
        <f t="shared" si="160"/>
        <v>0</v>
      </c>
      <c r="O153" s="47">
        <f t="shared" si="161"/>
        <v>0</v>
      </c>
      <c r="P153" s="47">
        <v>0</v>
      </c>
      <c r="Q153" s="47">
        <f t="shared" si="162"/>
        <v>0</v>
      </c>
      <c r="R153" s="47">
        <v>0</v>
      </c>
      <c r="S153" s="47">
        <f t="shared" si="163"/>
        <v>0</v>
      </c>
      <c r="T153" s="47">
        <v>0</v>
      </c>
      <c r="U153" s="47">
        <f t="shared" si="164"/>
        <v>0</v>
      </c>
      <c r="V153" s="47">
        <v>0</v>
      </c>
      <c r="W153" s="47">
        <f t="shared" si="165"/>
        <v>0</v>
      </c>
      <c r="X153" s="47">
        <v>0</v>
      </c>
      <c r="Y153" s="47">
        <f t="shared" si="166"/>
        <v>0</v>
      </c>
      <c r="Z153" s="47">
        <f t="shared" si="167"/>
        <v>0</v>
      </c>
      <c r="AA153" s="47">
        <f t="shared" si="168"/>
        <v>0</v>
      </c>
      <c r="AB153" s="47">
        <f t="shared" si="169"/>
        <v>0</v>
      </c>
      <c r="AC153" s="47">
        <f t="shared" si="170"/>
        <v>0</v>
      </c>
      <c r="AD153" s="47">
        <v>0</v>
      </c>
      <c r="AE153" s="47">
        <f t="shared" si="171"/>
        <v>0</v>
      </c>
      <c r="AF153" s="47">
        <v>0</v>
      </c>
      <c r="AG153" s="47">
        <f t="shared" si="172"/>
        <v>0</v>
      </c>
      <c r="AH153" s="47">
        <v>0</v>
      </c>
      <c r="AI153" s="47">
        <f t="shared" si="173"/>
        <v>0</v>
      </c>
      <c r="AJ153" s="47">
        <v>0</v>
      </c>
      <c r="AK153" s="47">
        <f t="shared" si="174"/>
        <v>0</v>
      </c>
      <c r="AL153" s="47">
        <v>0</v>
      </c>
      <c r="AM153" s="47">
        <f t="shared" si="175"/>
        <v>0</v>
      </c>
      <c r="AN153" s="47">
        <v>0</v>
      </c>
      <c r="AO153" s="47">
        <f t="shared" si="176"/>
        <v>0</v>
      </c>
      <c r="AP153" s="47">
        <v>0</v>
      </c>
      <c r="AQ153" s="47">
        <f t="shared" si="177"/>
        <v>0</v>
      </c>
      <c r="AR153" s="47">
        <v>0</v>
      </c>
      <c r="AS153" s="47">
        <f t="shared" si="178"/>
        <v>0</v>
      </c>
      <c r="AT153" s="47">
        <v>0</v>
      </c>
      <c r="AU153" s="47">
        <f t="shared" si="179"/>
        <v>0</v>
      </c>
      <c r="AV153" s="47">
        <v>0</v>
      </c>
      <c r="AW153" s="47">
        <f t="shared" si="180"/>
        <v>0</v>
      </c>
      <c r="AX153" s="47">
        <v>0</v>
      </c>
      <c r="AY153" s="47">
        <f t="shared" si="181"/>
        <v>0</v>
      </c>
      <c r="AZ153" s="47">
        <v>0</v>
      </c>
      <c r="BA153" s="47">
        <f t="shared" si="182"/>
        <v>0</v>
      </c>
      <c r="BB153" s="48">
        <f t="shared" si="183"/>
        <v>0</v>
      </c>
      <c r="BC153" s="49">
        <f t="shared" si="184"/>
        <v>0</v>
      </c>
      <c r="BD153" s="7" t="e">
        <f t="shared" si="185"/>
        <v>#DIV/0!</v>
      </c>
      <c r="BE153" s="47">
        <f t="shared" si="186"/>
        <v>0</v>
      </c>
      <c r="BF153" s="47">
        <f t="shared" si="187"/>
        <v>0</v>
      </c>
      <c r="BG153" s="50">
        <f t="shared" si="188"/>
        <v>0</v>
      </c>
      <c r="BH153" s="50">
        <f t="shared" si="189"/>
        <v>0</v>
      </c>
      <c r="BI153" s="50">
        <f t="shared" si="190"/>
        <v>0</v>
      </c>
      <c r="BJ153" s="50">
        <f t="shared" si="191"/>
        <v>0</v>
      </c>
      <c r="BK153" s="50">
        <f t="shared" si="192"/>
        <v>0</v>
      </c>
      <c r="BL153" s="50">
        <f t="shared" si="193"/>
        <v>0</v>
      </c>
      <c r="BM153" s="51">
        <f t="shared" si="194"/>
        <v>0</v>
      </c>
      <c r="BN153" s="52">
        <f t="shared" si="195"/>
        <v>0</v>
      </c>
      <c r="BO153" s="52">
        <f t="shared" si="196"/>
        <v>0</v>
      </c>
      <c r="BP153" s="51">
        <f t="shared" si="197"/>
        <v>0.32</v>
      </c>
      <c r="BQ153" s="53">
        <f t="shared" si="198"/>
        <v>0</v>
      </c>
      <c r="BR153" s="53">
        <f t="shared" si="199"/>
        <v>0</v>
      </c>
      <c r="BS153" s="54">
        <f t="shared" si="200"/>
        <v>0</v>
      </c>
      <c r="BT153" s="55">
        <f t="shared" si="201"/>
        <v>0</v>
      </c>
      <c r="BU153" s="10" t="e">
        <f t="shared" si="202"/>
        <v>#DIV/0!</v>
      </c>
      <c r="BV153" s="3"/>
    </row>
    <row r="154" spans="1:74" ht="11.65" hidden="1">
      <c r="A154" s="646"/>
      <c r="B154" s="61"/>
      <c r="C154" s="56"/>
      <c r="D154" s="44"/>
      <c r="E154" s="7"/>
      <c r="F154" s="45"/>
      <c r="G154" s="46">
        <f t="shared" si="155"/>
        <v>0</v>
      </c>
      <c r="H154" s="7"/>
      <c r="I154" s="46">
        <f t="shared" si="156"/>
        <v>0</v>
      </c>
      <c r="J154" s="47">
        <v>0</v>
      </c>
      <c r="K154" s="47">
        <f t="shared" si="157"/>
        <v>0</v>
      </c>
      <c r="L154" s="47">
        <f t="shared" si="158"/>
        <v>0</v>
      </c>
      <c r="M154" s="47">
        <f t="shared" si="159"/>
        <v>0</v>
      </c>
      <c r="N154" s="47">
        <f t="shared" si="160"/>
        <v>0</v>
      </c>
      <c r="O154" s="47">
        <f t="shared" si="161"/>
        <v>0</v>
      </c>
      <c r="P154" s="47">
        <v>0</v>
      </c>
      <c r="Q154" s="47">
        <f t="shared" si="162"/>
        <v>0</v>
      </c>
      <c r="R154" s="47">
        <v>0</v>
      </c>
      <c r="S154" s="47">
        <f t="shared" si="163"/>
        <v>0</v>
      </c>
      <c r="T154" s="47">
        <v>0</v>
      </c>
      <c r="U154" s="47">
        <f t="shared" si="164"/>
        <v>0</v>
      </c>
      <c r="V154" s="47">
        <v>0</v>
      </c>
      <c r="W154" s="47">
        <f t="shared" si="165"/>
        <v>0</v>
      </c>
      <c r="X154" s="47">
        <v>0</v>
      </c>
      <c r="Y154" s="47">
        <f t="shared" si="166"/>
        <v>0</v>
      </c>
      <c r="Z154" s="47">
        <f t="shared" si="167"/>
        <v>0</v>
      </c>
      <c r="AA154" s="47">
        <f t="shared" si="168"/>
        <v>0</v>
      </c>
      <c r="AB154" s="47">
        <f t="shared" si="169"/>
        <v>0</v>
      </c>
      <c r="AC154" s="47">
        <f t="shared" si="170"/>
        <v>0</v>
      </c>
      <c r="AD154" s="47">
        <v>0</v>
      </c>
      <c r="AE154" s="47">
        <f t="shared" si="171"/>
        <v>0</v>
      </c>
      <c r="AF154" s="47">
        <v>0</v>
      </c>
      <c r="AG154" s="47">
        <f t="shared" si="172"/>
        <v>0</v>
      </c>
      <c r="AH154" s="47">
        <v>0</v>
      </c>
      <c r="AI154" s="47">
        <f t="shared" si="173"/>
        <v>0</v>
      </c>
      <c r="AJ154" s="47">
        <v>0</v>
      </c>
      <c r="AK154" s="47">
        <f t="shared" si="174"/>
        <v>0</v>
      </c>
      <c r="AL154" s="47">
        <v>0</v>
      </c>
      <c r="AM154" s="47">
        <f t="shared" si="175"/>
        <v>0</v>
      </c>
      <c r="AN154" s="47">
        <v>0</v>
      </c>
      <c r="AO154" s="47">
        <f t="shared" si="176"/>
        <v>0</v>
      </c>
      <c r="AP154" s="47">
        <v>0</v>
      </c>
      <c r="AQ154" s="47">
        <f t="shared" si="177"/>
        <v>0</v>
      </c>
      <c r="AR154" s="47">
        <v>0</v>
      </c>
      <c r="AS154" s="47">
        <f t="shared" si="178"/>
        <v>0</v>
      </c>
      <c r="AT154" s="47">
        <v>0</v>
      </c>
      <c r="AU154" s="47">
        <f t="shared" si="179"/>
        <v>0</v>
      </c>
      <c r="AV154" s="47">
        <v>0</v>
      </c>
      <c r="AW154" s="47">
        <f t="shared" si="180"/>
        <v>0</v>
      </c>
      <c r="AX154" s="47">
        <v>0</v>
      </c>
      <c r="AY154" s="47">
        <f t="shared" si="181"/>
        <v>0</v>
      </c>
      <c r="AZ154" s="47">
        <v>0</v>
      </c>
      <c r="BA154" s="47">
        <f t="shared" si="182"/>
        <v>0</v>
      </c>
      <c r="BB154" s="48">
        <f t="shared" si="183"/>
        <v>0</v>
      </c>
      <c r="BC154" s="49">
        <f t="shared" si="184"/>
        <v>0</v>
      </c>
      <c r="BD154" s="7" t="e">
        <f t="shared" si="185"/>
        <v>#DIV/0!</v>
      </c>
      <c r="BE154" s="47">
        <f t="shared" si="186"/>
        <v>0</v>
      </c>
      <c r="BF154" s="47">
        <f t="shared" si="187"/>
        <v>0</v>
      </c>
      <c r="BG154" s="50">
        <f t="shared" si="188"/>
        <v>0</v>
      </c>
      <c r="BH154" s="50">
        <f t="shared" si="189"/>
        <v>0</v>
      </c>
      <c r="BI154" s="50">
        <f t="shared" si="190"/>
        <v>0</v>
      </c>
      <c r="BJ154" s="50">
        <f t="shared" si="191"/>
        <v>0</v>
      </c>
      <c r="BK154" s="50">
        <f t="shared" si="192"/>
        <v>0</v>
      </c>
      <c r="BL154" s="50">
        <f t="shared" si="193"/>
        <v>0</v>
      </c>
      <c r="BM154" s="51">
        <f t="shared" si="194"/>
        <v>0</v>
      </c>
      <c r="BN154" s="52">
        <f t="shared" si="195"/>
        <v>0</v>
      </c>
      <c r="BO154" s="52">
        <f t="shared" si="196"/>
        <v>0</v>
      </c>
      <c r="BP154" s="51">
        <f t="shared" si="197"/>
        <v>0.32</v>
      </c>
      <c r="BQ154" s="53">
        <f t="shared" si="198"/>
        <v>0</v>
      </c>
      <c r="BR154" s="53">
        <f t="shared" si="199"/>
        <v>0</v>
      </c>
      <c r="BS154" s="54">
        <f t="shared" si="200"/>
        <v>0</v>
      </c>
      <c r="BT154" s="55">
        <f t="shared" si="201"/>
        <v>0</v>
      </c>
      <c r="BU154" s="10" t="e">
        <f t="shared" si="202"/>
        <v>#DIV/0!</v>
      </c>
      <c r="BV154" s="3"/>
    </row>
    <row r="155" spans="1:74" ht="11.65" hidden="1">
      <c r="A155" s="646"/>
      <c r="B155" s="61"/>
      <c r="C155" s="56"/>
      <c r="D155" s="44"/>
      <c r="E155" s="7"/>
      <c r="F155" s="45"/>
      <c r="G155" s="46">
        <f t="shared" si="155"/>
        <v>0</v>
      </c>
      <c r="H155" s="7"/>
      <c r="I155" s="46">
        <f t="shared" si="156"/>
        <v>0</v>
      </c>
      <c r="J155" s="47">
        <v>0</v>
      </c>
      <c r="K155" s="47">
        <f t="shared" si="157"/>
        <v>0</v>
      </c>
      <c r="L155" s="47">
        <f t="shared" si="158"/>
        <v>0</v>
      </c>
      <c r="M155" s="47">
        <f t="shared" si="159"/>
        <v>0</v>
      </c>
      <c r="N155" s="47">
        <f t="shared" si="160"/>
        <v>0</v>
      </c>
      <c r="O155" s="47">
        <f t="shared" si="161"/>
        <v>0</v>
      </c>
      <c r="P155" s="47">
        <v>0</v>
      </c>
      <c r="Q155" s="47">
        <f t="shared" si="162"/>
        <v>0</v>
      </c>
      <c r="R155" s="47">
        <v>0</v>
      </c>
      <c r="S155" s="47">
        <f t="shared" si="163"/>
        <v>0</v>
      </c>
      <c r="T155" s="47">
        <v>0</v>
      </c>
      <c r="U155" s="47">
        <f t="shared" si="164"/>
        <v>0</v>
      </c>
      <c r="V155" s="47">
        <v>0</v>
      </c>
      <c r="W155" s="47">
        <f t="shared" si="165"/>
        <v>0</v>
      </c>
      <c r="X155" s="47">
        <v>0</v>
      </c>
      <c r="Y155" s="47">
        <f t="shared" si="166"/>
        <v>0</v>
      </c>
      <c r="Z155" s="47">
        <f t="shared" si="167"/>
        <v>0</v>
      </c>
      <c r="AA155" s="47">
        <f t="shared" si="168"/>
        <v>0</v>
      </c>
      <c r="AB155" s="47">
        <f t="shared" si="169"/>
        <v>0</v>
      </c>
      <c r="AC155" s="47">
        <f t="shared" si="170"/>
        <v>0</v>
      </c>
      <c r="AD155" s="47">
        <v>0</v>
      </c>
      <c r="AE155" s="47">
        <f t="shared" si="171"/>
        <v>0</v>
      </c>
      <c r="AF155" s="47">
        <v>0</v>
      </c>
      <c r="AG155" s="47">
        <f t="shared" si="172"/>
        <v>0</v>
      </c>
      <c r="AH155" s="47">
        <v>0</v>
      </c>
      <c r="AI155" s="47">
        <f t="shared" si="173"/>
        <v>0</v>
      </c>
      <c r="AJ155" s="47">
        <v>0</v>
      </c>
      <c r="AK155" s="47">
        <f t="shared" si="174"/>
        <v>0</v>
      </c>
      <c r="AL155" s="47">
        <v>0</v>
      </c>
      <c r="AM155" s="47">
        <f t="shared" si="175"/>
        <v>0</v>
      </c>
      <c r="AN155" s="47">
        <v>0</v>
      </c>
      <c r="AO155" s="47">
        <f t="shared" si="176"/>
        <v>0</v>
      </c>
      <c r="AP155" s="47">
        <v>0</v>
      </c>
      <c r="AQ155" s="47">
        <f t="shared" si="177"/>
        <v>0</v>
      </c>
      <c r="AR155" s="47">
        <v>0</v>
      </c>
      <c r="AS155" s="47">
        <f t="shared" si="178"/>
        <v>0</v>
      </c>
      <c r="AT155" s="47">
        <v>0</v>
      </c>
      <c r="AU155" s="47">
        <f t="shared" si="179"/>
        <v>0</v>
      </c>
      <c r="AV155" s="47">
        <v>0</v>
      </c>
      <c r="AW155" s="47">
        <f t="shared" si="180"/>
        <v>0</v>
      </c>
      <c r="AX155" s="47">
        <v>0</v>
      </c>
      <c r="AY155" s="47">
        <f t="shared" si="181"/>
        <v>0</v>
      </c>
      <c r="AZ155" s="47">
        <v>0</v>
      </c>
      <c r="BA155" s="47">
        <f t="shared" si="182"/>
        <v>0</v>
      </c>
      <c r="BB155" s="48">
        <f t="shared" si="183"/>
        <v>0</v>
      </c>
      <c r="BC155" s="49">
        <f t="shared" si="184"/>
        <v>0</v>
      </c>
      <c r="BD155" s="7" t="e">
        <f t="shared" si="185"/>
        <v>#DIV/0!</v>
      </c>
      <c r="BE155" s="47">
        <f t="shared" si="186"/>
        <v>0</v>
      </c>
      <c r="BF155" s="47">
        <f t="shared" si="187"/>
        <v>0</v>
      </c>
      <c r="BG155" s="50">
        <f t="shared" si="188"/>
        <v>0</v>
      </c>
      <c r="BH155" s="50">
        <f t="shared" si="189"/>
        <v>0</v>
      </c>
      <c r="BI155" s="50">
        <f t="shared" si="190"/>
        <v>0</v>
      </c>
      <c r="BJ155" s="50">
        <f t="shared" si="191"/>
        <v>0</v>
      </c>
      <c r="BK155" s="50">
        <f t="shared" si="192"/>
        <v>0</v>
      </c>
      <c r="BL155" s="50">
        <f t="shared" si="193"/>
        <v>0</v>
      </c>
      <c r="BM155" s="51">
        <f t="shared" si="194"/>
        <v>0</v>
      </c>
      <c r="BN155" s="52">
        <f t="shared" si="195"/>
        <v>0</v>
      </c>
      <c r="BO155" s="52">
        <f t="shared" si="196"/>
        <v>0</v>
      </c>
      <c r="BP155" s="51">
        <f t="shared" si="197"/>
        <v>0.32</v>
      </c>
      <c r="BQ155" s="53">
        <f t="shared" si="198"/>
        <v>0</v>
      </c>
      <c r="BR155" s="53">
        <f t="shared" si="199"/>
        <v>0</v>
      </c>
      <c r="BS155" s="54">
        <f t="shared" si="200"/>
        <v>0</v>
      </c>
      <c r="BT155" s="55">
        <f t="shared" si="201"/>
        <v>0</v>
      </c>
      <c r="BU155" s="10" t="e">
        <f t="shared" si="202"/>
        <v>#DIV/0!</v>
      </c>
      <c r="BV155" s="3"/>
    </row>
    <row r="156" spans="1:74" ht="11.65" hidden="1">
      <c r="A156" s="646"/>
      <c r="B156" s="61"/>
      <c r="C156" s="56"/>
      <c r="D156" s="44"/>
      <c r="E156" s="7"/>
      <c r="F156" s="45"/>
      <c r="G156" s="46">
        <f t="shared" si="155"/>
        <v>0</v>
      </c>
      <c r="H156" s="7"/>
      <c r="I156" s="46">
        <f t="shared" si="156"/>
        <v>0</v>
      </c>
      <c r="J156" s="47">
        <v>0</v>
      </c>
      <c r="K156" s="47">
        <f t="shared" si="157"/>
        <v>0</v>
      </c>
      <c r="L156" s="47">
        <f t="shared" si="158"/>
        <v>0</v>
      </c>
      <c r="M156" s="47">
        <f t="shared" si="159"/>
        <v>0</v>
      </c>
      <c r="N156" s="47">
        <f t="shared" si="160"/>
        <v>0</v>
      </c>
      <c r="O156" s="47">
        <f t="shared" si="161"/>
        <v>0</v>
      </c>
      <c r="P156" s="47">
        <v>0</v>
      </c>
      <c r="Q156" s="47">
        <f t="shared" si="162"/>
        <v>0</v>
      </c>
      <c r="R156" s="47">
        <v>0</v>
      </c>
      <c r="S156" s="47">
        <f t="shared" si="163"/>
        <v>0</v>
      </c>
      <c r="T156" s="47">
        <v>0</v>
      </c>
      <c r="U156" s="47">
        <f t="shared" si="164"/>
        <v>0</v>
      </c>
      <c r="V156" s="47">
        <v>0</v>
      </c>
      <c r="W156" s="47">
        <f t="shared" si="165"/>
        <v>0</v>
      </c>
      <c r="X156" s="47">
        <v>0</v>
      </c>
      <c r="Y156" s="47">
        <f t="shared" si="166"/>
        <v>0</v>
      </c>
      <c r="Z156" s="47">
        <f t="shared" si="167"/>
        <v>0</v>
      </c>
      <c r="AA156" s="47">
        <f t="shared" si="168"/>
        <v>0</v>
      </c>
      <c r="AB156" s="47">
        <f t="shared" si="169"/>
        <v>0</v>
      </c>
      <c r="AC156" s="47">
        <f t="shared" si="170"/>
        <v>0</v>
      </c>
      <c r="AD156" s="47">
        <v>0</v>
      </c>
      <c r="AE156" s="47">
        <f t="shared" si="171"/>
        <v>0</v>
      </c>
      <c r="AF156" s="47">
        <v>0</v>
      </c>
      <c r="AG156" s="47">
        <f t="shared" si="172"/>
        <v>0</v>
      </c>
      <c r="AH156" s="47">
        <v>0</v>
      </c>
      <c r="AI156" s="47">
        <f t="shared" si="173"/>
        <v>0</v>
      </c>
      <c r="AJ156" s="47">
        <v>0</v>
      </c>
      <c r="AK156" s="47">
        <f t="shared" si="174"/>
        <v>0</v>
      </c>
      <c r="AL156" s="47">
        <v>0</v>
      </c>
      <c r="AM156" s="47">
        <f t="shared" si="175"/>
        <v>0</v>
      </c>
      <c r="AN156" s="47">
        <v>0</v>
      </c>
      <c r="AO156" s="47">
        <f t="shared" si="176"/>
        <v>0</v>
      </c>
      <c r="AP156" s="47">
        <v>0</v>
      </c>
      <c r="AQ156" s="47">
        <f t="shared" si="177"/>
        <v>0</v>
      </c>
      <c r="AR156" s="47">
        <v>0</v>
      </c>
      <c r="AS156" s="47">
        <f t="shared" si="178"/>
        <v>0</v>
      </c>
      <c r="AT156" s="47">
        <v>0</v>
      </c>
      <c r="AU156" s="47">
        <f t="shared" si="179"/>
        <v>0</v>
      </c>
      <c r="AV156" s="47">
        <v>0</v>
      </c>
      <c r="AW156" s="47">
        <f t="shared" si="180"/>
        <v>0</v>
      </c>
      <c r="AX156" s="47">
        <v>0</v>
      </c>
      <c r="AY156" s="47">
        <f t="shared" si="181"/>
        <v>0</v>
      </c>
      <c r="AZ156" s="47">
        <v>0</v>
      </c>
      <c r="BA156" s="47">
        <f t="shared" si="182"/>
        <v>0</v>
      </c>
      <c r="BB156" s="48">
        <f t="shared" si="183"/>
        <v>0</v>
      </c>
      <c r="BC156" s="49">
        <f t="shared" si="184"/>
        <v>0</v>
      </c>
      <c r="BD156" s="7" t="e">
        <f t="shared" si="185"/>
        <v>#DIV/0!</v>
      </c>
      <c r="BE156" s="47">
        <f t="shared" si="186"/>
        <v>0</v>
      </c>
      <c r="BF156" s="47">
        <f t="shared" si="187"/>
        <v>0</v>
      </c>
      <c r="BG156" s="50">
        <f t="shared" si="188"/>
        <v>0</v>
      </c>
      <c r="BH156" s="50">
        <f t="shared" si="189"/>
        <v>0</v>
      </c>
      <c r="BI156" s="50">
        <f t="shared" si="190"/>
        <v>0</v>
      </c>
      <c r="BJ156" s="50">
        <f t="shared" si="191"/>
        <v>0</v>
      </c>
      <c r="BK156" s="50">
        <f t="shared" si="192"/>
        <v>0</v>
      </c>
      <c r="BL156" s="50">
        <f t="shared" si="193"/>
        <v>0</v>
      </c>
      <c r="BM156" s="51">
        <f t="shared" si="194"/>
        <v>0</v>
      </c>
      <c r="BN156" s="52">
        <f t="shared" si="195"/>
        <v>0</v>
      </c>
      <c r="BO156" s="52">
        <f t="shared" si="196"/>
        <v>0</v>
      </c>
      <c r="BP156" s="51">
        <f t="shared" si="197"/>
        <v>0.32</v>
      </c>
      <c r="BQ156" s="53">
        <f t="shared" si="198"/>
        <v>0</v>
      </c>
      <c r="BR156" s="53">
        <f t="shared" si="199"/>
        <v>0</v>
      </c>
      <c r="BS156" s="54">
        <f t="shared" si="200"/>
        <v>0</v>
      </c>
      <c r="BT156" s="55">
        <f t="shared" si="201"/>
        <v>0</v>
      </c>
      <c r="BU156" s="10" t="e">
        <f t="shared" si="202"/>
        <v>#DIV/0!</v>
      </c>
      <c r="BV156" s="3"/>
    </row>
    <row r="157" spans="1:74" ht="11.65">
      <c r="B157" s="19"/>
      <c r="C157" s="57"/>
      <c r="D157" s="19"/>
      <c r="E157" s="19"/>
      <c r="F157" s="19"/>
      <c r="G157" s="58"/>
      <c r="H157" s="59">
        <f>SUM(H7:H156)</f>
        <v>81</v>
      </c>
      <c r="I157" s="59">
        <f>SUM(I7:I156)</f>
        <v>630.43399999999986</v>
      </c>
      <c r="J157" s="59"/>
      <c r="K157" s="59"/>
      <c r="L157" s="59"/>
      <c r="M157" s="59">
        <f t="shared" ref="M157" si="203">SUM(M7:M156)</f>
        <v>0</v>
      </c>
      <c r="N157" s="60"/>
      <c r="O157" s="60">
        <f>SUM(O7:O156)</f>
        <v>0</v>
      </c>
      <c r="P157" s="19"/>
      <c r="Q157" s="19"/>
      <c r="R157" s="60"/>
      <c r="S157" s="60">
        <f>SUM(S7:S156)</f>
        <v>0</v>
      </c>
      <c r="T157" s="60"/>
      <c r="U157" s="60"/>
      <c r="V157" s="60"/>
      <c r="W157" s="60">
        <f t="shared" ref="W157" si="204">SUM(W7:W156)</f>
        <v>51960</v>
      </c>
      <c r="X157" s="60"/>
      <c r="Y157" s="60"/>
      <c r="Z157" s="60"/>
      <c r="AA157" s="60"/>
      <c r="AB157" s="60"/>
      <c r="AC157" s="60">
        <f t="shared" ref="AC157:AE157" si="205">SUM(AC7:AC156)</f>
        <v>20324.920000000002</v>
      </c>
      <c r="AD157" s="60"/>
      <c r="AE157" s="60">
        <f t="shared" si="205"/>
        <v>9839.9080000000013</v>
      </c>
      <c r="AF157" s="60"/>
      <c r="AG157" s="60">
        <f t="shared" ref="AG157" si="206">SUM(AG7:AG156)</f>
        <v>85329</v>
      </c>
      <c r="AH157" s="60"/>
      <c r="AI157" s="60">
        <f t="shared" ref="AI157" si="207">SUM(AI7:AI156)</f>
        <v>128084.992</v>
      </c>
      <c r="AJ157" s="60"/>
      <c r="AK157" s="60">
        <f t="shared" ref="AK157:AM157" si="208">SUM(AK7:AK156)</f>
        <v>106630</v>
      </c>
      <c r="AL157" s="60"/>
      <c r="AM157" s="60">
        <f t="shared" si="208"/>
        <v>10620</v>
      </c>
      <c r="AN157" s="60"/>
      <c r="AO157" s="60">
        <f t="shared" ref="AO157" si="209">SUM(AO7:AO156)</f>
        <v>151038.32499999998</v>
      </c>
      <c r="AP157" s="60"/>
      <c r="AQ157" s="60">
        <f t="shared" ref="AQ157" si="210">SUM(AQ7:AQ156)</f>
        <v>0</v>
      </c>
      <c r="AR157" s="60"/>
      <c r="AS157" s="60">
        <f t="shared" ref="AS157" si="211">SUM(AS7:AS156)</f>
        <v>32920.300000000003</v>
      </c>
      <c r="AT157" s="60"/>
      <c r="AU157" s="60">
        <f>SUM(AU7:AU156)</f>
        <v>102793.5</v>
      </c>
      <c r="AV157" s="60"/>
      <c r="AW157" s="60">
        <f>SUM(AW7:AW156)</f>
        <v>133583.01</v>
      </c>
      <c r="AX157" s="60"/>
      <c r="AY157" s="60">
        <f t="shared" ref="AY157" si="212">SUM(AY7:AY156)</f>
        <v>95000</v>
      </c>
      <c r="AZ157" s="60"/>
      <c r="BA157" s="60">
        <f t="shared" ref="BA157" si="213">SUM(BA7:BA156)</f>
        <v>0</v>
      </c>
      <c r="BB157" s="60"/>
      <c r="BC157" s="60">
        <f>SUM(BC12:BC47)</f>
        <v>928123.95500000007</v>
      </c>
      <c r="BD157" s="19"/>
      <c r="BE157" s="60"/>
      <c r="BF157" s="60">
        <f>SUM(BF12:BF47)</f>
        <v>11137.487460000004</v>
      </c>
      <c r="BG157" s="60"/>
      <c r="BH157" s="60">
        <f>SUM(BH12:BH47)</f>
        <v>13921.859324999998</v>
      </c>
      <c r="BI157" s="60"/>
      <c r="BJ157" s="60">
        <f>SUM(BJ12:BJ47)</f>
        <v>4640.619775000001</v>
      </c>
      <c r="BK157" s="60"/>
      <c r="BL157" s="60">
        <f>SUM(BL12:BL47)</f>
        <v>9281.2395500000021</v>
      </c>
      <c r="BM157" s="60"/>
      <c r="BN157" s="60"/>
      <c r="BO157" s="60">
        <f>SUM(BO12:BO47)</f>
        <v>0</v>
      </c>
      <c r="BP157" s="60"/>
      <c r="BQ157" s="60"/>
      <c r="BR157" s="60">
        <f>SUM(BR12:BR47)</f>
        <v>296999.66560000007</v>
      </c>
      <c r="BS157" s="60"/>
      <c r="BT157" s="60">
        <f>SUM(BT12:BT47)</f>
        <v>1264104.8267100002</v>
      </c>
      <c r="BU157" s="4"/>
    </row>
  </sheetData>
  <autoFilter ref="A11:BW47" xr:uid="{00000000-0001-0000-0000-000000000000}">
    <filterColumn colId="0">
      <filters blank="1"/>
    </filterColumn>
  </autoFilter>
  <mergeCells count="17">
    <mergeCell ref="BV4:BV10"/>
    <mergeCell ref="BM3:BO3"/>
    <mergeCell ref="BP5:BR10"/>
    <mergeCell ref="BS3:BS10"/>
    <mergeCell ref="BT3:BT10"/>
    <mergeCell ref="BU3:BU10"/>
    <mergeCell ref="BK5:BL10"/>
    <mergeCell ref="BG5:BH10"/>
    <mergeCell ref="BE5:BF10"/>
    <mergeCell ref="BI5:BJ10"/>
    <mergeCell ref="BM5:BO10"/>
    <mergeCell ref="D3:F3"/>
    <mergeCell ref="BP3:BR3"/>
    <mergeCell ref="BE3:BL3"/>
    <mergeCell ref="BB3:BB4"/>
    <mergeCell ref="BD3:BD4"/>
    <mergeCell ref="BC3:BC4"/>
  </mergeCells>
  <phoneticPr fontId="4" type="noConversion"/>
  <pageMargins left="0.25" right="0.25" top="0.75" bottom="0.75" header="0.3" footer="0.3"/>
  <pageSetup paperSize="9" scale="11" fitToHeight="0"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AC6A48-0030-4E8A-81E8-82F4B19FF246}">
  <dimension ref="A1:Y88"/>
  <sheetViews>
    <sheetView view="pageBreakPreview" zoomScaleNormal="85" zoomScaleSheetLayoutView="100" workbookViewId="0">
      <selection activeCell="A13" sqref="A13"/>
    </sheetView>
  </sheetViews>
  <sheetFormatPr defaultRowHeight="13.15"/>
  <cols>
    <col min="1" max="1" width="57.7109375" style="634" bestFit="1" customWidth="1"/>
    <col min="2" max="2" width="25.140625" style="407" customWidth="1"/>
    <col min="3" max="3" width="1.28515625" style="407" customWidth="1"/>
    <col min="4" max="4" width="17.7109375" style="407" bestFit="1" customWidth="1"/>
    <col min="5" max="5" width="12.7109375" style="407" customWidth="1"/>
    <col min="6" max="6" width="3.85546875" style="635" customWidth="1"/>
    <col min="7" max="7" width="12.7109375" style="409" customWidth="1"/>
    <col min="8" max="9" width="12.7109375" style="405" customWidth="1"/>
    <col min="10" max="11" width="10.7109375" style="406" customWidth="1"/>
    <col min="12" max="12" width="15.7109375" style="405" customWidth="1"/>
    <col min="13" max="13" width="3.7109375" style="405" customWidth="1"/>
    <col min="14" max="14" width="10.7109375" style="406" customWidth="1"/>
    <col min="15" max="15" width="12.7109375" style="405" customWidth="1"/>
    <col min="16" max="16" width="15.7109375" style="405" customWidth="1"/>
    <col min="17" max="18" width="14.7109375" style="405" customWidth="1"/>
    <col min="19" max="19" width="9.140625" style="405"/>
    <col min="20" max="20" width="12.7109375" style="405" customWidth="1"/>
    <col min="21" max="21" width="9.140625" style="405"/>
    <col min="22" max="22" width="14.140625" style="405" customWidth="1"/>
    <col min="23" max="23" width="11.140625" style="405" customWidth="1"/>
    <col min="24" max="24" width="16.42578125" style="405" customWidth="1"/>
    <col min="25" max="25" width="9.140625" style="405"/>
    <col min="26" max="255" width="9.140625" style="407"/>
    <col min="256" max="256" width="39.7109375" style="407" customWidth="1"/>
    <col min="257" max="257" width="4.7109375" style="407" customWidth="1"/>
    <col min="258" max="259" width="9.7109375" style="407" customWidth="1"/>
    <col min="260" max="260" width="13.7109375" style="407" customWidth="1"/>
    <col min="261" max="265" width="12.7109375" style="407" customWidth="1"/>
    <col min="266" max="266" width="10.7109375" style="407" customWidth="1"/>
    <col min="267" max="267" width="15.7109375" style="407" customWidth="1"/>
    <col min="268" max="268" width="3.7109375" style="407" customWidth="1"/>
    <col min="269" max="270" width="10.7109375" style="407" customWidth="1"/>
    <col min="271" max="271" width="0" style="407" hidden="1" customWidth="1"/>
    <col min="272" max="274" width="12.7109375" style="407" customWidth="1"/>
    <col min="275" max="275" width="9.140625" style="407"/>
    <col min="276" max="276" width="12.7109375" style="407" customWidth="1"/>
    <col min="277" max="511" width="9.140625" style="407"/>
    <col min="512" max="512" width="39.7109375" style="407" customWidth="1"/>
    <col min="513" max="513" width="4.7109375" style="407" customWidth="1"/>
    <col min="514" max="515" width="9.7109375" style="407" customWidth="1"/>
    <col min="516" max="516" width="13.7109375" style="407" customWidth="1"/>
    <col min="517" max="521" width="12.7109375" style="407" customWidth="1"/>
    <col min="522" max="522" width="10.7109375" style="407" customWidth="1"/>
    <col min="523" max="523" width="15.7109375" style="407" customWidth="1"/>
    <col min="524" max="524" width="3.7109375" style="407" customWidth="1"/>
    <col min="525" max="526" width="10.7109375" style="407" customWidth="1"/>
    <col min="527" max="527" width="0" style="407" hidden="1" customWidth="1"/>
    <col min="528" max="530" width="12.7109375" style="407" customWidth="1"/>
    <col min="531" max="531" width="9.140625" style="407"/>
    <col min="532" max="532" width="12.7109375" style="407" customWidth="1"/>
    <col min="533" max="767" width="9.140625" style="407"/>
    <col min="768" max="768" width="39.7109375" style="407" customWidth="1"/>
    <col min="769" max="769" width="4.7109375" style="407" customWidth="1"/>
    <col min="770" max="771" width="9.7109375" style="407" customWidth="1"/>
    <col min="772" max="772" width="13.7109375" style="407" customWidth="1"/>
    <col min="773" max="777" width="12.7109375" style="407" customWidth="1"/>
    <col min="778" max="778" width="10.7109375" style="407" customWidth="1"/>
    <col min="779" max="779" width="15.7109375" style="407" customWidth="1"/>
    <col min="780" max="780" width="3.7109375" style="407" customWidth="1"/>
    <col min="781" max="782" width="10.7109375" style="407" customWidth="1"/>
    <col min="783" max="783" width="0" style="407" hidden="1" customWidth="1"/>
    <col min="784" max="786" width="12.7109375" style="407" customWidth="1"/>
    <col min="787" max="787" width="9.140625" style="407"/>
    <col min="788" max="788" width="12.7109375" style="407" customWidth="1"/>
    <col min="789" max="1023" width="9.140625" style="407"/>
    <col min="1024" max="1024" width="39.7109375" style="407" customWidth="1"/>
    <col min="1025" max="1025" width="4.7109375" style="407" customWidth="1"/>
    <col min="1026" max="1027" width="9.7109375" style="407" customWidth="1"/>
    <col min="1028" max="1028" width="13.7109375" style="407" customWidth="1"/>
    <col min="1029" max="1033" width="12.7109375" style="407" customWidth="1"/>
    <col min="1034" max="1034" width="10.7109375" style="407" customWidth="1"/>
    <col min="1035" max="1035" width="15.7109375" style="407" customWidth="1"/>
    <col min="1036" max="1036" width="3.7109375" style="407" customWidth="1"/>
    <col min="1037" max="1038" width="10.7109375" style="407" customWidth="1"/>
    <col min="1039" max="1039" width="0" style="407" hidden="1" customWidth="1"/>
    <col min="1040" max="1042" width="12.7109375" style="407" customWidth="1"/>
    <col min="1043" max="1043" width="9.140625" style="407"/>
    <col min="1044" max="1044" width="12.7109375" style="407" customWidth="1"/>
    <col min="1045" max="1279" width="9.140625" style="407"/>
    <col min="1280" max="1280" width="39.7109375" style="407" customWidth="1"/>
    <col min="1281" max="1281" width="4.7109375" style="407" customWidth="1"/>
    <col min="1282" max="1283" width="9.7109375" style="407" customWidth="1"/>
    <col min="1284" max="1284" width="13.7109375" style="407" customWidth="1"/>
    <col min="1285" max="1289" width="12.7109375" style="407" customWidth="1"/>
    <col min="1290" max="1290" width="10.7109375" style="407" customWidth="1"/>
    <col min="1291" max="1291" width="15.7109375" style="407" customWidth="1"/>
    <col min="1292" max="1292" width="3.7109375" style="407" customWidth="1"/>
    <col min="1293" max="1294" width="10.7109375" style="407" customWidth="1"/>
    <col min="1295" max="1295" width="0" style="407" hidden="1" customWidth="1"/>
    <col min="1296" max="1298" width="12.7109375" style="407" customWidth="1"/>
    <col min="1299" max="1299" width="9.140625" style="407"/>
    <col min="1300" max="1300" width="12.7109375" style="407" customWidth="1"/>
    <col min="1301" max="1535" width="9.140625" style="407"/>
    <col min="1536" max="1536" width="39.7109375" style="407" customWidth="1"/>
    <col min="1537" max="1537" width="4.7109375" style="407" customWidth="1"/>
    <col min="1538" max="1539" width="9.7109375" style="407" customWidth="1"/>
    <col min="1540" max="1540" width="13.7109375" style="407" customWidth="1"/>
    <col min="1541" max="1545" width="12.7109375" style="407" customWidth="1"/>
    <col min="1546" max="1546" width="10.7109375" style="407" customWidth="1"/>
    <col min="1547" max="1547" width="15.7109375" style="407" customWidth="1"/>
    <col min="1548" max="1548" width="3.7109375" style="407" customWidth="1"/>
    <col min="1549" max="1550" width="10.7109375" style="407" customWidth="1"/>
    <col min="1551" max="1551" width="0" style="407" hidden="1" customWidth="1"/>
    <col min="1552" max="1554" width="12.7109375" style="407" customWidth="1"/>
    <col min="1555" max="1555" width="9.140625" style="407"/>
    <col min="1556" max="1556" width="12.7109375" style="407" customWidth="1"/>
    <col min="1557" max="1791" width="9.140625" style="407"/>
    <col min="1792" max="1792" width="39.7109375" style="407" customWidth="1"/>
    <col min="1793" max="1793" width="4.7109375" style="407" customWidth="1"/>
    <col min="1794" max="1795" width="9.7109375" style="407" customWidth="1"/>
    <col min="1796" max="1796" width="13.7109375" style="407" customWidth="1"/>
    <col min="1797" max="1801" width="12.7109375" style="407" customWidth="1"/>
    <col min="1802" max="1802" width="10.7109375" style="407" customWidth="1"/>
    <col min="1803" max="1803" width="15.7109375" style="407" customWidth="1"/>
    <col min="1804" max="1804" width="3.7109375" style="407" customWidth="1"/>
    <col min="1805" max="1806" width="10.7109375" style="407" customWidth="1"/>
    <col min="1807" max="1807" width="0" style="407" hidden="1" customWidth="1"/>
    <col min="1808" max="1810" width="12.7109375" style="407" customWidth="1"/>
    <col min="1811" max="1811" width="9.140625" style="407"/>
    <col min="1812" max="1812" width="12.7109375" style="407" customWidth="1"/>
    <col min="1813" max="2047" width="9.140625" style="407"/>
    <col min="2048" max="2048" width="39.7109375" style="407" customWidth="1"/>
    <col min="2049" max="2049" width="4.7109375" style="407" customWidth="1"/>
    <col min="2050" max="2051" width="9.7109375" style="407" customWidth="1"/>
    <col min="2052" max="2052" width="13.7109375" style="407" customWidth="1"/>
    <col min="2053" max="2057" width="12.7109375" style="407" customWidth="1"/>
    <col min="2058" max="2058" width="10.7109375" style="407" customWidth="1"/>
    <col min="2059" max="2059" width="15.7109375" style="407" customWidth="1"/>
    <col min="2060" max="2060" width="3.7109375" style="407" customWidth="1"/>
    <col min="2061" max="2062" width="10.7109375" style="407" customWidth="1"/>
    <col min="2063" max="2063" width="0" style="407" hidden="1" customWidth="1"/>
    <col min="2064" max="2066" width="12.7109375" style="407" customWidth="1"/>
    <col min="2067" max="2067" width="9.140625" style="407"/>
    <col min="2068" max="2068" width="12.7109375" style="407" customWidth="1"/>
    <col min="2069" max="2303" width="9.140625" style="407"/>
    <col min="2304" max="2304" width="39.7109375" style="407" customWidth="1"/>
    <col min="2305" max="2305" width="4.7109375" style="407" customWidth="1"/>
    <col min="2306" max="2307" width="9.7109375" style="407" customWidth="1"/>
    <col min="2308" max="2308" width="13.7109375" style="407" customWidth="1"/>
    <col min="2309" max="2313" width="12.7109375" style="407" customWidth="1"/>
    <col min="2314" max="2314" width="10.7109375" style="407" customWidth="1"/>
    <col min="2315" max="2315" width="15.7109375" style="407" customWidth="1"/>
    <col min="2316" max="2316" width="3.7109375" style="407" customWidth="1"/>
    <col min="2317" max="2318" width="10.7109375" style="407" customWidth="1"/>
    <col min="2319" max="2319" width="0" style="407" hidden="1" customWidth="1"/>
    <col min="2320" max="2322" width="12.7109375" style="407" customWidth="1"/>
    <col min="2323" max="2323" width="9.140625" style="407"/>
    <col min="2324" max="2324" width="12.7109375" style="407" customWidth="1"/>
    <col min="2325" max="2559" width="9.140625" style="407"/>
    <col min="2560" max="2560" width="39.7109375" style="407" customWidth="1"/>
    <col min="2561" max="2561" width="4.7109375" style="407" customWidth="1"/>
    <col min="2562" max="2563" width="9.7109375" style="407" customWidth="1"/>
    <col min="2564" max="2564" width="13.7109375" style="407" customWidth="1"/>
    <col min="2565" max="2569" width="12.7109375" style="407" customWidth="1"/>
    <col min="2570" max="2570" width="10.7109375" style="407" customWidth="1"/>
    <col min="2571" max="2571" width="15.7109375" style="407" customWidth="1"/>
    <col min="2572" max="2572" width="3.7109375" style="407" customWidth="1"/>
    <col min="2573" max="2574" width="10.7109375" style="407" customWidth="1"/>
    <col min="2575" max="2575" width="0" style="407" hidden="1" customWidth="1"/>
    <col min="2576" max="2578" width="12.7109375" style="407" customWidth="1"/>
    <col min="2579" max="2579" width="9.140625" style="407"/>
    <col min="2580" max="2580" width="12.7109375" style="407" customWidth="1"/>
    <col min="2581" max="2815" width="9.140625" style="407"/>
    <col min="2816" max="2816" width="39.7109375" style="407" customWidth="1"/>
    <col min="2817" max="2817" width="4.7109375" style="407" customWidth="1"/>
    <col min="2818" max="2819" width="9.7109375" style="407" customWidth="1"/>
    <col min="2820" max="2820" width="13.7109375" style="407" customWidth="1"/>
    <col min="2821" max="2825" width="12.7109375" style="407" customWidth="1"/>
    <col min="2826" max="2826" width="10.7109375" style="407" customWidth="1"/>
    <col min="2827" max="2827" width="15.7109375" style="407" customWidth="1"/>
    <col min="2828" max="2828" width="3.7109375" style="407" customWidth="1"/>
    <col min="2829" max="2830" width="10.7109375" style="407" customWidth="1"/>
    <col min="2831" max="2831" width="0" style="407" hidden="1" customWidth="1"/>
    <col min="2832" max="2834" width="12.7109375" style="407" customWidth="1"/>
    <col min="2835" max="2835" width="9.140625" style="407"/>
    <col min="2836" max="2836" width="12.7109375" style="407" customWidth="1"/>
    <col min="2837" max="3071" width="9.140625" style="407"/>
    <col min="3072" max="3072" width="39.7109375" style="407" customWidth="1"/>
    <col min="3073" max="3073" width="4.7109375" style="407" customWidth="1"/>
    <col min="3074" max="3075" width="9.7109375" style="407" customWidth="1"/>
    <col min="3076" max="3076" width="13.7109375" style="407" customWidth="1"/>
    <col min="3077" max="3081" width="12.7109375" style="407" customWidth="1"/>
    <col min="3082" max="3082" width="10.7109375" style="407" customWidth="1"/>
    <col min="3083" max="3083" width="15.7109375" style="407" customWidth="1"/>
    <col min="3084" max="3084" width="3.7109375" style="407" customWidth="1"/>
    <col min="3085" max="3086" width="10.7109375" style="407" customWidth="1"/>
    <col min="3087" max="3087" width="0" style="407" hidden="1" customWidth="1"/>
    <col min="3088" max="3090" width="12.7109375" style="407" customWidth="1"/>
    <col min="3091" max="3091" width="9.140625" style="407"/>
    <col min="3092" max="3092" width="12.7109375" style="407" customWidth="1"/>
    <col min="3093" max="3327" width="9.140625" style="407"/>
    <col min="3328" max="3328" width="39.7109375" style="407" customWidth="1"/>
    <col min="3329" max="3329" width="4.7109375" style="407" customWidth="1"/>
    <col min="3330" max="3331" width="9.7109375" style="407" customWidth="1"/>
    <col min="3332" max="3332" width="13.7109375" style="407" customWidth="1"/>
    <col min="3333" max="3337" width="12.7109375" style="407" customWidth="1"/>
    <col min="3338" max="3338" width="10.7109375" style="407" customWidth="1"/>
    <col min="3339" max="3339" width="15.7109375" style="407" customWidth="1"/>
    <col min="3340" max="3340" width="3.7109375" style="407" customWidth="1"/>
    <col min="3341" max="3342" width="10.7109375" style="407" customWidth="1"/>
    <col min="3343" max="3343" width="0" style="407" hidden="1" customWidth="1"/>
    <col min="3344" max="3346" width="12.7109375" style="407" customWidth="1"/>
    <col min="3347" max="3347" width="9.140625" style="407"/>
    <col min="3348" max="3348" width="12.7109375" style="407" customWidth="1"/>
    <col min="3349" max="3583" width="9.140625" style="407"/>
    <col min="3584" max="3584" width="39.7109375" style="407" customWidth="1"/>
    <col min="3585" max="3585" width="4.7109375" style="407" customWidth="1"/>
    <col min="3586" max="3587" width="9.7109375" style="407" customWidth="1"/>
    <col min="3588" max="3588" width="13.7109375" style="407" customWidth="1"/>
    <col min="3589" max="3593" width="12.7109375" style="407" customWidth="1"/>
    <col min="3594" max="3594" width="10.7109375" style="407" customWidth="1"/>
    <col min="3595" max="3595" width="15.7109375" style="407" customWidth="1"/>
    <col min="3596" max="3596" width="3.7109375" style="407" customWidth="1"/>
    <col min="3597" max="3598" width="10.7109375" style="407" customWidth="1"/>
    <col min="3599" max="3599" width="0" style="407" hidden="1" customWidth="1"/>
    <col min="3600" max="3602" width="12.7109375" style="407" customWidth="1"/>
    <col min="3603" max="3603" width="9.140625" style="407"/>
    <col min="3604" max="3604" width="12.7109375" style="407" customWidth="1"/>
    <col min="3605" max="3839" width="9.140625" style="407"/>
    <col min="3840" max="3840" width="39.7109375" style="407" customWidth="1"/>
    <col min="3841" max="3841" width="4.7109375" style="407" customWidth="1"/>
    <col min="3842" max="3843" width="9.7109375" style="407" customWidth="1"/>
    <col min="3844" max="3844" width="13.7109375" style="407" customWidth="1"/>
    <col min="3845" max="3849" width="12.7109375" style="407" customWidth="1"/>
    <col min="3850" max="3850" width="10.7109375" style="407" customWidth="1"/>
    <col min="3851" max="3851" width="15.7109375" style="407" customWidth="1"/>
    <col min="3852" max="3852" width="3.7109375" style="407" customWidth="1"/>
    <col min="3853" max="3854" width="10.7109375" style="407" customWidth="1"/>
    <col min="3855" max="3855" width="0" style="407" hidden="1" customWidth="1"/>
    <col min="3856" max="3858" width="12.7109375" style="407" customWidth="1"/>
    <col min="3859" max="3859" width="9.140625" style="407"/>
    <col min="3860" max="3860" width="12.7109375" style="407" customWidth="1"/>
    <col min="3861" max="4095" width="9.140625" style="407"/>
    <col min="4096" max="4096" width="39.7109375" style="407" customWidth="1"/>
    <col min="4097" max="4097" width="4.7109375" style="407" customWidth="1"/>
    <col min="4098" max="4099" width="9.7109375" style="407" customWidth="1"/>
    <col min="4100" max="4100" width="13.7109375" style="407" customWidth="1"/>
    <col min="4101" max="4105" width="12.7109375" style="407" customWidth="1"/>
    <col min="4106" max="4106" width="10.7109375" style="407" customWidth="1"/>
    <col min="4107" max="4107" width="15.7109375" style="407" customWidth="1"/>
    <col min="4108" max="4108" width="3.7109375" style="407" customWidth="1"/>
    <col min="4109" max="4110" width="10.7109375" style="407" customWidth="1"/>
    <col min="4111" max="4111" width="0" style="407" hidden="1" customWidth="1"/>
    <col min="4112" max="4114" width="12.7109375" style="407" customWidth="1"/>
    <col min="4115" max="4115" width="9.140625" style="407"/>
    <col min="4116" max="4116" width="12.7109375" style="407" customWidth="1"/>
    <col min="4117" max="4351" width="9.140625" style="407"/>
    <col min="4352" max="4352" width="39.7109375" style="407" customWidth="1"/>
    <col min="4353" max="4353" width="4.7109375" style="407" customWidth="1"/>
    <col min="4354" max="4355" width="9.7109375" style="407" customWidth="1"/>
    <col min="4356" max="4356" width="13.7109375" style="407" customWidth="1"/>
    <col min="4357" max="4361" width="12.7109375" style="407" customWidth="1"/>
    <col min="4362" max="4362" width="10.7109375" style="407" customWidth="1"/>
    <col min="4363" max="4363" width="15.7109375" style="407" customWidth="1"/>
    <col min="4364" max="4364" width="3.7109375" style="407" customWidth="1"/>
    <col min="4365" max="4366" width="10.7109375" style="407" customWidth="1"/>
    <col min="4367" max="4367" width="0" style="407" hidden="1" customWidth="1"/>
    <col min="4368" max="4370" width="12.7109375" style="407" customWidth="1"/>
    <col min="4371" max="4371" width="9.140625" style="407"/>
    <col min="4372" max="4372" width="12.7109375" style="407" customWidth="1"/>
    <col min="4373" max="4607" width="9.140625" style="407"/>
    <col min="4608" max="4608" width="39.7109375" style="407" customWidth="1"/>
    <col min="4609" max="4609" width="4.7109375" style="407" customWidth="1"/>
    <col min="4610" max="4611" width="9.7109375" style="407" customWidth="1"/>
    <col min="4612" max="4612" width="13.7109375" style="407" customWidth="1"/>
    <col min="4613" max="4617" width="12.7109375" style="407" customWidth="1"/>
    <col min="4618" max="4618" width="10.7109375" style="407" customWidth="1"/>
    <col min="4619" max="4619" width="15.7109375" style="407" customWidth="1"/>
    <col min="4620" max="4620" width="3.7109375" style="407" customWidth="1"/>
    <col min="4621" max="4622" width="10.7109375" style="407" customWidth="1"/>
    <col min="4623" max="4623" width="0" style="407" hidden="1" customWidth="1"/>
    <col min="4624" max="4626" width="12.7109375" style="407" customWidth="1"/>
    <col min="4627" max="4627" width="9.140625" style="407"/>
    <col min="4628" max="4628" width="12.7109375" style="407" customWidth="1"/>
    <col min="4629" max="4863" width="9.140625" style="407"/>
    <col min="4864" max="4864" width="39.7109375" style="407" customWidth="1"/>
    <col min="4865" max="4865" width="4.7109375" style="407" customWidth="1"/>
    <col min="4866" max="4867" width="9.7109375" style="407" customWidth="1"/>
    <col min="4868" max="4868" width="13.7109375" style="407" customWidth="1"/>
    <col min="4869" max="4873" width="12.7109375" style="407" customWidth="1"/>
    <col min="4874" max="4874" width="10.7109375" style="407" customWidth="1"/>
    <col min="4875" max="4875" width="15.7109375" style="407" customWidth="1"/>
    <col min="4876" max="4876" width="3.7109375" style="407" customWidth="1"/>
    <col min="4877" max="4878" width="10.7109375" style="407" customWidth="1"/>
    <col min="4879" max="4879" width="0" style="407" hidden="1" customWidth="1"/>
    <col min="4880" max="4882" width="12.7109375" style="407" customWidth="1"/>
    <col min="4883" max="4883" width="9.140625" style="407"/>
    <col min="4884" max="4884" width="12.7109375" style="407" customWidth="1"/>
    <col min="4885" max="5119" width="9.140625" style="407"/>
    <col min="5120" max="5120" width="39.7109375" style="407" customWidth="1"/>
    <col min="5121" max="5121" width="4.7109375" style="407" customWidth="1"/>
    <col min="5122" max="5123" width="9.7109375" style="407" customWidth="1"/>
    <col min="5124" max="5124" width="13.7109375" style="407" customWidth="1"/>
    <col min="5125" max="5129" width="12.7109375" style="407" customWidth="1"/>
    <col min="5130" max="5130" width="10.7109375" style="407" customWidth="1"/>
    <col min="5131" max="5131" width="15.7109375" style="407" customWidth="1"/>
    <col min="5132" max="5132" width="3.7109375" style="407" customWidth="1"/>
    <col min="5133" max="5134" width="10.7109375" style="407" customWidth="1"/>
    <col min="5135" max="5135" width="0" style="407" hidden="1" customWidth="1"/>
    <col min="5136" max="5138" width="12.7109375" style="407" customWidth="1"/>
    <col min="5139" max="5139" width="9.140625" style="407"/>
    <col min="5140" max="5140" width="12.7109375" style="407" customWidth="1"/>
    <col min="5141" max="5375" width="9.140625" style="407"/>
    <col min="5376" max="5376" width="39.7109375" style="407" customWidth="1"/>
    <col min="5377" max="5377" width="4.7109375" style="407" customWidth="1"/>
    <col min="5378" max="5379" width="9.7109375" style="407" customWidth="1"/>
    <col min="5380" max="5380" width="13.7109375" style="407" customWidth="1"/>
    <col min="5381" max="5385" width="12.7109375" style="407" customWidth="1"/>
    <col min="5386" max="5386" width="10.7109375" style="407" customWidth="1"/>
    <col min="5387" max="5387" width="15.7109375" style="407" customWidth="1"/>
    <col min="5388" max="5388" width="3.7109375" style="407" customWidth="1"/>
    <col min="5389" max="5390" width="10.7109375" style="407" customWidth="1"/>
    <col min="5391" max="5391" width="0" style="407" hidden="1" customWidth="1"/>
    <col min="5392" max="5394" width="12.7109375" style="407" customWidth="1"/>
    <col min="5395" max="5395" width="9.140625" style="407"/>
    <col min="5396" max="5396" width="12.7109375" style="407" customWidth="1"/>
    <col min="5397" max="5631" width="9.140625" style="407"/>
    <col min="5632" max="5632" width="39.7109375" style="407" customWidth="1"/>
    <col min="5633" max="5633" width="4.7109375" style="407" customWidth="1"/>
    <col min="5634" max="5635" width="9.7109375" style="407" customWidth="1"/>
    <col min="5636" max="5636" width="13.7109375" style="407" customWidth="1"/>
    <col min="5637" max="5641" width="12.7109375" style="407" customWidth="1"/>
    <col min="5642" max="5642" width="10.7109375" style="407" customWidth="1"/>
    <col min="5643" max="5643" width="15.7109375" style="407" customWidth="1"/>
    <col min="5644" max="5644" width="3.7109375" style="407" customWidth="1"/>
    <col min="5645" max="5646" width="10.7109375" style="407" customWidth="1"/>
    <col min="5647" max="5647" width="0" style="407" hidden="1" customWidth="1"/>
    <col min="5648" max="5650" width="12.7109375" style="407" customWidth="1"/>
    <col min="5651" max="5651" width="9.140625" style="407"/>
    <col min="5652" max="5652" width="12.7109375" style="407" customWidth="1"/>
    <col min="5653" max="5887" width="9.140625" style="407"/>
    <col min="5888" max="5888" width="39.7109375" style="407" customWidth="1"/>
    <col min="5889" max="5889" width="4.7109375" style="407" customWidth="1"/>
    <col min="5890" max="5891" width="9.7109375" style="407" customWidth="1"/>
    <col min="5892" max="5892" width="13.7109375" style="407" customWidth="1"/>
    <col min="5893" max="5897" width="12.7109375" style="407" customWidth="1"/>
    <col min="5898" max="5898" width="10.7109375" style="407" customWidth="1"/>
    <col min="5899" max="5899" width="15.7109375" style="407" customWidth="1"/>
    <col min="5900" max="5900" width="3.7109375" style="407" customWidth="1"/>
    <col min="5901" max="5902" width="10.7109375" style="407" customWidth="1"/>
    <col min="5903" max="5903" width="0" style="407" hidden="1" customWidth="1"/>
    <col min="5904" max="5906" width="12.7109375" style="407" customWidth="1"/>
    <col min="5907" max="5907" width="9.140625" style="407"/>
    <col min="5908" max="5908" width="12.7109375" style="407" customWidth="1"/>
    <col min="5909" max="6143" width="9.140625" style="407"/>
    <col min="6144" max="6144" width="39.7109375" style="407" customWidth="1"/>
    <col min="6145" max="6145" width="4.7109375" style="407" customWidth="1"/>
    <col min="6146" max="6147" width="9.7109375" style="407" customWidth="1"/>
    <col min="6148" max="6148" width="13.7109375" style="407" customWidth="1"/>
    <col min="6149" max="6153" width="12.7109375" style="407" customWidth="1"/>
    <col min="6154" max="6154" width="10.7109375" style="407" customWidth="1"/>
    <col min="6155" max="6155" width="15.7109375" style="407" customWidth="1"/>
    <col min="6156" max="6156" width="3.7109375" style="407" customWidth="1"/>
    <col min="6157" max="6158" width="10.7109375" style="407" customWidth="1"/>
    <col min="6159" max="6159" width="0" style="407" hidden="1" customWidth="1"/>
    <col min="6160" max="6162" width="12.7109375" style="407" customWidth="1"/>
    <col min="6163" max="6163" width="9.140625" style="407"/>
    <col min="6164" max="6164" width="12.7109375" style="407" customWidth="1"/>
    <col min="6165" max="6399" width="9.140625" style="407"/>
    <col min="6400" max="6400" width="39.7109375" style="407" customWidth="1"/>
    <col min="6401" max="6401" width="4.7109375" style="407" customWidth="1"/>
    <col min="6402" max="6403" width="9.7109375" style="407" customWidth="1"/>
    <col min="6404" max="6404" width="13.7109375" style="407" customWidth="1"/>
    <col min="6405" max="6409" width="12.7109375" style="407" customWidth="1"/>
    <col min="6410" max="6410" width="10.7109375" style="407" customWidth="1"/>
    <col min="6411" max="6411" width="15.7109375" style="407" customWidth="1"/>
    <col min="6412" max="6412" width="3.7109375" style="407" customWidth="1"/>
    <col min="6413" max="6414" width="10.7109375" style="407" customWidth="1"/>
    <col min="6415" max="6415" width="0" style="407" hidden="1" customWidth="1"/>
    <col min="6416" max="6418" width="12.7109375" style="407" customWidth="1"/>
    <col min="6419" max="6419" width="9.140625" style="407"/>
    <col min="6420" max="6420" width="12.7109375" style="407" customWidth="1"/>
    <col min="6421" max="6655" width="9.140625" style="407"/>
    <col min="6656" max="6656" width="39.7109375" style="407" customWidth="1"/>
    <col min="6657" max="6657" width="4.7109375" style="407" customWidth="1"/>
    <col min="6658" max="6659" width="9.7109375" style="407" customWidth="1"/>
    <col min="6660" max="6660" width="13.7109375" style="407" customWidth="1"/>
    <col min="6661" max="6665" width="12.7109375" style="407" customWidth="1"/>
    <col min="6666" max="6666" width="10.7109375" style="407" customWidth="1"/>
    <col min="6667" max="6667" width="15.7109375" style="407" customWidth="1"/>
    <col min="6668" max="6668" width="3.7109375" style="407" customWidth="1"/>
    <col min="6669" max="6670" width="10.7109375" style="407" customWidth="1"/>
    <col min="6671" max="6671" width="0" style="407" hidden="1" customWidth="1"/>
    <col min="6672" max="6674" width="12.7109375" style="407" customWidth="1"/>
    <col min="6675" max="6675" width="9.140625" style="407"/>
    <col min="6676" max="6676" width="12.7109375" style="407" customWidth="1"/>
    <col min="6677" max="6911" width="9.140625" style="407"/>
    <col min="6912" max="6912" width="39.7109375" style="407" customWidth="1"/>
    <col min="6913" max="6913" width="4.7109375" style="407" customWidth="1"/>
    <col min="6914" max="6915" width="9.7109375" style="407" customWidth="1"/>
    <col min="6916" max="6916" width="13.7109375" style="407" customWidth="1"/>
    <col min="6917" max="6921" width="12.7109375" style="407" customWidth="1"/>
    <col min="6922" max="6922" width="10.7109375" style="407" customWidth="1"/>
    <col min="6923" max="6923" width="15.7109375" style="407" customWidth="1"/>
    <col min="6924" max="6924" width="3.7109375" style="407" customWidth="1"/>
    <col min="6925" max="6926" width="10.7109375" style="407" customWidth="1"/>
    <col min="6927" max="6927" width="0" style="407" hidden="1" customWidth="1"/>
    <col min="6928" max="6930" width="12.7109375" style="407" customWidth="1"/>
    <col min="6931" max="6931" width="9.140625" style="407"/>
    <col min="6932" max="6932" width="12.7109375" style="407" customWidth="1"/>
    <col min="6933" max="7167" width="9.140625" style="407"/>
    <col min="7168" max="7168" width="39.7109375" style="407" customWidth="1"/>
    <col min="7169" max="7169" width="4.7109375" style="407" customWidth="1"/>
    <col min="7170" max="7171" width="9.7109375" style="407" customWidth="1"/>
    <col min="7172" max="7172" width="13.7109375" style="407" customWidth="1"/>
    <col min="7173" max="7177" width="12.7109375" style="407" customWidth="1"/>
    <col min="7178" max="7178" width="10.7109375" style="407" customWidth="1"/>
    <col min="7179" max="7179" width="15.7109375" style="407" customWidth="1"/>
    <col min="7180" max="7180" width="3.7109375" style="407" customWidth="1"/>
    <col min="7181" max="7182" width="10.7109375" style="407" customWidth="1"/>
    <col min="7183" max="7183" width="0" style="407" hidden="1" customWidth="1"/>
    <col min="7184" max="7186" width="12.7109375" style="407" customWidth="1"/>
    <col min="7187" max="7187" width="9.140625" style="407"/>
    <col min="7188" max="7188" width="12.7109375" style="407" customWidth="1"/>
    <col min="7189" max="7423" width="9.140625" style="407"/>
    <col min="7424" max="7424" width="39.7109375" style="407" customWidth="1"/>
    <col min="7425" max="7425" width="4.7109375" style="407" customWidth="1"/>
    <col min="7426" max="7427" width="9.7109375" style="407" customWidth="1"/>
    <col min="7428" max="7428" width="13.7109375" style="407" customWidth="1"/>
    <col min="7429" max="7433" width="12.7109375" style="407" customWidth="1"/>
    <col min="7434" max="7434" width="10.7109375" style="407" customWidth="1"/>
    <col min="7435" max="7435" width="15.7109375" style="407" customWidth="1"/>
    <col min="7436" max="7436" width="3.7109375" style="407" customWidth="1"/>
    <col min="7437" max="7438" width="10.7109375" style="407" customWidth="1"/>
    <col min="7439" max="7439" width="0" style="407" hidden="1" customWidth="1"/>
    <col min="7440" max="7442" width="12.7109375" style="407" customWidth="1"/>
    <col min="7443" max="7443" width="9.140625" style="407"/>
    <col min="7444" max="7444" width="12.7109375" style="407" customWidth="1"/>
    <col min="7445" max="7679" width="9.140625" style="407"/>
    <col min="7680" max="7680" width="39.7109375" style="407" customWidth="1"/>
    <col min="7681" max="7681" width="4.7109375" style="407" customWidth="1"/>
    <col min="7682" max="7683" width="9.7109375" style="407" customWidth="1"/>
    <col min="7684" max="7684" width="13.7109375" style="407" customWidth="1"/>
    <col min="7685" max="7689" width="12.7109375" style="407" customWidth="1"/>
    <col min="7690" max="7690" width="10.7109375" style="407" customWidth="1"/>
    <col min="7691" max="7691" width="15.7109375" style="407" customWidth="1"/>
    <col min="7692" max="7692" width="3.7109375" style="407" customWidth="1"/>
    <col min="7693" max="7694" width="10.7109375" style="407" customWidth="1"/>
    <col min="7695" max="7695" width="0" style="407" hidden="1" customWidth="1"/>
    <col min="7696" max="7698" width="12.7109375" style="407" customWidth="1"/>
    <col min="7699" max="7699" width="9.140625" style="407"/>
    <col min="7700" max="7700" width="12.7109375" style="407" customWidth="1"/>
    <col min="7701" max="7935" width="9.140625" style="407"/>
    <col min="7936" max="7936" width="39.7109375" style="407" customWidth="1"/>
    <col min="7937" max="7937" width="4.7109375" style="407" customWidth="1"/>
    <col min="7938" max="7939" width="9.7109375" style="407" customWidth="1"/>
    <col min="7940" max="7940" width="13.7109375" style="407" customWidth="1"/>
    <col min="7941" max="7945" width="12.7109375" style="407" customWidth="1"/>
    <col min="7946" max="7946" width="10.7109375" style="407" customWidth="1"/>
    <col min="7947" max="7947" width="15.7109375" style="407" customWidth="1"/>
    <col min="7948" max="7948" width="3.7109375" style="407" customWidth="1"/>
    <col min="7949" max="7950" width="10.7109375" style="407" customWidth="1"/>
    <col min="7951" max="7951" width="0" style="407" hidden="1" customWidth="1"/>
    <col min="7952" max="7954" width="12.7109375" style="407" customWidth="1"/>
    <col min="7955" max="7955" width="9.140625" style="407"/>
    <col min="7956" max="7956" width="12.7109375" style="407" customWidth="1"/>
    <col min="7957" max="8191" width="9.140625" style="407"/>
    <col min="8192" max="8192" width="39.7109375" style="407" customWidth="1"/>
    <col min="8193" max="8193" width="4.7109375" style="407" customWidth="1"/>
    <col min="8194" max="8195" width="9.7109375" style="407" customWidth="1"/>
    <col min="8196" max="8196" width="13.7109375" style="407" customWidth="1"/>
    <col min="8197" max="8201" width="12.7109375" style="407" customWidth="1"/>
    <col min="8202" max="8202" width="10.7109375" style="407" customWidth="1"/>
    <col min="8203" max="8203" width="15.7109375" style="407" customWidth="1"/>
    <col min="8204" max="8204" width="3.7109375" style="407" customWidth="1"/>
    <col min="8205" max="8206" width="10.7109375" style="407" customWidth="1"/>
    <col min="8207" max="8207" width="0" style="407" hidden="1" customWidth="1"/>
    <col min="8208" max="8210" width="12.7109375" style="407" customWidth="1"/>
    <col min="8211" max="8211" width="9.140625" style="407"/>
    <col min="8212" max="8212" width="12.7109375" style="407" customWidth="1"/>
    <col min="8213" max="8447" width="9.140625" style="407"/>
    <col min="8448" max="8448" width="39.7109375" style="407" customWidth="1"/>
    <col min="8449" max="8449" width="4.7109375" style="407" customWidth="1"/>
    <col min="8450" max="8451" width="9.7109375" style="407" customWidth="1"/>
    <col min="8452" max="8452" width="13.7109375" style="407" customWidth="1"/>
    <col min="8453" max="8457" width="12.7109375" style="407" customWidth="1"/>
    <col min="8458" max="8458" width="10.7109375" style="407" customWidth="1"/>
    <col min="8459" max="8459" width="15.7109375" style="407" customWidth="1"/>
    <col min="8460" max="8460" width="3.7109375" style="407" customWidth="1"/>
    <col min="8461" max="8462" width="10.7109375" style="407" customWidth="1"/>
    <col min="8463" max="8463" width="0" style="407" hidden="1" customWidth="1"/>
    <col min="8464" max="8466" width="12.7109375" style="407" customWidth="1"/>
    <col min="8467" max="8467" width="9.140625" style="407"/>
    <col min="8468" max="8468" width="12.7109375" style="407" customWidth="1"/>
    <col min="8469" max="8703" width="9.140625" style="407"/>
    <col min="8704" max="8704" width="39.7109375" style="407" customWidth="1"/>
    <col min="8705" max="8705" width="4.7109375" style="407" customWidth="1"/>
    <col min="8706" max="8707" width="9.7109375" style="407" customWidth="1"/>
    <col min="8708" max="8708" width="13.7109375" style="407" customWidth="1"/>
    <col min="8709" max="8713" width="12.7109375" style="407" customWidth="1"/>
    <col min="8714" max="8714" width="10.7109375" style="407" customWidth="1"/>
    <col min="8715" max="8715" width="15.7109375" style="407" customWidth="1"/>
    <col min="8716" max="8716" width="3.7109375" style="407" customWidth="1"/>
    <col min="8717" max="8718" width="10.7109375" style="407" customWidth="1"/>
    <col min="8719" max="8719" width="0" style="407" hidden="1" customWidth="1"/>
    <col min="8720" max="8722" width="12.7109375" style="407" customWidth="1"/>
    <col min="8723" max="8723" width="9.140625" style="407"/>
    <col min="8724" max="8724" width="12.7109375" style="407" customWidth="1"/>
    <col min="8725" max="8959" width="9.140625" style="407"/>
    <col min="8960" max="8960" width="39.7109375" style="407" customWidth="1"/>
    <col min="8961" max="8961" width="4.7109375" style="407" customWidth="1"/>
    <col min="8962" max="8963" width="9.7109375" style="407" customWidth="1"/>
    <col min="8964" max="8964" width="13.7109375" style="407" customWidth="1"/>
    <col min="8965" max="8969" width="12.7109375" style="407" customWidth="1"/>
    <col min="8970" max="8970" width="10.7109375" style="407" customWidth="1"/>
    <col min="8971" max="8971" width="15.7109375" style="407" customWidth="1"/>
    <col min="8972" max="8972" width="3.7109375" style="407" customWidth="1"/>
    <col min="8973" max="8974" width="10.7109375" style="407" customWidth="1"/>
    <col min="8975" max="8975" width="0" style="407" hidden="1" customWidth="1"/>
    <col min="8976" max="8978" width="12.7109375" style="407" customWidth="1"/>
    <col min="8979" max="8979" width="9.140625" style="407"/>
    <col min="8980" max="8980" width="12.7109375" style="407" customWidth="1"/>
    <col min="8981" max="9215" width="9.140625" style="407"/>
    <col min="9216" max="9216" width="39.7109375" style="407" customWidth="1"/>
    <col min="9217" max="9217" width="4.7109375" style="407" customWidth="1"/>
    <col min="9218" max="9219" width="9.7109375" style="407" customWidth="1"/>
    <col min="9220" max="9220" width="13.7109375" style="407" customWidth="1"/>
    <col min="9221" max="9225" width="12.7109375" style="407" customWidth="1"/>
    <col min="9226" max="9226" width="10.7109375" style="407" customWidth="1"/>
    <col min="9227" max="9227" width="15.7109375" style="407" customWidth="1"/>
    <col min="9228" max="9228" width="3.7109375" style="407" customWidth="1"/>
    <col min="9229" max="9230" width="10.7109375" style="407" customWidth="1"/>
    <col min="9231" max="9231" width="0" style="407" hidden="1" customWidth="1"/>
    <col min="9232" max="9234" width="12.7109375" style="407" customWidth="1"/>
    <col min="9235" max="9235" width="9.140625" style="407"/>
    <col min="9236" max="9236" width="12.7109375" style="407" customWidth="1"/>
    <col min="9237" max="9471" width="9.140625" style="407"/>
    <col min="9472" max="9472" width="39.7109375" style="407" customWidth="1"/>
    <col min="9473" max="9473" width="4.7109375" style="407" customWidth="1"/>
    <col min="9474" max="9475" width="9.7109375" style="407" customWidth="1"/>
    <col min="9476" max="9476" width="13.7109375" style="407" customWidth="1"/>
    <col min="9477" max="9481" width="12.7109375" style="407" customWidth="1"/>
    <col min="9482" max="9482" width="10.7109375" style="407" customWidth="1"/>
    <col min="9483" max="9483" width="15.7109375" style="407" customWidth="1"/>
    <col min="9484" max="9484" width="3.7109375" style="407" customWidth="1"/>
    <col min="9485" max="9486" width="10.7109375" style="407" customWidth="1"/>
    <col min="9487" max="9487" width="0" style="407" hidden="1" customWidth="1"/>
    <col min="9488" max="9490" width="12.7109375" style="407" customWidth="1"/>
    <col min="9491" max="9491" width="9.140625" style="407"/>
    <col min="9492" max="9492" width="12.7109375" style="407" customWidth="1"/>
    <col min="9493" max="9727" width="9.140625" style="407"/>
    <col min="9728" max="9728" width="39.7109375" style="407" customWidth="1"/>
    <col min="9729" max="9729" width="4.7109375" style="407" customWidth="1"/>
    <col min="9730" max="9731" width="9.7109375" style="407" customWidth="1"/>
    <col min="9732" max="9732" width="13.7109375" style="407" customWidth="1"/>
    <col min="9733" max="9737" width="12.7109375" style="407" customWidth="1"/>
    <col min="9738" max="9738" width="10.7109375" style="407" customWidth="1"/>
    <col min="9739" max="9739" width="15.7109375" style="407" customWidth="1"/>
    <col min="9740" max="9740" width="3.7109375" style="407" customWidth="1"/>
    <col min="9741" max="9742" width="10.7109375" style="407" customWidth="1"/>
    <col min="9743" max="9743" width="0" style="407" hidden="1" customWidth="1"/>
    <col min="9744" max="9746" width="12.7109375" style="407" customWidth="1"/>
    <col min="9747" max="9747" width="9.140625" style="407"/>
    <col min="9748" max="9748" width="12.7109375" style="407" customWidth="1"/>
    <col min="9749" max="9983" width="9.140625" style="407"/>
    <col min="9984" max="9984" width="39.7109375" style="407" customWidth="1"/>
    <col min="9985" max="9985" width="4.7109375" style="407" customWidth="1"/>
    <col min="9986" max="9987" width="9.7109375" style="407" customWidth="1"/>
    <col min="9988" max="9988" width="13.7109375" style="407" customWidth="1"/>
    <col min="9989" max="9993" width="12.7109375" style="407" customWidth="1"/>
    <col min="9994" max="9994" width="10.7109375" style="407" customWidth="1"/>
    <col min="9995" max="9995" width="15.7109375" style="407" customWidth="1"/>
    <col min="9996" max="9996" width="3.7109375" style="407" customWidth="1"/>
    <col min="9997" max="9998" width="10.7109375" style="407" customWidth="1"/>
    <col min="9999" max="9999" width="0" style="407" hidden="1" customWidth="1"/>
    <col min="10000" max="10002" width="12.7109375" style="407" customWidth="1"/>
    <col min="10003" max="10003" width="9.140625" style="407"/>
    <col min="10004" max="10004" width="12.7109375" style="407" customWidth="1"/>
    <col min="10005" max="10239" width="9.140625" style="407"/>
    <col min="10240" max="10240" width="39.7109375" style="407" customWidth="1"/>
    <col min="10241" max="10241" width="4.7109375" style="407" customWidth="1"/>
    <col min="10242" max="10243" width="9.7109375" style="407" customWidth="1"/>
    <col min="10244" max="10244" width="13.7109375" style="407" customWidth="1"/>
    <col min="10245" max="10249" width="12.7109375" style="407" customWidth="1"/>
    <col min="10250" max="10250" width="10.7109375" style="407" customWidth="1"/>
    <col min="10251" max="10251" width="15.7109375" style="407" customWidth="1"/>
    <col min="10252" max="10252" width="3.7109375" style="407" customWidth="1"/>
    <col min="10253" max="10254" width="10.7109375" style="407" customWidth="1"/>
    <col min="10255" max="10255" width="0" style="407" hidden="1" customWidth="1"/>
    <col min="10256" max="10258" width="12.7109375" style="407" customWidth="1"/>
    <col min="10259" max="10259" width="9.140625" style="407"/>
    <col min="10260" max="10260" width="12.7109375" style="407" customWidth="1"/>
    <col min="10261" max="10495" width="9.140625" style="407"/>
    <col min="10496" max="10496" width="39.7109375" style="407" customWidth="1"/>
    <col min="10497" max="10497" width="4.7109375" style="407" customWidth="1"/>
    <col min="10498" max="10499" width="9.7109375" style="407" customWidth="1"/>
    <col min="10500" max="10500" width="13.7109375" style="407" customWidth="1"/>
    <col min="10501" max="10505" width="12.7109375" style="407" customWidth="1"/>
    <col min="10506" max="10506" width="10.7109375" style="407" customWidth="1"/>
    <col min="10507" max="10507" width="15.7109375" style="407" customWidth="1"/>
    <col min="10508" max="10508" width="3.7109375" style="407" customWidth="1"/>
    <col min="10509" max="10510" width="10.7109375" style="407" customWidth="1"/>
    <col min="10511" max="10511" width="0" style="407" hidden="1" customWidth="1"/>
    <col min="10512" max="10514" width="12.7109375" style="407" customWidth="1"/>
    <col min="10515" max="10515" width="9.140625" style="407"/>
    <col min="10516" max="10516" width="12.7109375" style="407" customWidth="1"/>
    <col min="10517" max="10751" width="9.140625" style="407"/>
    <col min="10752" max="10752" width="39.7109375" style="407" customWidth="1"/>
    <col min="10753" max="10753" width="4.7109375" style="407" customWidth="1"/>
    <col min="10754" max="10755" width="9.7109375" style="407" customWidth="1"/>
    <col min="10756" max="10756" width="13.7109375" style="407" customWidth="1"/>
    <col min="10757" max="10761" width="12.7109375" style="407" customWidth="1"/>
    <col min="10762" max="10762" width="10.7109375" style="407" customWidth="1"/>
    <col min="10763" max="10763" width="15.7109375" style="407" customWidth="1"/>
    <col min="10764" max="10764" width="3.7109375" style="407" customWidth="1"/>
    <col min="10765" max="10766" width="10.7109375" style="407" customWidth="1"/>
    <col min="10767" max="10767" width="0" style="407" hidden="1" customWidth="1"/>
    <col min="10768" max="10770" width="12.7109375" style="407" customWidth="1"/>
    <col min="10771" max="10771" width="9.140625" style="407"/>
    <col min="10772" max="10772" width="12.7109375" style="407" customWidth="1"/>
    <col min="10773" max="11007" width="9.140625" style="407"/>
    <col min="11008" max="11008" width="39.7109375" style="407" customWidth="1"/>
    <col min="11009" max="11009" width="4.7109375" style="407" customWidth="1"/>
    <col min="11010" max="11011" width="9.7109375" style="407" customWidth="1"/>
    <col min="11012" max="11012" width="13.7109375" style="407" customWidth="1"/>
    <col min="11013" max="11017" width="12.7109375" style="407" customWidth="1"/>
    <col min="11018" max="11018" width="10.7109375" style="407" customWidth="1"/>
    <col min="11019" max="11019" width="15.7109375" style="407" customWidth="1"/>
    <col min="11020" max="11020" width="3.7109375" style="407" customWidth="1"/>
    <col min="11021" max="11022" width="10.7109375" style="407" customWidth="1"/>
    <col min="11023" max="11023" width="0" style="407" hidden="1" customWidth="1"/>
    <col min="11024" max="11026" width="12.7109375" style="407" customWidth="1"/>
    <col min="11027" max="11027" width="9.140625" style="407"/>
    <col min="11028" max="11028" width="12.7109375" style="407" customWidth="1"/>
    <col min="11029" max="11263" width="9.140625" style="407"/>
    <col min="11264" max="11264" width="39.7109375" style="407" customWidth="1"/>
    <col min="11265" max="11265" width="4.7109375" style="407" customWidth="1"/>
    <col min="11266" max="11267" width="9.7109375" style="407" customWidth="1"/>
    <col min="11268" max="11268" width="13.7109375" style="407" customWidth="1"/>
    <col min="11269" max="11273" width="12.7109375" style="407" customWidth="1"/>
    <col min="11274" max="11274" width="10.7109375" style="407" customWidth="1"/>
    <col min="11275" max="11275" width="15.7109375" style="407" customWidth="1"/>
    <col min="11276" max="11276" width="3.7109375" style="407" customWidth="1"/>
    <col min="11277" max="11278" width="10.7109375" style="407" customWidth="1"/>
    <col min="11279" max="11279" width="0" style="407" hidden="1" customWidth="1"/>
    <col min="11280" max="11282" width="12.7109375" style="407" customWidth="1"/>
    <col min="11283" max="11283" width="9.140625" style="407"/>
    <col min="11284" max="11284" width="12.7109375" style="407" customWidth="1"/>
    <col min="11285" max="11519" width="9.140625" style="407"/>
    <col min="11520" max="11520" width="39.7109375" style="407" customWidth="1"/>
    <col min="11521" max="11521" width="4.7109375" style="407" customWidth="1"/>
    <col min="11522" max="11523" width="9.7109375" style="407" customWidth="1"/>
    <col min="11524" max="11524" width="13.7109375" style="407" customWidth="1"/>
    <col min="11525" max="11529" width="12.7109375" style="407" customWidth="1"/>
    <col min="11530" max="11530" width="10.7109375" style="407" customWidth="1"/>
    <col min="11531" max="11531" width="15.7109375" style="407" customWidth="1"/>
    <col min="11532" max="11532" width="3.7109375" style="407" customWidth="1"/>
    <col min="11533" max="11534" width="10.7109375" style="407" customWidth="1"/>
    <col min="11535" max="11535" width="0" style="407" hidden="1" customWidth="1"/>
    <col min="11536" max="11538" width="12.7109375" style="407" customWidth="1"/>
    <col min="11539" max="11539" width="9.140625" style="407"/>
    <col min="11540" max="11540" width="12.7109375" style="407" customWidth="1"/>
    <col min="11541" max="11775" width="9.140625" style="407"/>
    <col min="11776" max="11776" width="39.7109375" style="407" customWidth="1"/>
    <col min="11777" max="11777" width="4.7109375" style="407" customWidth="1"/>
    <col min="11778" max="11779" width="9.7109375" style="407" customWidth="1"/>
    <col min="11780" max="11780" width="13.7109375" style="407" customWidth="1"/>
    <col min="11781" max="11785" width="12.7109375" style="407" customWidth="1"/>
    <col min="11786" max="11786" width="10.7109375" style="407" customWidth="1"/>
    <col min="11787" max="11787" width="15.7109375" style="407" customWidth="1"/>
    <col min="11788" max="11788" width="3.7109375" style="407" customWidth="1"/>
    <col min="11789" max="11790" width="10.7109375" style="407" customWidth="1"/>
    <col min="11791" max="11791" width="0" style="407" hidden="1" customWidth="1"/>
    <col min="11792" max="11794" width="12.7109375" style="407" customWidth="1"/>
    <col min="11795" max="11795" width="9.140625" style="407"/>
    <col min="11796" max="11796" width="12.7109375" style="407" customWidth="1"/>
    <col min="11797" max="12031" width="9.140625" style="407"/>
    <col min="12032" max="12032" width="39.7109375" style="407" customWidth="1"/>
    <col min="12033" max="12033" width="4.7109375" style="407" customWidth="1"/>
    <col min="12034" max="12035" width="9.7109375" style="407" customWidth="1"/>
    <col min="12036" max="12036" width="13.7109375" style="407" customWidth="1"/>
    <col min="12037" max="12041" width="12.7109375" style="407" customWidth="1"/>
    <col min="12042" max="12042" width="10.7109375" style="407" customWidth="1"/>
    <col min="12043" max="12043" width="15.7109375" style="407" customWidth="1"/>
    <col min="12044" max="12044" width="3.7109375" style="407" customWidth="1"/>
    <col min="12045" max="12046" width="10.7109375" style="407" customWidth="1"/>
    <col min="12047" max="12047" width="0" style="407" hidden="1" customWidth="1"/>
    <col min="12048" max="12050" width="12.7109375" style="407" customWidth="1"/>
    <col min="12051" max="12051" width="9.140625" style="407"/>
    <col min="12052" max="12052" width="12.7109375" style="407" customWidth="1"/>
    <col min="12053" max="12287" width="9.140625" style="407"/>
    <col min="12288" max="12288" width="39.7109375" style="407" customWidth="1"/>
    <col min="12289" max="12289" width="4.7109375" style="407" customWidth="1"/>
    <col min="12290" max="12291" width="9.7109375" style="407" customWidth="1"/>
    <col min="12292" max="12292" width="13.7109375" style="407" customWidth="1"/>
    <col min="12293" max="12297" width="12.7109375" style="407" customWidth="1"/>
    <col min="12298" max="12298" width="10.7109375" style="407" customWidth="1"/>
    <col min="12299" max="12299" width="15.7109375" style="407" customWidth="1"/>
    <col min="12300" max="12300" width="3.7109375" style="407" customWidth="1"/>
    <col min="12301" max="12302" width="10.7109375" style="407" customWidth="1"/>
    <col min="12303" max="12303" width="0" style="407" hidden="1" customWidth="1"/>
    <col min="12304" max="12306" width="12.7109375" style="407" customWidth="1"/>
    <col min="12307" max="12307" width="9.140625" style="407"/>
    <col min="12308" max="12308" width="12.7109375" style="407" customWidth="1"/>
    <col min="12309" max="12543" width="9.140625" style="407"/>
    <col min="12544" max="12544" width="39.7109375" style="407" customWidth="1"/>
    <col min="12545" max="12545" width="4.7109375" style="407" customWidth="1"/>
    <col min="12546" max="12547" width="9.7109375" style="407" customWidth="1"/>
    <col min="12548" max="12548" width="13.7109375" style="407" customWidth="1"/>
    <col min="12549" max="12553" width="12.7109375" style="407" customWidth="1"/>
    <col min="12554" max="12554" width="10.7109375" style="407" customWidth="1"/>
    <col min="12555" max="12555" width="15.7109375" style="407" customWidth="1"/>
    <col min="12556" max="12556" width="3.7109375" style="407" customWidth="1"/>
    <col min="12557" max="12558" width="10.7109375" style="407" customWidth="1"/>
    <col min="12559" max="12559" width="0" style="407" hidden="1" customWidth="1"/>
    <col min="12560" max="12562" width="12.7109375" style="407" customWidth="1"/>
    <col min="12563" max="12563" width="9.140625" style="407"/>
    <col min="12564" max="12564" width="12.7109375" style="407" customWidth="1"/>
    <col min="12565" max="12799" width="9.140625" style="407"/>
    <col min="12800" max="12800" width="39.7109375" style="407" customWidth="1"/>
    <col min="12801" max="12801" width="4.7109375" style="407" customWidth="1"/>
    <col min="12802" max="12803" width="9.7109375" style="407" customWidth="1"/>
    <col min="12804" max="12804" width="13.7109375" style="407" customWidth="1"/>
    <col min="12805" max="12809" width="12.7109375" style="407" customWidth="1"/>
    <col min="12810" max="12810" width="10.7109375" style="407" customWidth="1"/>
    <col min="12811" max="12811" width="15.7109375" style="407" customWidth="1"/>
    <col min="12812" max="12812" width="3.7109375" style="407" customWidth="1"/>
    <col min="12813" max="12814" width="10.7109375" style="407" customWidth="1"/>
    <col min="12815" max="12815" width="0" style="407" hidden="1" customWidth="1"/>
    <col min="12816" max="12818" width="12.7109375" style="407" customWidth="1"/>
    <col min="12819" max="12819" width="9.140625" style="407"/>
    <col min="12820" max="12820" width="12.7109375" style="407" customWidth="1"/>
    <col min="12821" max="13055" width="9.140625" style="407"/>
    <col min="13056" max="13056" width="39.7109375" style="407" customWidth="1"/>
    <col min="13057" max="13057" width="4.7109375" style="407" customWidth="1"/>
    <col min="13058" max="13059" width="9.7109375" style="407" customWidth="1"/>
    <col min="13060" max="13060" width="13.7109375" style="407" customWidth="1"/>
    <col min="13061" max="13065" width="12.7109375" style="407" customWidth="1"/>
    <col min="13066" max="13066" width="10.7109375" style="407" customWidth="1"/>
    <col min="13067" max="13067" width="15.7109375" style="407" customWidth="1"/>
    <col min="13068" max="13068" width="3.7109375" style="407" customWidth="1"/>
    <col min="13069" max="13070" width="10.7109375" style="407" customWidth="1"/>
    <col min="13071" max="13071" width="0" style="407" hidden="1" customWidth="1"/>
    <col min="13072" max="13074" width="12.7109375" style="407" customWidth="1"/>
    <col min="13075" max="13075" width="9.140625" style="407"/>
    <col min="13076" max="13076" width="12.7109375" style="407" customWidth="1"/>
    <col min="13077" max="13311" width="9.140625" style="407"/>
    <col min="13312" max="13312" width="39.7109375" style="407" customWidth="1"/>
    <col min="13313" max="13313" width="4.7109375" style="407" customWidth="1"/>
    <col min="13314" max="13315" width="9.7109375" style="407" customWidth="1"/>
    <col min="13316" max="13316" width="13.7109375" style="407" customWidth="1"/>
    <col min="13317" max="13321" width="12.7109375" style="407" customWidth="1"/>
    <col min="13322" max="13322" width="10.7109375" style="407" customWidth="1"/>
    <col min="13323" max="13323" width="15.7109375" style="407" customWidth="1"/>
    <col min="13324" max="13324" width="3.7109375" style="407" customWidth="1"/>
    <col min="13325" max="13326" width="10.7109375" style="407" customWidth="1"/>
    <col min="13327" max="13327" width="0" style="407" hidden="1" customWidth="1"/>
    <col min="13328" max="13330" width="12.7109375" style="407" customWidth="1"/>
    <col min="13331" max="13331" width="9.140625" style="407"/>
    <col min="13332" max="13332" width="12.7109375" style="407" customWidth="1"/>
    <col min="13333" max="13567" width="9.140625" style="407"/>
    <col min="13568" max="13568" width="39.7109375" style="407" customWidth="1"/>
    <col min="13569" max="13569" width="4.7109375" style="407" customWidth="1"/>
    <col min="13570" max="13571" width="9.7109375" style="407" customWidth="1"/>
    <col min="13572" max="13572" width="13.7109375" style="407" customWidth="1"/>
    <col min="13573" max="13577" width="12.7109375" style="407" customWidth="1"/>
    <col min="13578" max="13578" width="10.7109375" style="407" customWidth="1"/>
    <col min="13579" max="13579" width="15.7109375" style="407" customWidth="1"/>
    <col min="13580" max="13580" width="3.7109375" style="407" customWidth="1"/>
    <col min="13581" max="13582" width="10.7109375" style="407" customWidth="1"/>
    <col min="13583" max="13583" width="0" style="407" hidden="1" customWidth="1"/>
    <col min="13584" max="13586" width="12.7109375" style="407" customWidth="1"/>
    <col min="13587" max="13587" width="9.140625" style="407"/>
    <col min="13588" max="13588" width="12.7109375" style="407" customWidth="1"/>
    <col min="13589" max="13823" width="9.140625" style="407"/>
    <col min="13824" max="13824" width="39.7109375" style="407" customWidth="1"/>
    <col min="13825" max="13825" width="4.7109375" style="407" customWidth="1"/>
    <col min="13826" max="13827" width="9.7109375" style="407" customWidth="1"/>
    <col min="13828" max="13828" width="13.7109375" style="407" customWidth="1"/>
    <col min="13829" max="13833" width="12.7109375" style="407" customWidth="1"/>
    <col min="13834" max="13834" width="10.7109375" style="407" customWidth="1"/>
    <col min="13835" max="13835" width="15.7109375" style="407" customWidth="1"/>
    <col min="13836" max="13836" width="3.7109375" style="407" customWidth="1"/>
    <col min="13837" max="13838" width="10.7109375" style="407" customWidth="1"/>
    <col min="13839" max="13839" width="0" style="407" hidden="1" customWidth="1"/>
    <col min="13840" max="13842" width="12.7109375" style="407" customWidth="1"/>
    <col min="13843" max="13843" width="9.140625" style="407"/>
    <col min="13844" max="13844" width="12.7109375" style="407" customWidth="1"/>
    <col min="13845" max="14079" width="9.140625" style="407"/>
    <col min="14080" max="14080" width="39.7109375" style="407" customWidth="1"/>
    <col min="14081" max="14081" width="4.7109375" style="407" customWidth="1"/>
    <col min="14082" max="14083" width="9.7109375" style="407" customWidth="1"/>
    <col min="14084" max="14084" width="13.7109375" style="407" customWidth="1"/>
    <col min="14085" max="14089" width="12.7109375" style="407" customWidth="1"/>
    <col min="14090" max="14090" width="10.7109375" style="407" customWidth="1"/>
    <col min="14091" max="14091" width="15.7109375" style="407" customWidth="1"/>
    <col min="14092" max="14092" width="3.7109375" style="407" customWidth="1"/>
    <col min="14093" max="14094" width="10.7109375" style="407" customWidth="1"/>
    <col min="14095" max="14095" width="0" style="407" hidden="1" customWidth="1"/>
    <col min="14096" max="14098" width="12.7109375" style="407" customWidth="1"/>
    <col min="14099" max="14099" width="9.140625" style="407"/>
    <col min="14100" max="14100" width="12.7109375" style="407" customWidth="1"/>
    <col min="14101" max="14335" width="9.140625" style="407"/>
    <col min="14336" max="14336" width="39.7109375" style="407" customWidth="1"/>
    <col min="14337" max="14337" width="4.7109375" style="407" customWidth="1"/>
    <col min="14338" max="14339" width="9.7109375" style="407" customWidth="1"/>
    <col min="14340" max="14340" width="13.7109375" style="407" customWidth="1"/>
    <col min="14341" max="14345" width="12.7109375" style="407" customWidth="1"/>
    <col min="14346" max="14346" width="10.7109375" style="407" customWidth="1"/>
    <col min="14347" max="14347" width="15.7109375" style="407" customWidth="1"/>
    <col min="14348" max="14348" width="3.7109375" style="407" customWidth="1"/>
    <col min="14349" max="14350" width="10.7109375" style="407" customWidth="1"/>
    <col min="14351" max="14351" width="0" style="407" hidden="1" customWidth="1"/>
    <col min="14352" max="14354" width="12.7109375" style="407" customWidth="1"/>
    <col min="14355" max="14355" width="9.140625" style="407"/>
    <col min="14356" max="14356" width="12.7109375" style="407" customWidth="1"/>
    <col min="14357" max="14591" width="9.140625" style="407"/>
    <col min="14592" max="14592" width="39.7109375" style="407" customWidth="1"/>
    <col min="14593" max="14593" width="4.7109375" style="407" customWidth="1"/>
    <col min="14594" max="14595" width="9.7109375" style="407" customWidth="1"/>
    <col min="14596" max="14596" width="13.7109375" style="407" customWidth="1"/>
    <col min="14597" max="14601" width="12.7109375" style="407" customWidth="1"/>
    <col min="14602" max="14602" width="10.7109375" style="407" customWidth="1"/>
    <col min="14603" max="14603" width="15.7109375" style="407" customWidth="1"/>
    <col min="14604" max="14604" width="3.7109375" style="407" customWidth="1"/>
    <col min="14605" max="14606" width="10.7109375" style="407" customWidth="1"/>
    <col min="14607" max="14607" width="0" style="407" hidden="1" customWidth="1"/>
    <col min="14608" max="14610" width="12.7109375" style="407" customWidth="1"/>
    <col min="14611" max="14611" width="9.140625" style="407"/>
    <col min="14612" max="14612" width="12.7109375" style="407" customWidth="1"/>
    <col min="14613" max="14847" width="9.140625" style="407"/>
    <col min="14848" max="14848" width="39.7109375" style="407" customWidth="1"/>
    <col min="14849" max="14849" width="4.7109375" style="407" customWidth="1"/>
    <col min="14850" max="14851" width="9.7109375" style="407" customWidth="1"/>
    <col min="14852" max="14852" width="13.7109375" style="407" customWidth="1"/>
    <col min="14853" max="14857" width="12.7109375" style="407" customWidth="1"/>
    <col min="14858" max="14858" width="10.7109375" style="407" customWidth="1"/>
    <col min="14859" max="14859" width="15.7109375" style="407" customWidth="1"/>
    <col min="14860" max="14860" width="3.7109375" style="407" customWidth="1"/>
    <col min="14861" max="14862" width="10.7109375" style="407" customWidth="1"/>
    <col min="14863" max="14863" width="0" style="407" hidden="1" customWidth="1"/>
    <col min="14864" max="14866" width="12.7109375" style="407" customWidth="1"/>
    <col min="14867" max="14867" width="9.140625" style="407"/>
    <col min="14868" max="14868" width="12.7109375" style="407" customWidth="1"/>
    <col min="14869" max="15103" width="9.140625" style="407"/>
    <col min="15104" max="15104" width="39.7109375" style="407" customWidth="1"/>
    <col min="15105" max="15105" width="4.7109375" style="407" customWidth="1"/>
    <col min="15106" max="15107" width="9.7109375" style="407" customWidth="1"/>
    <col min="15108" max="15108" width="13.7109375" style="407" customWidth="1"/>
    <col min="15109" max="15113" width="12.7109375" style="407" customWidth="1"/>
    <col min="15114" max="15114" width="10.7109375" style="407" customWidth="1"/>
    <col min="15115" max="15115" width="15.7109375" style="407" customWidth="1"/>
    <col min="15116" max="15116" width="3.7109375" style="407" customWidth="1"/>
    <col min="15117" max="15118" width="10.7109375" style="407" customWidth="1"/>
    <col min="15119" max="15119" width="0" style="407" hidden="1" customWidth="1"/>
    <col min="15120" max="15122" width="12.7109375" style="407" customWidth="1"/>
    <col min="15123" max="15123" width="9.140625" style="407"/>
    <col min="15124" max="15124" width="12.7109375" style="407" customWidth="1"/>
    <col min="15125" max="15359" width="9.140625" style="407"/>
    <col min="15360" max="15360" width="39.7109375" style="407" customWidth="1"/>
    <col min="15361" max="15361" width="4.7109375" style="407" customWidth="1"/>
    <col min="15362" max="15363" width="9.7109375" style="407" customWidth="1"/>
    <col min="15364" max="15364" width="13.7109375" style="407" customWidth="1"/>
    <col min="15365" max="15369" width="12.7109375" style="407" customWidth="1"/>
    <col min="15370" max="15370" width="10.7109375" style="407" customWidth="1"/>
    <col min="15371" max="15371" width="15.7109375" style="407" customWidth="1"/>
    <col min="15372" max="15372" width="3.7109375" style="407" customWidth="1"/>
    <col min="15373" max="15374" width="10.7109375" style="407" customWidth="1"/>
    <col min="15375" max="15375" width="0" style="407" hidden="1" customWidth="1"/>
    <col min="15376" max="15378" width="12.7109375" style="407" customWidth="1"/>
    <col min="15379" max="15379" width="9.140625" style="407"/>
    <col min="15380" max="15380" width="12.7109375" style="407" customWidth="1"/>
    <col min="15381" max="15615" width="9.140625" style="407"/>
    <col min="15616" max="15616" width="39.7109375" style="407" customWidth="1"/>
    <col min="15617" max="15617" width="4.7109375" style="407" customWidth="1"/>
    <col min="15618" max="15619" width="9.7109375" style="407" customWidth="1"/>
    <col min="15620" max="15620" width="13.7109375" style="407" customWidth="1"/>
    <col min="15621" max="15625" width="12.7109375" style="407" customWidth="1"/>
    <col min="15626" max="15626" width="10.7109375" style="407" customWidth="1"/>
    <col min="15627" max="15627" width="15.7109375" style="407" customWidth="1"/>
    <col min="15628" max="15628" width="3.7109375" style="407" customWidth="1"/>
    <col min="15629" max="15630" width="10.7109375" style="407" customWidth="1"/>
    <col min="15631" max="15631" width="0" style="407" hidden="1" customWidth="1"/>
    <col min="15632" max="15634" width="12.7109375" style="407" customWidth="1"/>
    <col min="15635" max="15635" width="9.140625" style="407"/>
    <col min="15636" max="15636" width="12.7109375" style="407" customWidth="1"/>
    <col min="15637" max="15871" width="9.140625" style="407"/>
    <col min="15872" max="15872" width="39.7109375" style="407" customWidth="1"/>
    <col min="15873" max="15873" width="4.7109375" style="407" customWidth="1"/>
    <col min="15874" max="15875" width="9.7109375" style="407" customWidth="1"/>
    <col min="15876" max="15876" width="13.7109375" style="407" customWidth="1"/>
    <col min="15877" max="15881" width="12.7109375" style="407" customWidth="1"/>
    <col min="15882" max="15882" width="10.7109375" style="407" customWidth="1"/>
    <col min="15883" max="15883" width="15.7109375" style="407" customWidth="1"/>
    <col min="15884" max="15884" width="3.7109375" style="407" customWidth="1"/>
    <col min="15885" max="15886" width="10.7109375" style="407" customWidth="1"/>
    <col min="15887" max="15887" width="0" style="407" hidden="1" customWidth="1"/>
    <col min="15888" max="15890" width="12.7109375" style="407" customWidth="1"/>
    <col min="15891" max="15891" width="9.140625" style="407"/>
    <col min="15892" max="15892" width="12.7109375" style="407" customWidth="1"/>
    <col min="15893" max="16127" width="9.140625" style="407"/>
    <col min="16128" max="16128" width="39.7109375" style="407" customWidth="1"/>
    <col min="16129" max="16129" width="4.7109375" style="407" customWidth="1"/>
    <col min="16130" max="16131" width="9.7109375" style="407" customWidth="1"/>
    <col min="16132" max="16132" width="13.7109375" style="407" customWidth="1"/>
    <col min="16133" max="16137" width="12.7109375" style="407" customWidth="1"/>
    <col min="16138" max="16138" width="10.7109375" style="407" customWidth="1"/>
    <col min="16139" max="16139" width="15.7109375" style="407" customWidth="1"/>
    <col min="16140" max="16140" width="3.7109375" style="407" customWidth="1"/>
    <col min="16141" max="16142" width="10.7109375" style="407" customWidth="1"/>
    <col min="16143" max="16143" width="0" style="407" hidden="1" customWidth="1"/>
    <col min="16144" max="16146" width="12.7109375" style="407" customWidth="1"/>
    <col min="16147" max="16147" width="9.140625" style="407"/>
    <col min="16148" max="16148" width="12.7109375" style="407" customWidth="1"/>
    <col min="16149" max="16384" width="9.140625" style="407"/>
  </cols>
  <sheetData>
    <row r="1" spans="1:25" ht="15.95" customHeight="1">
      <c r="A1" s="398" t="s">
        <v>270</v>
      </c>
      <c r="B1" s="399" t="str">
        <f>ANACO!C5</f>
        <v>P1002_25_CON_REV03_P1 E EI ALLUMINIO</v>
      </c>
      <c r="C1" s="400"/>
      <c r="D1" s="401"/>
      <c r="E1" s="402"/>
      <c r="F1" s="403"/>
      <c r="G1" s="404"/>
    </row>
    <row r="2" spans="1:25" ht="15.95" customHeight="1">
      <c r="A2" s="398" t="s">
        <v>271</v>
      </c>
      <c r="B2" s="399" t="str">
        <f>ANACO!C8</f>
        <v>Mr.Marco Mor/Ing. Esposito</v>
      </c>
      <c r="C2" s="400"/>
      <c r="D2" s="401"/>
      <c r="E2" s="408"/>
      <c r="F2" s="403"/>
    </row>
    <row r="3" spans="1:25" ht="15.95" customHeight="1">
      <c r="A3" s="398" t="s">
        <v>272</v>
      </c>
      <c r="B3" s="399" t="str">
        <f>ANACO!C7</f>
        <v>VASTINT ITALY s.r.l.</v>
      </c>
      <c r="C3" s="400"/>
      <c r="D3" s="401"/>
      <c r="E3" s="408"/>
      <c r="F3" s="410"/>
      <c r="G3" s="411"/>
    </row>
    <row r="4" spans="1:25" ht="18" customHeight="1" thickBot="1">
      <c r="A4" s="412" t="s">
        <v>273</v>
      </c>
      <c r="B4" s="413"/>
      <c r="C4" s="414"/>
      <c r="D4" s="415"/>
      <c r="E4" s="408"/>
      <c r="F4" s="410"/>
      <c r="G4" s="411"/>
      <c r="J4" s="411"/>
    </row>
    <row r="5" spans="1:25" ht="12.75" customHeight="1">
      <c r="A5" s="416"/>
      <c r="B5" s="417"/>
      <c r="C5" s="417"/>
      <c r="D5" s="417"/>
      <c r="E5" s="418"/>
      <c r="F5" s="419"/>
      <c r="G5" s="830" t="s">
        <v>274</v>
      </c>
      <c r="H5" s="832" t="s">
        <v>275</v>
      </c>
      <c r="I5" s="832" t="s">
        <v>276</v>
      </c>
      <c r="J5" s="840" t="s">
        <v>277</v>
      </c>
      <c r="K5" s="834" t="s">
        <v>278</v>
      </c>
      <c r="L5" s="842" t="s">
        <v>279</v>
      </c>
      <c r="M5" s="420"/>
      <c r="N5" s="838" t="s">
        <v>280</v>
      </c>
      <c r="O5" s="812" t="s">
        <v>281</v>
      </c>
      <c r="P5" s="814" t="s">
        <v>282</v>
      </c>
      <c r="Q5" s="816" t="s">
        <v>283</v>
      </c>
      <c r="R5" s="818" t="s">
        <v>284</v>
      </c>
      <c r="T5" s="820" t="s">
        <v>285</v>
      </c>
      <c r="V5" s="822" t="s">
        <v>286</v>
      </c>
      <c r="W5" s="824" t="s">
        <v>287</v>
      </c>
      <c r="X5" s="826" t="s">
        <v>288</v>
      </c>
      <c r="Y5" s="421"/>
    </row>
    <row r="6" spans="1:25" ht="12.75" customHeight="1">
      <c r="A6" s="422" t="s">
        <v>289</v>
      </c>
      <c r="B6" s="423"/>
      <c r="C6" s="423"/>
      <c r="D6" s="424" t="s">
        <v>290</v>
      </c>
      <c r="E6" s="424" t="s">
        <v>291</v>
      </c>
      <c r="F6" s="425"/>
      <c r="G6" s="831"/>
      <c r="H6" s="833"/>
      <c r="I6" s="833"/>
      <c r="J6" s="841"/>
      <c r="K6" s="835"/>
      <c r="L6" s="843"/>
      <c r="M6" s="426"/>
      <c r="N6" s="839"/>
      <c r="O6" s="813"/>
      <c r="P6" s="815"/>
      <c r="Q6" s="817"/>
      <c r="R6" s="819"/>
      <c r="T6" s="821"/>
      <c r="V6" s="823"/>
      <c r="W6" s="825"/>
      <c r="X6" s="827"/>
      <c r="Y6" s="427"/>
    </row>
    <row r="7" spans="1:25" ht="5.0999999999999996" customHeight="1">
      <c r="A7" s="428"/>
      <c r="B7" s="429"/>
      <c r="C7" s="429"/>
      <c r="D7" s="430"/>
      <c r="E7" s="431"/>
      <c r="F7" s="425"/>
      <c r="G7" s="432"/>
      <c r="H7" s="433"/>
      <c r="I7" s="433"/>
      <c r="J7" s="434"/>
      <c r="K7" s="435"/>
      <c r="L7" s="436"/>
      <c r="M7" s="433"/>
      <c r="N7" s="437"/>
      <c r="O7" s="438"/>
      <c r="P7" s="439"/>
      <c r="Q7" s="440"/>
      <c r="R7" s="441"/>
      <c r="T7" s="442"/>
      <c r="V7" s="443"/>
      <c r="W7" s="444"/>
      <c r="X7" s="445"/>
      <c r="Y7" s="446"/>
    </row>
    <row r="8" spans="1:25" ht="12.75" customHeight="1">
      <c r="A8" s="447" t="str">
        <f>'SUMMARY COSTI'!B3</f>
        <v>PRODOTTO ACQUISTATO FINITO LEGNO O LEGNO ALLUMINIO
Scontato
TOTALE</v>
      </c>
      <c r="B8" s="448" t="s">
        <v>292</v>
      </c>
      <c r="C8" s="449"/>
      <c r="D8" s="450">
        <f>'SUMMARY COSTI'!D3</f>
        <v>0</v>
      </c>
      <c r="E8" s="451"/>
      <c r="F8" s="452"/>
      <c r="G8" s="453"/>
      <c r="H8" s="454">
        <f>V8</f>
        <v>0</v>
      </c>
      <c r="I8" s="454">
        <f>G8-H8</f>
        <v>0</v>
      </c>
      <c r="J8" s="455">
        <f t="shared" ref="J8:J34" si="0">IF(G8=0,0,H8/G8)</f>
        <v>0</v>
      </c>
      <c r="K8" s="456">
        <v>0</v>
      </c>
      <c r="L8" s="457">
        <f t="shared" ref="L8:L34" si="1">D8-G8</f>
        <v>0</v>
      </c>
      <c r="M8" s="458" t="str">
        <f>IF(L8&lt;0,"-","ok")</f>
        <v>ok</v>
      </c>
      <c r="N8" s="459">
        <f t="shared" ref="N8:N34" si="2">IF(D8=0,0,IF(G8=0,0,IF(G8/D8&lt;1,G8/D8,1)))</f>
        <v>0</v>
      </c>
      <c r="O8" s="460">
        <f t="shared" ref="O8:O34" si="3">IF(K8&lt;&gt;0,(G8/K8)-G8,D8*(1-K8))</f>
        <v>0</v>
      </c>
      <c r="P8" s="461" t="str">
        <f>IF(D8=0,IF(G8=0,"-","ATTENZIONE"),IF(G8&lt;D8,"ok","ATTENZIONE"))</f>
        <v>-</v>
      </c>
      <c r="Q8" s="462" t="str">
        <f t="shared" ref="Q8:Q34" si="4">IF(D8=0,"-",IF(K8&gt;=N8,"ok","ATTENZIONE"))</f>
        <v>-</v>
      </c>
      <c r="R8" s="463" t="str">
        <f>IF(D8=0,"-",IF(K8&gt;=(H8/D8),"ok","ATTENZIONE"))</f>
        <v>-</v>
      </c>
      <c r="T8" s="464">
        <f t="shared" ref="T8:T11" si="5">IF(K8=1,L8,D8-G8-O8)</f>
        <v>0</v>
      </c>
      <c r="V8" s="465">
        <f>SUM(W8:Y8)</f>
        <v>0</v>
      </c>
      <c r="W8" s="466"/>
      <c r="X8" s="467">
        <v>0</v>
      </c>
      <c r="Y8" s="468"/>
    </row>
    <row r="9" spans="1:25" ht="12.75" customHeight="1">
      <c r="A9" s="447" t="str">
        <f>'SUMMARY COSTI'!B4</f>
        <v>ST /LZ - STAFFAME
TOT.</v>
      </c>
      <c r="B9" s="448" t="s">
        <v>292</v>
      </c>
      <c r="C9" s="449"/>
      <c r="D9" s="450">
        <f>'SUMMARY COSTI'!D4</f>
        <v>0</v>
      </c>
      <c r="E9" s="469"/>
      <c r="F9" s="452"/>
      <c r="G9" s="470"/>
      <c r="H9" s="454">
        <f t="shared" ref="H9:H33" si="6">V9</f>
        <v>0</v>
      </c>
      <c r="I9" s="471">
        <f t="shared" ref="I9:I34" si="7">G9-H9</f>
        <v>0</v>
      </c>
      <c r="J9" s="455">
        <f t="shared" si="0"/>
        <v>0</v>
      </c>
      <c r="K9" s="456">
        <v>0</v>
      </c>
      <c r="L9" s="472">
        <f t="shared" si="1"/>
        <v>0</v>
      </c>
      <c r="M9" s="473" t="str">
        <f t="shared" ref="M9:M34" si="8">IF(L9&lt;0,"-","ok")</f>
        <v>ok</v>
      </c>
      <c r="N9" s="474">
        <f t="shared" si="2"/>
        <v>0</v>
      </c>
      <c r="O9" s="475">
        <f t="shared" si="3"/>
        <v>0</v>
      </c>
      <c r="P9" s="461" t="str">
        <f t="shared" ref="P9:P34" si="9">IF(D9=0,IF(G9=0,"-","ATTENZIONE"),IF(G9&lt;D9,"ok","ATTENZIONE"))</f>
        <v>-</v>
      </c>
      <c r="Q9" s="462" t="str">
        <f>IF(D9=0,"-",IF(K9&gt;=N9,"ok","ATTENZIONE"))</f>
        <v>-</v>
      </c>
      <c r="R9" s="463" t="str">
        <f>IF(D9=0,"-",IF(K9&gt;=(H9/D9),"ok","ATTENZIONE"))</f>
        <v>-</v>
      </c>
      <c r="T9" s="464">
        <f t="shared" si="5"/>
        <v>0</v>
      </c>
      <c r="V9" s="476">
        <f t="shared" ref="V9:V34" si="10">SUM(W9:Y9)</f>
        <v>0</v>
      </c>
      <c r="W9" s="477"/>
      <c r="X9" s="478"/>
      <c r="Y9" s="479"/>
    </row>
    <row r="10" spans="1:25" ht="12.75" customHeight="1">
      <c r="A10" s="447" t="str">
        <f>'SUMMARY COSTI'!B5</f>
        <v>Accessorio
Maniglie e 
Maniglioni
TOTALE</v>
      </c>
      <c r="B10" s="448" t="s">
        <v>292</v>
      </c>
      <c r="C10" s="449"/>
      <c r="D10" s="450">
        <f>'SUMMARY COSTI'!D5</f>
        <v>51960</v>
      </c>
      <c r="E10" s="469"/>
      <c r="F10" s="452"/>
      <c r="G10" s="470"/>
      <c r="H10" s="454">
        <f t="shared" si="6"/>
        <v>0</v>
      </c>
      <c r="I10" s="471">
        <f t="shared" si="7"/>
        <v>0</v>
      </c>
      <c r="J10" s="455">
        <f t="shared" si="0"/>
        <v>0</v>
      </c>
      <c r="K10" s="456">
        <v>0</v>
      </c>
      <c r="L10" s="472">
        <f t="shared" si="1"/>
        <v>51960</v>
      </c>
      <c r="M10" s="473" t="str">
        <f t="shared" si="8"/>
        <v>ok</v>
      </c>
      <c r="N10" s="474">
        <f t="shared" si="2"/>
        <v>0</v>
      </c>
      <c r="O10" s="475">
        <f t="shared" si="3"/>
        <v>51960</v>
      </c>
      <c r="P10" s="461" t="str">
        <f t="shared" si="9"/>
        <v>ok</v>
      </c>
      <c r="Q10" s="462" t="str">
        <f>IF(D10=0,"-",IF(K10&gt;=N10,"ok","ATTENZIONE"))</f>
        <v>ok</v>
      </c>
      <c r="R10" s="463" t="str">
        <f>IF(D10=0,"-",IF(K10&gt;=(H10/D10),"ok","ATTENZIONE"))</f>
        <v>ok</v>
      </c>
      <c r="T10" s="464">
        <f t="shared" si="5"/>
        <v>0</v>
      </c>
      <c r="V10" s="476">
        <f t="shared" ref="V10" si="11">SUM(W10:Y10)</f>
        <v>0</v>
      </c>
      <c r="W10" s="477"/>
      <c r="X10" s="478"/>
      <c r="Y10" s="479"/>
    </row>
    <row r="11" spans="1:25" ht="12.75" customHeight="1">
      <c r="A11" s="447" t="str">
        <f>'SUMMARY COSTI'!B6</f>
        <v>LA
TOTALE</v>
      </c>
      <c r="B11" s="448" t="s">
        <v>292</v>
      </c>
      <c r="C11" s="449"/>
      <c r="D11" s="450">
        <f>'SUMMARY COSTI'!D6</f>
        <v>20324.920000000002</v>
      </c>
      <c r="E11" s="469"/>
      <c r="F11" s="452"/>
      <c r="G11" s="470"/>
      <c r="H11" s="454">
        <f t="shared" si="6"/>
        <v>0</v>
      </c>
      <c r="I11" s="471">
        <f t="shared" si="7"/>
        <v>0</v>
      </c>
      <c r="J11" s="455">
        <f t="shared" si="0"/>
        <v>0</v>
      </c>
      <c r="K11" s="456">
        <v>0</v>
      </c>
      <c r="L11" s="472">
        <f t="shared" si="1"/>
        <v>20324.920000000002</v>
      </c>
      <c r="M11" s="473" t="str">
        <f t="shared" si="8"/>
        <v>ok</v>
      </c>
      <c r="N11" s="474">
        <f t="shared" si="2"/>
        <v>0</v>
      </c>
      <c r="O11" s="475">
        <f t="shared" si="3"/>
        <v>20324.920000000002</v>
      </c>
      <c r="P11" s="461" t="str">
        <f t="shared" si="9"/>
        <v>ok</v>
      </c>
      <c r="Q11" s="462" t="str">
        <f t="shared" si="4"/>
        <v>ok</v>
      </c>
      <c r="R11" s="463" t="str">
        <f t="shared" ref="R11:R34" si="12">IF(D11=0,"-",IF(K11&gt;=(H11/D11),"ok","ATTENZIONE"))</f>
        <v>ok</v>
      </c>
      <c r="T11" s="464">
        <f t="shared" si="5"/>
        <v>0</v>
      </c>
      <c r="V11" s="476">
        <f t="shared" si="10"/>
        <v>0</v>
      </c>
      <c r="W11" s="477"/>
      <c r="X11" s="478"/>
      <c r="Y11" s="479"/>
    </row>
    <row r="12" spans="1:25" ht="12.75" customHeight="1">
      <c r="A12" s="447" t="str">
        <f>'SUMMARY COSTI'!B7</f>
        <v xml:space="preserve">
PACCHETTO DI COIBENTAZIONECOIBENTAZIONE
TOTALE</v>
      </c>
      <c r="B12" s="448" t="s">
        <v>292</v>
      </c>
      <c r="C12" s="449"/>
      <c r="D12" s="450">
        <f>'SUMMARY COSTI'!D7</f>
        <v>9839.9080000000013</v>
      </c>
      <c r="E12" s="469"/>
      <c r="F12" s="452"/>
      <c r="G12" s="470"/>
      <c r="H12" s="454">
        <f t="shared" si="6"/>
        <v>0</v>
      </c>
      <c r="I12" s="471">
        <f t="shared" si="7"/>
        <v>0</v>
      </c>
      <c r="J12" s="455">
        <f t="shared" si="0"/>
        <v>0</v>
      </c>
      <c r="K12" s="456">
        <v>0</v>
      </c>
      <c r="L12" s="472">
        <f t="shared" si="1"/>
        <v>9839.9080000000013</v>
      </c>
      <c r="M12" s="473" t="str">
        <f t="shared" si="8"/>
        <v>ok</v>
      </c>
      <c r="N12" s="474">
        <f t="shared" si="2"/>
        <v>0</v>
      </c>
      <c r="O12" s="475">
        <f t="shared" si="3"/>
        <v>9839.9080000000013</v>
      </c>
      <c r="P12" s="461" t="str">
        <f t="shared" si="9"/>
        <v>ok</v>
      </c>
      <c r="Q12" s="462" t="str">
        <f t="shared" si="4"/>
        <v>ok</v>
      </c>
      <c r="R12" s="463" t="str">
        <f t="shared" si="12"/>
        <v>ok</v>
      </c>
      <c r="T12" s="464">
        <f>IF(K12=1,L12,D12-G12-O12)</f>
        <v>0</v>
      </c>
      <c r="V12" s="476">
        <f t="shared" si="10"/>
        <v>0</v>
      </c>
      <c r="W12" s="477"/>
      <c r="X12" s="478"/>
      <c r="Y12" s="479"/>
    </row>
    <row r="13" spans="1:25" ht="12.75" customHeight="1">
      <c r="A13" s="447" t="str">
        <f>'SUMMARY COSTI'!B8</f>
        <v>SISTEMA ALLUMINIO E ACCESSORI DI SISTEMA 
TOTALE</v>
      </c>
      <c r="B13" s="448" t="s">
        <v>292</v>
      </c>
      <c r="C13" s="449"/>
      <c r="D13" s="450">
        <f>'SUMMARY COSTI'!D8</f>
        <v>85329</v>
      </c>
      <c r="E13" s="469"/>
      <c r="F13" s="452"/>
      <c r="G13" s="470"/>
      <c r="H13" s="454">
        <f t="shared" si="6"/>
        <v>0</v>
      </c>
      <c r="I13" s="471">
        <f t="shared" si="7"/>
        <v>0</v>
      </c>
      <c r="J13" s="455">
        <f t="shared" si="0"/>
        <v>0</v>
      </c>
      <c r="K13" s="456">
        <v>0</v>
      </c>
      <c r="L13" s="472">
        <f t="shared" si="1"/>
        <v>85329</v>
      </c>
      <c r="M13" s="473" t="str">
        <f t="shared" si="8"/>
        <v>ok</v>
      </c>
      <c r="N13" s="474">
        <f t="shared" si="2"/>
        <v>0</v>
      </c>
      <c r="O13" s="475">
        <f t="shared" si="3"/>
        <v>85329</v>
      </c>
      <c r="P13" s="461" t="str">
        <f t="shared" si="9"/>
        <v>ok</v>
      </c>
      <c r="Q13" s="462" t="str">
        <f t="shared" si="4"/>
        <v>ok</v>
      </c>
      <c r="R13" s="463" t="str">
        <f t="shared" si="12"/>
        <v>ok</v>
      </c>
      <c r="T13" s="464">
        <f t="shared" ref="T13:T34" si="13">IF(K13=1,L13,D13-G13-O13)</f>
        <v>0</v>
      </c>
      <c r="V13" s="476">
        <f t="shared" si="10"/>
        <v>0</v>
      </c>
      <c r="W13" s="477"/>
      <c r="X13" s="478"/>
      <c r="Y13" s="479"/>
    </row>
    <row r="14" spans="1:25" ht="12.75" customHeight="1">
      <c r="A14" s="447" t="str">
        <f>'SUMMARY COSTI'!B9</f>
        <v>SISTEMA ACCIAIO E ACCESSORI DI SISTEMA  TOTALE</v>
      </c>
      <c r="B14" s="448" t="s">
        <v>292</v>
      </c>
      <c r="C14" s="449"/>
      <c r="D14" s="450">
        <f>'SUMMARY COSTI'!D9</f>
        <v>128084.992</v>
      </c>
      <c r="E14" s="469"/>
      <c r="F14" s="452"/>
      <c r="G14" s="470"/>
      <c r="H14" s="454">
        <f t="shared" si="6"/>
        <v>0</v>
      </c>
      <c r="I14" s="471">
        <f t="shared" si="7"/>
        <v>0</v>
      </c>
      <c r="J14" s="455">
        <f t="shared" si="0"/>
        <v>0</v>
      </c>
      <c r="K14" s="456">
        <v>0</v>
      </c>
      <c r="L14" s="472">
        <f t="shared" si="1"/>
        <v>128084.992</v>
      </c>
      <c r="M14" s="473" t="str">
        <f t="shared" si="8"/>
        <v>ok</v>
      </c>
      <c r="N14" s="474">
        <f t="shared" si="2"/>
        <v>0</v>
      </c>
      <c r="O14" s="475">
        <f t="shared" si="3"/>
        <v>128084.992</v>
      </c>
      <c r="P14" s="461" t="str">
        <f t="shared" si="9"/>
        <v>ok</v>
      </c>
      <c r="Q14" s="462" t="str">
        <f t="shared" si="4"/>
        <v>ok</v>
      </c>
      <c r="R14" s="463" t="str">
        <f t="shared" si="12"/>
        <v>ok</v>
      </c>
      <c r="T14" s="464">
        <f t="shared" si="13"/>
        <v>0</v>
      </c>
      <c r="V14" s="476">
        <f t="shared" si="10"/>
        <v>0</v>
      </c>
      <c r="W14" s="477"/>
      <c r="X14" s="478"/>
      <c r="Y14" s="479"/>
    </row>
    <row r="15" spans="1:25" ht="12.75" customHeight="1">
      <c r="A15" s="447" t="str">
        <f>'SUMMARY COSTI'!B10</f>
        <v>Trasformazione Acciaio
TOTALE</v>
      </c>
      <c r="B15" s="448" t="s">
        <v>292</v>
      </c>
      <c r="C15" s="449"/>
      <c r="D15" s="450">
        <f>'SUMMARY COSTI'!D10</f>
        <v>106630</v>
      </c>
      <c r="E15" s="469"/>
      <c r="F15" s="452"/>
      <c r="G15" s="470"/>
      <c r="H15" s="454">
        <f t="shared" si="6"/>
        <v>0</v>
      </c>
      <c r="I15" s="471">
        <f t="shared" si="7"/>
        <v>0</v>
      </c>
      <c r="J15" s="455">
        <f t="shared" si="0"/>
        <v>0</v>
      </c>
      <c r="K15" s="456">
        <v>0</v>
      </c>
      <c r="L15" s="472">
        <f t="shared" si="1"/>
        <v>106630</v>
      </c>
      <c r="M15" s="473" t="str">
        <f t="shared" si="8"/>
        <v>ok</v>
      </c>
      <c r="N15" s="474">
        <f t="shared" si="2"/>
        <v>0</v>
      </c>
      <c r="O15" s="475">
        <f t="shared" si="3"/>
        <v>106630</v>
      </c>
      <c r="P15" s="461" t="str">
        <f t="shared" si="9"/>
        <v>ok</v>
      </c>
      <c r="Q15" s="462" t="str">
        <f>IF(D15=0,"-",IF(K15&gt;=N15,"ok","ATTENZIONE"))</f>
        <v>ok</v>
      </c>
      <c r="R15" s="463" t="str">
        <f>IF(D15=0,"-",IF(K15&gt;=(H15/D15),"ok","ATTENZIONE"))</f>
        <v>ok</v>
      </c>
      <c r="T15" s="464">
        <f t="shared" si="13"/>
        <v>0</v>
      </c>
      <c r="V15" s="476">
        <f t="shared" si="10"/>
        <v>0</v>
      </c>
      <c r="W15" s="477"/>
      <c r="X15" s="478"/>
      <c r="Y15" s="479"/>
    </row>
    <row r="16" spans="1:25" ht="12.75" customHeight="1">
      <c r="A16" s="480" t="str">
        <f>'SUMMARY COSTI'!B11</f>
        <v>Automatismo
TOTALE</v>
      </c>
      <c r="B16" s="448" t="s">
        <v>292</v>
      </c>
      <c r="C16" s="449"/>
      <c r="D16" s="450">
        <f>'SUMMARY COSTI'!D11</f>
        <v>10620</v>
      </c>
      <c r="E16" s="469"/>
      <c r="F16" s="452"/>
      <c r="G16" s="470"/>
      <c r="H16" s="454">
        <f t="shared" si="6"/>
        <v>0</v>
      </c>
      <c r="I16" s="471">
        <f t="shared" si="7"/>
        <v>0</v>
      </c>
      <c r="J16" s="455">
        <f t="shared" si="0"/>
        <v>0</v>
      </c>
      <c r="K16" s="456">
        <v>0</v>
      </c>
      <c r="L16" s="472">
        <f t="shared" si="1"/>
        <v>10620</v>
      </c>
      <c r="M16" s="473" t="str">
        <f t="shared" si="8"/>
        <v>ok</v>
      </c>
      <c r="N16" s="474">
        <f t="shared" si="2"/>
        <v>0</v>
      </c>
      <c r="O16" s="475">
        <f t="shared" si="3"/>
        <v>10620</v>
      </c>
      <c r="P16" s="461" t="str">
        <f t="shared" si="9"/>
        <v>ok</v>
      </c>
      <c r="Q16" s="462" t="str">
        <f t="shared" si="4"/>
        <v>ok</v>
      </c>
      <c r="R16" s="463" t="str">
        <f t="shared" si="12"/>
        <v>ok</v>
      </c>
      <c r="T16" s="464">
        <f t="shared" si="13"/>
        <v>0</v>
      </c>
      <c r="V16" s="476">
        <f t="shared" si="10"/>
        <v>0</v>
      </c>
      <c r="W16" s="477"/>
      <c r="X16" s="478"/>
      <c r="Y16" s="479"/>
    </row>
    <row r="17" spans="1:25" ht="12.75" customHeight="1">
      <c r="A17" s="447" t="str">
        <f>'SUMMARY COSTI'!B12</f>
        <v>Vetro
TOTALE.</v>
      </c>
      <c r="B17" s="448" t="s">
        <v>292</v>
      </c>
      <c r="C17" s="449"/>
      <c r="D17" s="450">
        <f>'SUMMARY COSTI'!D12</f>
        <v>151038.32499999998</v>
      </c>
      <c r="E17" s="469"/>
      <c r="F17" s="452"/>
      <c r="G17" s="470"/>
      <c r="H17" s="454">
        <f t="shared" si="6"/>
        <v>0</v>
      </c>
      <c r="I17" s="471">
        <f t="shared" si="7"/>
        <v>0</v>
      </c>
      <c r="J17" s="455">
        <f t="shared" si="0"/>
        <v>0</v>
      </c>
      <c r="K17" s="456">
        <v>0</v>
      </c>
      <c r="L17" s="472">
        <f t="shared" si="1"/>
        <v>151038.32499999998</v>
      </c>
      <c r="M17" s="473" t="str">
        <f t="shared" si="8"/>
        <v>ok</v>
      </c>
      <c r="N17" s="474">
        <f t="shared" si="2"/>
        <v>0</v>
      </c>
      <c r="O17" s="475">
        <f t="shared" si="3"/>
        <v>151038.32499999998</v>
      </c>
      <c r="P17" s="461" t="str">
        <f t="shared" si="9"/>
        <v>ok</v>
      </c>
      <c r="Q17" s="462" t="str">
        <f t="shared" si="4"/>
        <v>ok</v>
      </c>
      <c r="R17" s="463" t="str">
        <f t="shared" si="12"/>
        <v>ok</v>
      </c>
      <c r="T17" s="464">
        <f t="shared" si="13"/>
        <v>0</v>
      </c>
      <c r="V17" s="476">
        <f t="shared" si="10"/>
        <v>0</v>
      </c>
      <c r="W17" s="477"/>
      <c r="X17" s="478"/>
      <c r="Y17" s="479"/>
    </row>
    <row r="18" spans="1:25" ht="12.75" customHeight="1">
      <c r="A18" s="447" t="str">
        <f>'SUMMARY COSTI'!B13</f>
        <v>Pannell
TOTALE</v>
      </c>
      <c r="B18" s="448" t="s">
        <v>292</v>
      </c>
      <c r="C18" s="449"/>
      <c r="D18" s="450">
        <f>'SUMMARY COSTI'!D13</f>
        <v>0</v>
      </c>
      <c r="E18" s="469"/>
      <c r="F18" s="452"/>
      <c r="G18" s="470"/>
      <c r="H18" s="454">
        <f t="shared" si="6"/>
        <v>0</v>
      </c>
      <c r="I18" s="471">
        <f t="shared" si="7"/>
        <v>0</v>
      </c>
      <c r="J18" s="455">
        <f t="shared" si="0"/>
        <v>0</v>
      </c>
      <c r="K18" s="456">
        <v>0</v>
      </c>
      <c r="L18" s="472">
        <f t="shared" si="1"/>
        <v>0</v>
      </c>
      <c r="M18" s="473" t="str">
        <f t="shared" si="8"/>
        <v>ok</v>
      </c>
      <c r="N18" s="474">
        <f t="shared" si="2"/>
        <v>0</v>
      </c>
      <c r="O18" s="475">
        <f t="shared" si="3"/>
        <v>0</v>
      </c>
      <c r="P18" s="461" t="str">
        <f t="shared" si="9"/>
        <v>-</v>
      </c>
      <c r="Q18" s="462" t="str">
        <f t="shared" si="4"/>
        <v>-</v>
      </c>
      <c r="R18" s="463" t="str">
        <f t="shared" si="12"/>
        <v>-</v>
      </c>
      <c r="T18" s="464">
        <f t="shared" si="13"/>
        <v>0</v>
      </c>
      <c r="V18" s="476">
        <f t="shared" si="10"/>
        <v>0</v>
      </c>
      <c r="W18" s="477"/>
      <c r="X18" s="478"/>
      <c r="Y18" s="479"/>
    </row>
    <row r="19" spans="1:25" ht="12.75" customHeight="1">
      <c r="A19" s="447" t="str">
        <f>'SUMMARY COSTI'!B14</f>
        <v>Controtelaio
TOTALE.</v>
      </c>
      <c r="B19" s="448" t="s">
        <v>292</v>
      </c>
      <c r="C19" s="449"/>
      <c r="D19" s="450">
        <f>'SUMMARY COSTI'!D14</f>
        <v>32920.300000000003</v>
      </c>
      <c r="E19" s="469"/>
      <c r="F19" s="452"/>
      <c r="G19" s="470"/>
      <c r="H19" s="454">
        <f t="shared" si="6"/>
        <v>0</v>
      </c>
      <c r="I19" s="471">
        <f t="shared" si="7"/>
        <v>0</v>
      </c>
      <c r="J19" s="455">
        <f t="shared" si="0"/>
        <v>0</v>
      </c>
      <c r="K19" s="456">
        <v>0</v>
      </c>
      <c r="L19" s="472">
        <f t="shared" si="1"/>
        <v>32920.300000000003</v>
      </c>
      <c r="M19" s="473" t="str">
        <f t="shared" si="8"/>
        <v>ok</v>
      </c>
      <c r="N19" s="474">
        <f t="shared" si="2"/>
        <v>0</v>
      </c>
      <c r="O19" s="475">
        <f t="shared" si="3"/>
        <v>32920.300000000003</v>
      </c>
      <c r="P19" s="461" t="str">
        <f t="shared" si="9"/>
        <v>ok</v>
      </c>
      <c r="Q19" s="462" t="str">
        <f t="shared" si="4"/>
        <v>ok</v>
      </c>
      <c r="R19" s="463" t="str">
        <f t="shared" si="12"/>
        <v>ok</v>
      </c>
      <c r="T19" s="464">
        <f t="shared" si="13"/>
        <v>0</v>
      </c>
      <c r="V19" s="476">
        <f t="shared" si="10"/>
        <v>0</v>
      </c>
      <c r="W19" s="477"/>
      <c r="X19" s="478"/>
      <c r="Y19" s="479"/>
    </row>
    <row r="20" spans="1:25">
      <c r="A20" s="481" t="s">
        <v>293</v>
      </c>
      <c r="B20" s="482" t="s">
        <v>294</v>
      </c>
      <c r="C20" s="482"/>
      <c r="D20" s="483">
        <f>SUM(D8:D19)</f>
        <v>596747.44499999995</v>
      </c>
      <c r="E20" s="469"/>
      <c r="F20" s="452"/>
      <c r="G20" s="470"/>
      <c r="H20" s="454">
        <f t="shared" si="6"/>
        <v>0</v>
      </c>
      <c r="I20" s="471">
        <f t="shared" si="7"/>
        <v>0</v>
      </c>
      <c r="J20" s="455">
        <f t="shared" si="0"/>
        <v>0</v>
      </c>
      <c r="K20" s="456">
        <v>0</v>
      </c>
      <c r="L20" s="472">
        <f t="shared" si="1"/>
        <v>596747.44499999995</v>
      </c>
      <c r="M20" s="473" t="str">
        <f t="shared" si="8"/>
        <v>ok</v>
      </c>
      <c r="N20" s="474">
        <f t="shared" si="2"/>
        <v>0</v>
      </c>
      <c r="O20" s="475">
        <f t="shared" si="3"/>
        <v>596747.44499999995</v>
      </c>
      <c r="P20" s="461" t="str">
        <f t="shared" si="9"/>
        <v>ok</v>
      </c>
      <c r="Q20" s="462" t="str">
        <f t="shared" si="4"/>
        <v>ok</v>
      </c>
      <c r="R20" s="463" t="str">
        <f t="shared" si="12"/>
        <v>ok</v>
      </c>
      <c r="T20" s="464">
        <f t="shared" si="13"/>
        <v>0</v>
      </c>
      <c r="V20" s="476">
        <f t="shared" si="10"/>
        <v>0</v>
      </c>
      <c r="W20" s="477"/>
      <c r="X20" s="478"/>
      <c r="Y20" s="479"/>
    </row>
    <row r="21" spans="1:25" ht="12.75" customHeight="1">
      <c r="A21" s="484"/>
      <c r="B21" s="448" t="s">
        <v>292</v>
      </c>
      <c r="C21" s="449"/>
      <c r="D21" s="485">
        <v>0</v>
      </c>
      <c r="E21" s="469"/>
      <c r="F21" s="452"/>
      <c r="G21" s="470"/>
      <c r="H21" s="454">
        <f t="shared" si="6"/>
        <v>0</v>
      </c>
      <c r="I21" s="471">
        <f t="shared" si="7"/>
        <v>0</v>
      </c>
      <c r="J21" s="455">
        <f t="shared" si="0"/>
        <v>0</v>
      </c>
      <c r="K21" s="486">
        <v>0</v>
      </c>
      <c r="L21" s="472">
        <f t="shared" si="1"/>
        <v>0</v>
      </c>
      <c r="M21" s="473" t="str">
        <f t="shared" si="8"/>
        <v>ok</v>
      </c>
      <c r="N21" s="474">
        <f t="shared" si="2"/>
        <v>0</v>
      </c>
      <c r="O21" s="475">
        <f t="shared" si="3"/>
        <v>0</v>
      </c>
      <c r="P21" s="461" t="str">
        <f t="shared" si="9"/>
        <v>-</v>
      </c>
      <c r="Q21" s="462" t="str">
        <f t="shared" si="4"/>
        <v>-</v>
      </c>
      <c r="R21" s="463" t="str">
        <f t="shared" si="12"/>
        <v>-</v>
      </c>
      <c r="T21" s="464">
        <f t="shared" si="13"/>
        <v>0</v>
      </c>
      <c r="V21" s="476">
        <f t="shared" si="10"/>
        <v>0</v>
      </c>
      <c r="W21" s="477"/>
      <c r="X21" s="478"/>
      <c r="Y21" s="479"/>
    </row>
    <row r="22" spans="1:25" ht="12.75" customHeight="1">
      <c r="A22" s="484"/>
      <c r="B22" s="448" t="s">
        <v>292</v>
      </c>
      <c r="C22" s="449"/>
      <c r="D22" s="485">
        <v>0</v>
      </c>
      <c r="E22" s="469"/>
      <c r="F22" s="452"/>
      <c r="G22" s="470"/>
      <c r="H22" s="454">
        <f t="shared" si="6"/>
        <v>0</v>
      </c>
      <c r="I22" s="471">
        <f t="shared" si="7"/>
        <v>0</v>
      </c>
      <c r="J22" s="455">
        <f t="shared" si="0"/>
        <v>0</v>
      </c>
      <c r="K22" s="486">
        <v>0</v>
      </c>
      <c r="L22" s="472">
        <f t="shared" si="1"/>
        <v>0</v>
      </c>
      <c r="M22" s="473" t="str">
        <f t="shared" si="8"/>
        <v>ok</v>
      </c>
      <c r="N22" s="474">
        <f t="shared" si="2"/>
        <v>0</v>
      </c>
      <c r="O22" s="475">
        <f t="shared" si="3"/>
        <v>0</v>
      </c>
      <c r="P22" s="461" t="str">
        <f t="shared" si="9"/>
        <v>-</v>
      </c>
      <c r="Q22" s="462" t="str">
        <f t="shared" si="4"/>
        <v>-</v>
      </c>
      <c r="R22" s="463" t="str">
        <f t="shared" si="12"/>
        <v>-</v>
      </c>
      <c r="T22" s="464">
        <f t="shared" si="13"/>
        <v>0</v>
      </c>
      <c r="V22" s="476">
        <f t="shared" si="10"/>
        <v>0</v>
      </c>
      <c r="W22" s="477"/>
      <c r="X22" s="478"/>
      <c r="Y22" s="479"/>
    </row>
    <row r="23" spans="1:25" ht="12.75" customHeight="1">
      <c r="A23" s="484"/>
      <c r="B23" s="448" t="s">
        <v>292</v>
      </c>
      <c r="C23" s="449"/>
      <c r="D23" s="485">
        <v>0</v>
      </c>
      <c r="E23" s="469"/>
      <c r="F23" s="452"/>
      <c r="G23" s="470"/>
      <c r="H23" s="454">
        <f t="shared" si="6"/>
        <v>0</v>
      </c>
      <c r="I23" s="471">
        <f t="shared" si="7"/>
        <v>0</v>
      </c>
      <c r="J23" s="455">
        <f t="shared" si="0"/>
        <v>0</v>
      </c>
      <c r="K23" s="486">
        <v>0</v>
      </c>
      <c r="L23" s="472">
        <f t="shared" si="1"/>
        <v>0</v>
      </c>
      <c r="M23" s="473" t="str">
        <f t="shared" si="8"/>
        <v>ok</v>
      </c>
      <c r="N23" s="474">
        <f t="shared" si="2"/>
        <v>0</v>
      </c>
      <c r="O23" s="475">
        <f t="shared" si="3"/>
        <v>0</v>
      </c>
      <c r="P23" s="461" t="str">
        <f t="shared" si="9"/>
        <v>-</v>
      </c>
      <c r="Q23" s="462" t="str">
        <f t="shared" si="4"/>
        <v>-</v>
      </c>
      <c r="R23" s="463" t="str">
        <f t="shared" si="12"/>
        <v>-</v>
      </c>
      <c r="T23" s="464">
        <f t="shared" si="13"/>
        <v>0</v>
      </c>
      <c r="V23" s="476">
        <f t="shared" si="10"/>
        <v>0</v>
      </c>
      <c r="W23" s="477"/>
      <c r="X23" s="478"/>
      <c r="Y23" s="479"/>
    </row>
    <row r="24" spans="1:25" ht="12.75" customHeight="1">
      <c r="A24" s="484"/>
      <c r="B24" s="448" t="s">
        <v>292</v>
      </c>
      <c r="C24" s="449"/>
      <c r="D24" s="485">
        <v>0</v>
      </c>
      <c r="E24" s="469"/>
      <c r="F24" s="452"/>
      <c r="G24" s="470"/>
      <c r="H24" s="454">
        <f t="shared" si="6"/>
        <v>0</v>
      </c>
      <c r="I24" s="471">
        <f t="shared" si="7"/>
        <v>0</v>
      </c>
      <c r="J24" s="455">
        <f t="shared" si="0"/>
        <v>0</v>
      </c>
      <c r="K24" s="486">
        <v>0</v>
      </c>
      <c r="L24" s="472">
        <f t="shared" si="1"/>
        <v>0</v>
      </c>
      <c r="M24" s="473" t="str">
        <f t="shared" si="8"/>
        <v>ok</v>
      </c>
      <c r="N24" s="474">
        <f t="shared" si="2"/>
        <v>0</v>
      </c>
      <c r="O24" s="475">
        <f t="shared" si="3"/>
        <v>0</v>
      </c>
      <c r="P24" s="461" t="str">
        <f t="shared" si="9"/>
        <v>-</v>
      </c>
      <c r="Q24" s="462" t="str">
        <f t="shared" si="4"/>
        <v>-</v>
      </c>
      <c r="R24" s="463" t="str">
        <f t="shared" si="12"/>
        <v>-</v>
      </c>
      <c r="T24" s="464">
        <f t="shared" si="13"/>
        <v>0</v>
      </c>
      <c r="V24" s="476">
        <f t="shared" si="10"/>
        <v>0</v>
      </c>
      <c r="W24" s="477"/>
      <c r="X24" s="478"/>
      <c r="Y24" s="479"/>
    </row>
    <row r="25" spans="1:25" ht="12.75" customHeight="1">
      <c r="A25" s="484"/>
      <c r="B25" s="448" t="s">
        <v>292</v>
      </c>
      <c r="C25" s="449"/>
      <c r="D25" s="485">
        <v>0</v>
      </c>
      <c r="E25" s="469"/>
      <c r="F25" s="452"/>
      <c r="G25" s="470"/>
      <c r="H25" s="454">
        <f t="shared" si="6"/>
        <v>0</v>
      </c>
      <c r="I25" s="471">
        <f t="shared" si="7"/>
        <v>0</v>
      </c>
      <c r="J25" s="455">
        <f t="shared" si="0"/>
        <v>0</v>
      </c>
      <c r="K25" s="486">
        <v>0</v>
      </c>
      <c r="L25" s="472">
        <f t="shared" si="1"/>
        <v>0</v>
      </c>
      <c r="M25" s="473" t="str">
        <f t="shared" si="8"/>
        <v>ok</v>
      </c>
      <c r="N25" s="474">
        <f t="shared" si="2"/>
        <v>0</v>
      </c>
      <c r="O25" s="475">
        <f t="shared" si="3"/>
        <v>0</v>
      </c>
      <c r="P25" s="461" t="str">
        <f t="shared" si="9"/>
        <v>-</v>
      </c>
      <c r="Q25" s="462" t="str">
        <f t="shared" si="4"/>
        <v>-</v>
      </c>
      <c r="R25" s="463" t="str">
        <f t="shared" si="12"/>
        <v>-</v>
      </c>
      <c r="T25" s="464">
        <f t="shared" si="13"/>
        <v>0</v>
      </c>
      <c r="V25" s="476">
        <f t="shared" si="10"/>
        <v>0</v>
      </c>
      <c r="W25" s="477"/>
      <c r="X25" s="478"/>
      <c r="Y25" s="479"/>
    </row>
    <row r="26" spans="1:25" ht="12.75" customHeight="1">
      <c r="A26" s="484"/>
      <c r="B26" s="448" t="s">
        <v>292</v>
      </c>
      <c r="C26" s="449"/>
      <c r="D26" s="485">
        <v>0</v>
      </c>
      <c r="E26" s="469"/>
      <c r="F26" s="452"/>
      <c r="G26" s="470"/>
      <c r="H26" s="454">
        <f t="shared" si="6"/>
        <v>0</v>
      </c>
      <c r="I26" s="471">
        <f t="shared" si="7"/>
        <v>0</v>
      </c>
      <c r="J26" s="455">
        <f t="shared" si="0"/>
        <v>0</v>
      </c>
      <c r="K26" s="486">
        <v>0</v>
      </c>
      <c r="L26" s="472">
        <f t="shared" si="1"/>
        <v>0</v>
      </c>
      <c r="M26" s="473" t="str">
        <f t="shared" si="8"/>
        <v>ok</v>
      </c>
      <c r="N26" s="474">
        <f t="shared" si="2"/>
        <v>0</v>
      </c>
      <c r="O26" s="475">
        <f t="shared" si="3"/>
        <v>0</v>
      </c>
      <c r="P26" s="461" t="str">
        <f t="shared" si="9"/>
        <v>-</v>
      </c>
      <c r="Q26" s="462" t="str">
        <f t="shared" si="4"/>
        <v>-</v>
      </c>
      <c r="R26" s="463" t="str">
        <f t="shared" si="12"/>
        <v>-</v>
      </c>
      <c r="T26" s="464">
        <f t="shared" si="13"/>
        <v>0</v>
      </c>
      <c r="V26" s="476">
        <f t="shared" si="10"/>
        <v>0</v>
      </c>
      <c r="W26" s="477"/>
      <c r="X26" s="478"/>
      <c r="Y26" s="479"/>
    </row>
    <row r="27" spans="1:25" ht="12.75" customHeight="1">
      <c r="A27" s="484"/>
      <c r="B27" s="448" t="s">
        <v>292</v>
      </c>
      <c r="C27" s="449"/>
      <c r="D27" s="485">
        <v>0</v>
      </c>
      <c r="E27" s="469"/>
      <c r="F27" s="452"/>
      <c r="G27" s="470"/>
      <c r="H27" s="454">
        <f t="shared" si="6"/>
        <v>0</v>
      </c>
      <c r="I27" s="471">
        <f t="shared" si="7"/>
        <v>0</v>
      </c>
      <c r="J27" s="455">
        <f t="shared" si="0"/>
        <v>0</v>
      </c>
      <c r="K27" s="486">
        <v>0</v>
      </c>
      <c r="L27" s="472">
        <f t="shared" si="1"/>
        <v>0</v>
      </c>
      <c r="M27" s="473" t="str">
        <f t="shared" si="8"/>
        <v>ok</v>
      </c>
      <c r="N27" s="474">
        <f t="shared" si="2"/>
        <v>0</v>
      </c>
      <c r="O27" s="475">
        <f t="shared" si="3"/>
        <v>0</v>
      </c>
      <c r="P27" s="461" t="str">
        <f t="shared" si="9"/>
        <v>-</v>
      </c>
      <c r="Q27" s="462" t="str">
        <f t="shared" si="4"/>
        <v>-</v>
      </c>
      <c r="R27" s="463" t="str">
        <f t="shared" si="12"/>
        <v>-</v>
      </c>
      <c r="T27" s="464">
        <f t="shared" si="13"/>
        <v>0</v>
      </c>
      <c r="V27" s="476">
        <f t="shared" si="10"/>
        <v>0</v>
      </c>
      <c r="W27" s="477"/>
      <c r="X27" s="478"/>
      <c r="Y27" s="479"/>
    </row>
    <row r="28" spans="1:25" ht="12.75" customHeight="1">
      <c r="A28" s="484"/>
      <c r="B28" s="448" t="s">
        <v>292</v>
      </c>
      <c r="C28" s="449"/>
      <c r="D28" s="485">
        <v>0</v>
      </c>
      <c r="E28" s="469"/>
      <c r="F28" s="452"/>
      <c r="G28" s="470"/>
      <c r="H28" s="454">
        <f t="shared" si="6"/>
        <v>0</v>
      </c>
      <c r="I28" s="471">
        <f t="shared" si="7"/>
        <v>0</v>
      </c>
      <c r="J28" s="455">
        <f t="shared" si="0"/>
        <v>0</v>
      </c>
      <c r="K28" s="486">
        <v>0</v>
      </c>
      <c r="L28" s="472">
        <f t="shared" si="1"/>
        <v>0</v>
      </c>
      <c r="M28" s="473" t="str">
        <f t="shared" si="8"/>
        <v>ok</v>
      </c>
      <c r="N28" s="474">
        <f t="shared" si="2"/>
        <v>0</v>
      </c>
      <c r="O28" s="475">
        <f t="shared" si="3"/>
        <v>0</v>
      </c>
      <c r="P28" s="461" t="str">
        <f t="shared" si="9"/>
        <v>-</v>
      </c>
      <c r="Q28" s="462" t="str">
        <f t="shared" si="4"/>
        <v>-</v>
      </c>
      <c r="R28" s="463" t="str">
        <f t="shared" si="12"/>
        <v>-</v>
      </c>
      <c r="T28" s="464">
        <f t="shared" si="13"/>
        <v>0</v>
      </c>
      <c r="V28" s="476">
        <f t="shared" si="10"/>
        <v>0</v>
      </c>
      <c r="W28" s="477"/>
      <c r="X28" s="478"/>
      <c r="Y28" s="479"/>
    </row>
    <row r="29" spans="1:25" ht="12.75" customHeight="1">
      <c r="A29" s="484"/>
      <c r="B29" s="448" t="s">
        <v>292</v>
      </c>
      <c r="C29" s="449"/>
      <c r="D29" s="485">
        <v>0</v>
      </c>
      <c r="E29" s="469"/>
      <c r="F29" s="452"/>
      <c r="G29" s="470"/>
      <c r="H29" s="454">
        <f t="shared" si="6"/>
        <v>0</v>
      </c>
      <c r="I29" s="471">
        <f t="shared" si="7"/>
        <v>0</v>
      </c>
      <c r="J29" s="455">
        <f t="shared" si="0"/>
        <v>0</v>
      </c>
      <c r="K29" s="486">
        <v>0</v>
      </c>
      <c r="L29" s="472">
        <f t="shared" si="1"/>
        <v>0</v>
      </c>
      <c r="M29" s="473" t="str">
        <f t="shared" si="8"/>
        <v>ok</v>
      </c>
      <c r="N29" s="474">
        <f t="shared" si="2"/>
        <v>0</v>
      </c>
      <c r="O29" s="475">
        <f t="shared" si="3"/>
        <v>0</v>
      </c>
      <c r="P29" s="461" t="str">
        <f t="shared" si="9"/>
        <v>-</v>
      </c>
      <c r="Q29" s="462" t="str">
        <f t="shared" si="4"/>
        <v>-</v>
      </c>
      <c r="R29" s="463" t="str">
        <f t="shared" si="12"/>
        <v>-</v>
      </c>
      <c r="T29" s="464">
        <f t="shared" si="13"/>
        <v>0</v>
      </c>
      <c r="V29" s="476">
        <f t="shared" si="10"/>
        <v>0</v>
      </c>
      <c r="W29" s="477"/>
      <c r="X29" s="478"/>
      <c r="Y29" s="479"/>
    </row>
    <row r="30" spans="1:25" ht="12.75" customHeight="1">
      <c r="A30" s="484"/>
      <c r="B30" s="448" t="s">
        <v>292</v>
      </c>
      <c r="C30" s="449"/>
      <c r="D30" s="485">
        <v>0</v>
      </c>
      <c r="E30" s="469"/>
      <c r="F30" s="452"/>
      <c r="G30" s="470"/>
      <c r="H30" s="454">
        <f t="shared" si="6"/>
        <v>0</v>
      </c>
      <c r="I30" s="471">
        <f t="shared" si="7"/>
        <v>0</v>
      </c>
      <c r="J30" s="455">
        <f t="shared" si="0"/>
        <v>0</v>
      </c>
      <c r="K30" s="486">
        <v>0</v>
      </c>
      <c r="L30" s="472">
        <f t="shared" si="1"/>
        <v>0</v>
      </c>
      <c r="M30" s="473" t="str">
        <f t="shared" si="8"/>
        <v>ok</v>
      </c>
      <c r="N30" s="474">
        <f t="shared" si="2"/>
        <v>0</v>
      </c>
      <c r="O30" s="475">
        <f t="shared" si="3"/>
        <v>0</v>
      </c>
      <c r="P30" s="461" t="str">
        <f t="shared" si="9"/>
        <v>-</v>
      </c>
      <c r="Q30" s="462" t="str">
        <f t="shared" si="4"/>
        <v>-</v>
      </c>
      <c r="R30" s="463" t="str">
        <f t="shared" si="12"/>
        <v>-</v>
      </c>
      <c r="T30" s="464">
        <f t="shared" si="13"/>
        <v>0</v>
      </c>
      <c r="V30" s="476">
        <f t="shared" ref="V30" si="14">SUM(W30:Y30)</f>
        <v>0</v>
      </c>
      <c r="W30" s="477"/>
      <c r="X30" s="478"/>
      <c r="Y30" s="479"/>
    </row>
    <row r="31" spans="1:25" ht="12.75" customHeight="1">
      <c r="A31" s="484"/>
      <c r="B31" s="448" t="s">
        <v>292</v>
      </c>
      <c r="C31" s="449"/>
      <c r="D31" s="485">
        <v>0</v>
      </c>
      <c r="E31" s="469"/>
      <c r="F31" s="452"/>
      <c r="G31" s="470"/>
      <c r="H31" s="454">
        <f t="shared" si="6"/>
        <v>0</v>
      </c>
      <c r="I31" s="471">
        <f t="shared" si="7"/>
        <v>0</v>
      </c>
      <c r="J31" s="455">
        <f t="shared" si="0"/>
        <v>0</v>
      </c>
      <c r="K31" s="486">
        <v>0</v>
      </c>
      <c r="L31" s="472">
        <f t="shared" si="1"/>
        <v>0</v>
      </c>
      <c r="M31" s="473" t="str">
        <f t="shared" si="8"/>
        <v>ok</v>
      </c>
      <c r="N31" s="474">
        <f t="shared" si="2"/>
        <v>0</v>
      </c>
      <c r="O31" s="475">
        <f t="shared" si="3"/>
        <v>0</v>
      </c>
      <c r="P31" s="461" t="str">
        <f t="shared" si="9"/>
        <v>-</v>
      </c>
      <c r="Q31" s="462" t="str">
        <f t="shared" si="4"/>
        <v>-</v>
      </c>
      <c r="R31" s="463" t="str">
        <f t="shared" si="12"/>
        <v>-</v>
      </c>
      <c r="T31" s="464">
        <f t="shared" si="13"/>
        <v>0</v>
      </c>
      <c r="V31" s="476">
        <f t="shared" si="10"/>
        <v>0</v>
      </c>
      <c r="W31" s="477"/>
      <c r="X31" s="478"/>
      <c r="Y31" s="479"/>
    </row>
    <row r="32" spans="1:25" ht="12.75" customHeight="1">
      <c r="A32" s="484"/>
      <c r="B32" s="448" t="s">
        <v>292</v>
      </c>
      <c r="C32" s="449"/>
      <c r="D32" s="485">
        <v>0</v>
      </c>
      <c r="E32" s="469"/>
      <c r="F32" s="452"/>
      <c r="G32" s="470"/>
      <c r="H32" s="454">
        <f t="shared" si="6"/>
        <v>0</v>
      </c>
      <c r="I32" s="471">
        <f t="shared" si="7"/>
        <v>0</v>
      </c>
      <c r="J32" s="455">
        <f t="shared" si="0"/>
        <v>0</v>
      </c>
      <c r="K32" s="486">
        <v>0</v>
      </c>
      <c r="L32" s="472">
        <f t="shared" si="1"/>
        <v>0</v>
      </c>
      <c r="M32" s="473" t="str">
        <f t="shared" si="8"/>
        <v>ok</v>
      </c>
      <c r="N32" s="474">
        <f t="shared" si="2"/>
        <v>0</v>
      </c>
      <c r="O32" s="475">
        <f t="shared" si="3"/>
        <v>0</v>
      </c>
      <c r="P32" s="461" t="str">
        <f t="shared" si="9"/>
        <v>-</v>
      </c>
      <c r="Q32" s="462" t="str">
        <f t="shared" si="4"/>
        <v>-</v>
      </c>
      <c r="R32" s="463" t="str">
        <f t="shared" si="12"/>
        <v>-</v>
      </c>
      <c r="T32" s="464">
        <f t="shared" si="13"/>
        <v>0</v>
      </c>
      <c r="V32" s="476">
        <f t="shared" ref="V32" si="15">SUM(W32:Y32)</f>
        <v>0</v>
      </c>
      <c r="W32" s="477"/>
      <c r="X32" s="478"/>
      <c r="Y32" s="479"/>
    </row>
    <row r="33" spans="1:25" ht="12.75" customHeight="1">
      <c r="A33" s="484"/>
      <c r="B33" s="448" t="s">
        <v>292</v>
      </c>
      <c r="C33" s="449"/>
      <c r="D33" s="485">
        <v>0</v>
      </c>
      <c r="E33" s="469"/>
      <c r="F33" s="452"/>
      <c r="G33" s="470"/>
      <c r="H33" s="454">
        <f t="shared" si="6"/>
        <v>0</v>
      </c>
      <c r="I33" s="471">
        <f t="shared" si="7"/>
        <v>0</v>
      </c>
      <c r="J33" s="455">
        <f t="shared" si="0"/>
        <v>0</v>
      </c>
      <c r="K33" s="486">
        <v>0</v>
      </c>
      <c r="L33" s="472">
        <f t="shared" si="1"/>
        <v>0</v>
      </c>
      <c r="M33" s="473" t="str">
        <f t="shared" si="8"/>
        <v>ok</v>
      </c>
      <c r="N33" s="474">
        <f t="shared" si="2"/>
        <v>0</v>
      </c>
      <c r="O33" s="475">
        <f t="shared" si="3"/>
        <v>0</v>
      </c>
      <c r="P33" s="461" t="str">
        <f t="shared" si="9"/>
        <v>-</v>
      </c>
      <c r="Q33" s="462" t="str">
        <f t="shared" si="4"/>
        <v>-</v>
      </c>
      <c r="R33" s="463" t="str">
        <f t="shared" si="12"/>
        <v>-</v>
      </c>
      <c r="T33" s="464">
        <f t="shared" si="13"/>
        <v>0</v>
      </c>
      <c r="V33" s="476">
        <f t="shared" si="10"/>
        <v>0</v>
      </c>
      <c r="W33" s="477"/>
      <c r="X33" s="478"/>
      <c r="Y33" s="479"/>
    </row>
    <row r="34" spans="1:25" ht="12.75" customHeight="1" thickBot="1">
      <c r="A34" s="484"/>
      <c r="B34" s="448" t="s">
        <v>292</v>
      </c>
      <c r="C34" s="449"/>
      <c r="D34" s="485">
        <v>0</v>
      </c>
      <c r="E34" s="469"/>
      <c r="F34" s="452"/>
      <c r="G34" s="487"/>
      <c r="H34" s="488">
        <f>V34</f>
        <v>0</v>
      </c>
      <c r="I34" s="488">
        <f t="shared" si="7"/>
        <v>0</v>
      </c>
      <c r="J34" s="489">
        <f t="shared" si="0"/>
        <v>0</v>
      </c>
      <c r="K34" s="490">
        <v>0</v>
      </c>
      <c r="L34" s="491">
        <f t="shared" si="1"/>
        <v>0</v>
      </c>
      <c r="M34" s="492" t="str">
        <f t="shared" si="8"/>
        <v>ok</v>
      </c>
      <c r="N34" s="493">
        <f t="shared" si="2"/>
        <v>0</v>
      </c>
      <c r="O34" s="494">
        <f t="shared" si="3"/>
        <v>0</v>
      </c>
      <c r="P34" s="495" t="str">
        <f t="shared" si="9"/>
        <v>-</v>
      </c>
      <c r="Q34" s="496" t="str">
        <f t="shared" si="4"/>
        <v>-</v>
      </c>
      <c r="R34" s="497" t="str">
        <f t="shared" si="12"/>
        <v>-</v>
      </c>
      <c r="T34" s="464">
        <f t="shared" si="13"/>
        <v>0</v>
      </c>
      <c r="V34" s="476">
        <f t="shared" si="10"/>
        <v>0</v>
      </c>
      <c r="W34" s="477"/>
      <c r="X34" s="478"/>
      <c r="Y34" s="479"/>
    </row>
    <row r="35" spans="1:25" ht="12.75" customHeight="1" thickBot="1">
      <c r="A35" s="498"/>
      <c r="B35" s="499"/>
      <c r="C35" s="500" t="s">
        <v>295</v>
      </c>
      <c r="D35" s="501">
        <f>SUM(D20:D34)</f>
        <v>596747.44499999995</v>
      </c>
      <c r="E35" s="502"/>
      <c r="F35" s="452"/>
      <c r="G35" s="503"/>
      <c r="T35" s="504"/>
    </row>
    <row r="36" spans="1:25" ht="12.75" customHeight="1" thickBot="1">
      <c r="A36" s="505"/>
      <c r="B36" s="506"/>
      <c r="C36" s="507"/>
      <c r="D36" s="508"/>
      <c r="E36" s="509"/>
      <c r="F36" s="510"/>
      <c r="G36" s="510"/>
      <c r="T36" s="511"/>
    </row>
    <row r="37" spans="1:25" ht="5.0999999999999996" customHeight="1">
      <c r="A37" s="512"/>
      <c r="B37" s="513"/>
      <c r="C37" s="514"/>
      <c r="D37" s="515"/>
      <c r="E37" s="516"/>
      <c r="F37" s="452"/>
      <c r="G37" s="517"/>
      <c r="H37" s="518"/>
      <c r="I37" s="518"/>
      <c r="J37" s="519"/>
      <c r="K37" s="520"/>
      <c r="L37" s="521"/>
      <c r="M37" s="522"/>
      <c r="N37" s="523"/>
      <c r="O37" s="524"/>
      <c r="P37" s="525"/>
      <c r="Q37" s="526"/>
      <c r="R37" s="527"/>
      <c r="T37" s="528"/>
      <c r="V37" s="529"/>
      <c r="W37" s="530"/>
      <c r="X37" s="531"/>
      <c r="Y37" s="532"/>
    </row>
    <row r="38" spans="1:25" ht="12.75" customHeight="1">
      <c r="A38" s="447" t="str">
        <f>'SUMMARY COSTI'!B15</f>
        <v>Trasformazione
Alluminio
TOTALE.</v>
      </c>
      <c r="B38" s="533" t="s">
        <v>292</v>
      </c>
      <c r="C38" s="534"/>
      <c r="D38" s="535">
        <f>'SUMMARY COSTI'!D15</f>
        <v>102793.5</v>
      </c>
      <c r="E38" s="469"/>
      <c r="F38" s="452"/>
      <c r="G38" s="470"/>
      <c r="H38" s="471">
        <f t="shared" ref="H38:H41" si="16">V38</f>
        <v>0</v>
      </c>
      <c r="I38" s="471">
        <f t="shared" ref="I38:I41" si="17">G38-H38</f>
        <v>0</v>
      </c>
      <c r="J38" s="455">
        <f t="shared" ref="J38:J41" si="18">IF(G38=0,0,H38/G38)</f>
        <v>0</v>
      </c>
      <c r="K38" s="486">
        <v>0</v>
      </c>
      <c r="L38" s="472">
        <f>D38-G38</f>
        <v>102793.5</v>
      </c>
      <c r="M38" s="473" t="str">
        <f t="shared" ref="M38:M41" si="19">IF(L38&lt;0,"-","ok")</f>
        <v>ok</v>
      </c>
      <c r="N38" s="474">
        <f>IF(D38=0,0,IF(G38=0,0,IF(G38/D38&lt;1,G38/D38,1)))</f>
        <v>0</v>
      </c>
      <c r="O38" s="475">
        <f>IF(K38&lt;&gt;0,(G38/K38)-G38,D38*(1-K38))</f>
        <v>102793.5</v>
      </c>
      <c r="P38" s="461" t="str">
        <f t="shared" ref="P38:P41" si="20">IF(D38=0,IF(G38=0,"-","ATTENZIONE"),IF(G38&lt;D38,"ok","ATTENZIONE"))</f>
        <v>ok</v>
      </c>
      <c r="Q38" s="462" t="str">
        <f t="shared" ref="Q38:Q41" si="21">IF(D38=0,"-",IF(K38&gt;=N38,"ok","ATTENZIONE"))</f>
        <v>ok</v>
      </c>
      <c r="R38" s="463" t="str">
        <f t="shared" ref="R38:R41" si="22">IF(D38=0,"-",IF(K38&gt;=(H38/D38),"ok","ATTENZIONE"))</f>
        <v>ok</v>
      </c>
      <c r="T38" s="464">
        <f t="shared" ref="T38:T41" si="23">IF(K38=1,L38,D38-G38-O38)</f>
        <v>0</v>
      </c>
      <c r="V38" s="476">
        <f t="shared" ref="V38:V41" si="24">SUM(W38:Y38)</f>
        <v>0</v>
      </c>
      <c r="W38" s="477"/>
      <c r="X38" s="478"/>
      <c r="Y38" s="479"/>
    </row>
    <row r="39" spans="1:25" ht="12.75" customHeight="1">
      <c r="A39" s="447" t="str">
        <f>'SUMMARY COSTI'!B16</f>
        <v>Posa SER e FAC..
TOTALE</v>
      </c>
      <c r="B39" s="533" t="s">
        <v>292</v>
      </c>
      <c r="C39" s="534"/>
      <c r="D39" s="535">
        <f>'SUMMARY COSTI'!D16</f>
        <v>133583.01</v>
      </c>
      <c r="E39" s="469"/>
      <c r="F39" s="452"/>
      <c r="G39" s="470"/>
      <c r="H39" s="471">
        <f t="shared" si="16"/>
        <v>0</v>
      </c>
      <c r="I39" s="471">
        <f t="shared" si="17"/>
        <v>0</v>
      </c>
      <c r="J39" s="455">
        <f t="shared" si="18"/>
        <v>0</v>
      </c>
      <c r="K39" s="486">
        <v>0</v>
      </c>
      <c r="L39" s="472">
        <f>D39-G39</f>
        <v>133583.01</v>
      </c>
      <c r="M39" s="473" t="str">
        <f t="shared" si="19"/>
        <v>ok</v>
      </c>
      <c r="N39" s="474">
        <f>IF(D39=0,0,IF(G39=0,0,IF(G39/D39&lt;1,G39/D39,1)))</f>
        <v>0</v>
      </c>
      <c r="O39" s="475">
        <f>IF(K39&lt;&gt;0,(G39/K39)-G39,D39*(1-K39))</f>
        <v>133583.01</v>
      </c>
      <c r="P39" s="461" t="str">
        <f t="shared" si="20"/>
        <v>ok</v>
      </c>
      <c r="Q39" s="462" t="str">
        <f t="shared" si="21"/>
        <v>ok</v>
      </c>
      <c r="R39" s="463" t="str">
        <f t="shared" si="22"/>
        <v>ok</v>
      </c>
      <c r="T39" s="464">
        <f t="shared" si="23"/>
        <v>0</v>
      </c>
      <c r="V39" s="476">
        <f t="shared" si="24"/>
        <v>0</v>
      </c>
      <c r="W39" s="477"/>
      <c r="X39" s="478"/>
      <c r="Y39" s="479"/>
    </row>
    <row r="40" spans="1:25" ht="12.75" customHeight="1">
      <c r="A40" s="447" t="str">
        <f>'SUMMARY COSTI'!B17</f>
        <v>FW 
FINITA
TOTALE</v>
      </c>
      <c r="B40" s="533" t="s">
        <v>292</v>
      </c>
      <c r="C40" s="534"/>
      <c r="D40" s="535">
        <f>'SUMMARY COSTI'!D17</f>
        <v>95000</v>
      </c>
      <c r="E40" s="469"/>
      <c r="F40" s="452"/>
      <c r="G40" s="470"/>
      <c r="H40" s="471">
        <f t="shared" si="16"/>
        <v>0</v>
      </c>
      <c r="I40" s="471">
        <f t="shared" si="17"/>
        <v>0</v>
      </c>
      <c r="J40" s="455">
        <f t="shared" si="18"/>
        <v>0</v>
      </c>
      <c r="K40" s="486">
        <v>0</v>
      </c>
      <c r="L40" s="472">
        <f>D40-G40</f>
        <v>95000</v>
      </c>
      <c r="M40" s="473" t="str">
        <f t="shared" si="19"/>
        <v>ok</v>
      </c>
      <c r="N40" s="474">
        <f>IF(D40=0,0,IF(G40=0,0,IF(G40/D40&lt;1,G40/D40,1)))</f>
        <v>0</v>
      </c>
      <c r="O40" s="475">
        <f>IF(K40&lt;&gt;0,(G40/K40)-G40,D40*(1-K40))</f>
        <v>95000</v>
      </c>
      <c r="P40" s="461" t="str">
        <f t="shared" si="20"/>
        <v>ok</v>
      </c>
      <c r="Q40" s="462" t="str">
        <f t="shared" si="21"/>
        <v>ok</v>
      </c>
      <c r="R40" s="463" t="str">
        <f t="shared" si="22"/>
        <v>ok</v>
      </c>
      <c r="T40" s="464">
        <f t="shared" si="23"/>
        <v>0</v>
      </c>
      <c r="V40" s="476">
        <f t="shared" si="24"/>
        <v>0</v>
      </c>
      <c r="W40" s="477"/>
      <c r="X40" s="478"/>
      <c r="Y40" s="479"/>
    </row>
    <row r="41" spans="1:25" ht="12.75" customHeight="1">
      <c r="A41" s="481" t="s">
        <v>293</v>
      </c>
      <c r="B41" s="533" t="s">
        <v>292</v>
      </c>
      <c r="C41" s="534"/>
      <c r="D41" s="536"/>
      <c r="E41" s="469"/>
      <c r="F41" s="452"/>
      <c r="G41" s="470"/>
      <c r="H41" s="537">
        <f t="shared" si="16"/>
        <v>0</v>
      </c>
      <c r="I41" s="471">
        <f t="shared" si="17"/>
        <v>0</v>
      </c>
      <c r="J41" s="538">
        <f t="shared" si="18"/>
        <v>0</v>
      </c>
      <c r="K41" s="486">
        <v>0</v>
      </c>
      <c r="L41" s="472">
        <f>D41-G41</f>
        <v>0</v>
      </c>
      <c r="M41" s="473" t="str">
        <f t="shared" si="19"/>
        <v>ok</v>
      </c>
      <c r="N41" s="474">
        <f>IF(D41=0,0,IF(G41=0,0,IF(G41/D41&lt;1,G41/D41,1)))</f>
        <v>0</v>
      </c>
      <c r="O41" s="475">
        <f>IF(K41&lt;&gt;0,(G41/K41)-G41,D41*(1-K41))</f>
        <v>0</v>
      </c>
      <c r="P41" s="461" t="str">
        <f t="shared" si="20"/>
        <v>-</v>
      </c>
      <c r="Q41" s="462" t="str">
        <f t="shared" si="21"/>
        <v>-</v>
      </c>
      <c r="R41" s="463" t="str">
        <f t="shared" si="22"/>
        <v>-</v>
      </c>
      <c r="T41" s="464">
        <f t="shared" si="23"/>
        <v>0</v>
      </c>
      <c r="V41" s="476">
        <f t="shared" si="24"/>
        <v>0</v>
      </c>
      <c r="W41" s="477"/>
      <c r="X41" s="478"/>
      <c r="Y41" s="479"/>
    </row>
    <row r="42" spans="1:25" ht="5.0999999999999996" customHeight="1" thickBot="1">
      <c r="A42" s="539"/>
      <c r="B42" s="533"/>
      <c r="C42" s="534"/>
      <c r="D42" s="536"/>
      <c r="E42" s="540"/>
      <c r="F42" s="452"/>
      <c r="G42" s="487"/>
      <c r="H42" s="541"/>
      <c r="I42" s="488"/>
      <c r="J42" s="542"/>
      <c r="K42" s="490"/>
      <c r="L42" s="491"/>
      <c r="M42" s="492"/>
      <c r="N42" s="493"/>
      <c r="O42" s="494"/>
      <c r="P42" s="495"/>
      <c r="Q42" s="496"/>
      <c r="R42" s="543"/>
      <c r="T42" s="544"/>
      <c r="V42" s="545"/>
      <c r="W42" s="546"/>
      <c r="X42" s="547"/>
      <c r="Y42" s="548"/>
    </row>
    <row r="43" spans="1:25" ht="12.75" customHeight="1" thickBot="1">
      <c r="A43" s="498"/>
      <c r="B43" s="499"/>
      <c r="C43" s="500" t="s">
        <v>296</v>
      </c>
      <c r="D43" s="549">
        <f>SUM(D37:D42)</f>
        <v>331376.51</v>
      </c>
      <c r="E43" s="502"/>
      <c r="F43" s="452"/>
      <c r="G43" s="503"/>
      <c r="T43" s="550"/>
    </row>
    <row r="44" spans="1:25" ht="12.75" customHeight="1" thickBot="1">
      <c r="A44" s="505"/>
      <c r="B44" s="551"/>
      <c r="C44" s="551"/>
      <c r="D44" s="452"/>
      <c r="E44" s="552"/>
      <c r="F44" s="452"/>
      <c r="G44" s="503"/>
      <c r="H44" s="553"/>
      <c r="I44" s="553"/>
      <c r="J44" s="554"/>
      <c r="K44" s="554"/>
      <c r="L44" s="553"/>
      <c r="M44" s="553"/>
      <c r="N44" s="554"/>
      <c r="O44" s="555"/>
      <c r="P44" s="556"/>
      <c r="Q44" s="556"/>
      <c r="R44" s="556"/>
      <c r="T44" s="557"/>
    </row>
    <row r="45" spans="1:25" s="577" customFormat="1" ht="30" customHeight="1" thickTop="1" thickBot="1">
      <c r="A45" s="558"/>
      <c r="B45" s="559"/>
      <c r="C45" s="560" t="s">
        <v>297</v>
      </c>
      <c r="D45" s="561">
        <f>D35+D43</f>
        <v>928123.95499999996</v>
      </c>
      <c r="E45" s="562"/>
      <c r="F45" s="563"/>
      <c r="G45" s="564">
        <f>SUM(G7:G34)+SUM(G37:G42)</f>
        <v>0</v>
      </c>
      <c r="H45" s="565">
        <f>SUM(H7:H34)+SUM(H37:H42)</f>
        <v>0</v>
      </c>
      <c r="I45" s="565">
        <f>SUM(I7:I34)+SUM(I37:I42)</f>
        <v>0</v>
      </c>
      <c r="J45" s="566">
        <f t="shared" ref="J45" si="25">IF(G45=0,0,H45/G45)</f>
        <v>0</v>
      </c>
      <c r="K45" s="567"/>
      <c r="L45" s="568" t="str">
        <f>IF(D45-G45=SUM(L8:L42),D45-G45,"attenzione!")</f>
        <v>attenzione!</v>
      </c>
      <c r="M45" s="569"/>
      <c r="N45" s="570">
        <f>IF(G45=0,0,G45/D45)</f>
        <v>0</v>
      </c>
      <c r="O45" s="571">
        <f>SUM(O7:O34)+SUM(O37:O42)</f>
        <v>1524871.4</v>
      </c>
      <c r="P45" s="572" t="str">
        <f t="shared" ref="P45" si="26">IF(D45=0,"ok",IF(G45&lt;D45,"ok","ATTENZIONE"))</f>
        <v>ok</v>
      </c>
      <c r="Q45" s="573" t="str">
        <f>IF(D45=0,"-",IF(L45&gt;=O45,"ok","ATTENZIONE"))</f>
        <v>ok</v>
      </c>
      <c r="R45" s="574" t="str">
        <f>IF(D45=0,"-",IF(N45&gt;=(H45/D45),"ok","ATTENZIONE"))</f>
        <v>ok</v>
      </c>
      <c r="S45" s="575"/>
      <c r="T45" s="576" t="e">
        <f>IF(ROUND(L45-O45,2)=ROUND(SUM(T7:T42),2),SUM(T7:T42),"ATTENZIONE")</f>
        <v>#VALUE!</v>
      </c>
      <c r="U45" s="575"/>
      <c r="V45" s="576">
        <f>SUM(V8:V42)</f>
        <v>0</v>
      </c>
      <c r="W45" s="575"/>
      <c r="X45" s="575"/>
      <c r="Y45" s="575"/>
    </row>
    <row r="46" spans="1:25" ht="12.75" customHeight="1" thickTop="1" thickBot="1">
      <c r="A46" s="505"/>
      <c r="B46" s="506"/>
      <c r="C46" s="506"/>
      <c r="D46" s="578"/>
      <c r="F46" s="579"/>
      <c r="G46" s="580"/>
    </row>
    <row r="47" spans="1:25" ht="5.0999999999999996" customHeight="1">
      <c r="A47" s="512"/>
      <c r="B47" s="513"/>
      <c r="C47" s="514"/>
      <c r="D47" s="515"/>
      <c r="E47" s="516"/>
      <c r="F47" s="452"/>
      <c r="G47" s="517"/>
      <c r="H47" s="518"/>
      <c r="I47" s="518"/>
      <c r="J47" s="519"/>
      <c r="K47" s="520"/>
      <c r="L47" s="521"/>
      <c r="M47" s="522"/>
      <c r="N47" s="523"/>
      <c r="O47" s="581"/>
      <c r="P47" s="525"/>
      <c r="Q47" s="526"/>
      <c r="R47" s="527"/>
      <c r="T47" s="582"/>
      <c r="V47" s="529"/>
      <c r="W47" s="530"/>
      <c r="X47" s="531"/>
      <c r="Y47" s="532"/>
    </row>
    <row r="48" spans="1:25" ht="12.75" customHeight="1">
      <c r="A48" s="539" t="str">
        <f>'SUMMARY COSTI'!B20</f>
        <v>sviluppo tecnico e PM
TOTALE.</v>
      </c>
      <c r="B48" s="533" t="s">
        <v>292</v>
      </c>
      <c r="C48" s="534"/>
      <c r="D48" s="535">
        <f>'SUMMARY COSTI'!D20</f>
        <v>45000</v>
      </c>
      <c r="E48" s="469"/>
      <c r="F48" s="452"/>
      <c r="G48" s="470"/>
      <c r="H48" s="471">
        <f t="shared" ref="H48:H53" si="27">V48</f>
        <v>0</v>
      </c>
      <c r="I48" s="471">
        <f t="shared" ref="I48:I53" si="28">G48-H48</f>
        <v>0</v>
      </c>
      <c r="J48" s="455">
        <f t="shared" ref="J48:J53" si="29">IF(G48=0,0,H48/G48)</f>
        <v>0</v>
      </c>
      <c r="K48" s="486">
        <v>0</v>
      </c>
      <c r="L48" s="472">
        <f t="shared" ref="L48:L53" si="30">D48-G48</f>
        <v>45000</v>
      </c>
      <c r="M48" s="473" t="str">
        <f t="shared" ref="M48:M53" si="31">IF(L48&lt;0,"-","ok")</f>
        <v>ok</v>
      </c>
      <c r="N48" s="474">
        <f t="shared" ref="N48:N53" si="32">IF(D48=0,0,IF(G48=0,0,IF(G48/D48&lt;1,G48/D48,1)))</f>
        <v>0</v>
      </c>
      <c r="O48" s="583">
        <f t="shared" ref="O48:O53" si="33">IF(K48&lt;&gt;0,(G48/K48)-G48,D48*(1-K48))</f>
        <v>45000</v>
      </c>
      <c r="P48" s="461" t="str">
        <f t="shared" ref="P48:P53" si="34">IF(D48=0,IF(G48=0,"-","ATTENZIONE"),IF(G48&lt;D48,"ok","ATTENZIONE"))</f>
        <v>ok</v>
      </c>
      <c r="Q48" s="462" t="str">
        <f t="shared" ref="Q48:Q53" si="35">IF(D48=0,"-",IF(K48&gt;=N48,"ok","ATTENZIONE"))</f>
        <v>ok</v>
      </c>
      <c r="R48" s="463" t="str">
        <f t="shared" ref="R48:R53" si="36">IF(D48=0,"-",IF(K48&gt;=(H48/D48),"ok","ATTENZIONE"))</f>
        <v>ok</v>
      </c>
      <c r="T48" s="584">
        <f t="shared" ref="T48:T53" si="37">IF(K48=1,L48,D48-G48-O48)</f>
        <v>0</v>
      </c>
      <c r="V48" s="476">
        <f t="shared" ref="V48:V53" si="38">SUM(W48:Y48)</f>
        <v>0</v>
      </c>
      <c r="W48" s="477"/>
      <c r="X48" s="478"/>
      <c r="Y48" s="479"/>
    </row>
    <row r="49" spans="1:25" ht="12.75" customHeight="1">
      <c r="A49" s="481" t="s">
        <v>293</v>
      </c>
      <c r="B49" s="585"/>
      <c r="C49" s="585"/>
      <c r="D49" s="585"/>
      <c r="E49" s="469"/>
      <c r="F49" s="452"/>
      <c r="G49" s="470"/>
      <c r="H49" s="471">
        <f t="shared" si="27"/>
        <v>0</v>
      </c>
      <c r="I49" s="471">
        <f t="shared" si="28"/>
        <v>0</v>
      </c>
      <c r="J49" s="455">
        <f t="shared" si="29"/>
        <v>0</v>
      </c>
      <c r="K49" s="486">
        <v>0</v>
      </c>
      <c r="L49" s="472">
        <f t="shared" si="30"/>
        <v>0</v>
      </c>
      <c r="M49" s="473" t="str">
        <f t="shared" si="31"/>
        <v>ok</v>
      </c>
      <c r="N49" s="474">
        <f t="shared" si="32"/>
        <v>0</v>
      </c>
      <c r="O49" s="583">
        <f t="shared" si="33"/>
        <v>0</v>
      </c>
      <c r="P49" s="461" t="str">
        <f t="shared" si="34"/>
        <v>-</v>
      </c>
      <c r="Q49" s="462" t="str">
        <f t="shared" si="35"/>
        <v>-</v>
      </c>
      <c r="R49" s="463" t="str">
        <f t="shared" si="36"/>
        <v>-</v>
      </c>
      <c r="T49" s="584">
        <f t="shared" si="37"/>
        <v>0</v>
      </c>
      <c r="V49" s="476">
        <f t="shared" si="38"/>
        <v>0</v>
      </c>
      <c r="W49" s="477"/>
      <c r="X49" s="478"/>
      <c r="Y49" s="479"/>
    </row>
    <row r="50" spans="1:25" ht="12.75" customHeight="1">
      <c r="A50" s="539"/>
      <c r="B50" s="533" t="s">
        <v>292</v>
      </c>
      <c r="C50" s="534"/>
      <c r="D50" s="536"/>
      <c r="E50" s="469"/>
      <c r="F50" s="452"/>
      <c r="G50" s="470"/>
      <c r="H50" s="471">
        <f t="shared" si="27"/>
        <v>0</v>
      </c>
      <c r="I50" s="471">
        <f t="shared" si="28"/>
        <v>0</v>
      </c>
      <c r="J50" s="455">
        <f t="shared" si="29"/>
        <v>0</v>
      </c>
      <c r="K50" s="486">
        <v>0</v>
      </c>
      <c r="L50" s="472">
        <f t="shared" si="30"/>
        <v>0</v>
      </c>
      <c r="M50" s="473" t="str">
        <f t="shared" si="31"/>
        <v>ok</v>
      </c>
      <c r="N50" s="474">
        <f t="shared" si="32"/>
        <v>0</v>
      </c>
      <c r="O50" s="583">
        <f t="shared" si="33"/>
        <v>0</v>
      </c>
      <c r="P50" s="461" t="str">
        <f t="shared" si="34"/>
        <v>-</v>
      </c>
      <c r="Q50" s="462" t="str">
        <f t="shared" si="35"/>
        <v>-</v>
      </c>
      <c r="R50" s="463" t="str">
        <f t="shared" si="36"/>
        <v>-</v>
      </c>
      <c r="T50" s="584">
        <f t="shared" si="37"/>
        <v>0</v>
      </c>
      <c r="V50" s="476">
        <f t="shared" si="38"/>
        <v>0</v>
      </c>
      <c r="W50" s="477"/>
      <c r="X50" s="478"/>
      <c r="Y50" s="479"/>
    </row>
    <row r="51" spans="1:25" ht="12.75" customHeight="1">
      <c r="A51" s="539"/>
      <c r="B51" s="533" t="s">
        <v>292</v>
      </c>
      <c r="C51" s="534"/>
      <c r="D51" s="536"/>
      <c r="E51" s="469"/>
      <c r="F51" s="452"/>
      <c r="G51" s="470"/>
      <c r="H51" s="471">
        <f t="shared" si="27"/>
        <v>0</v>
      </c>
      <c r="I51" s="471">
        <f t="shared" si="28"/>
        <v>0</v>
      </c>
      <c r="J51" s="455">
        <f t="shared" si="29"/>
        <v>0</v>
      </c>
      <c r="K51" s="486">
        <v>0</v>
      </c>
      <c r="L51" s="472">
        <f t="shared" si="30"/>
        <v>0</v>
      </c>
      <c r="M51" s="473" t="str">
        <f t="shared" si="31"/>
        <v>ok</v>
      </c>
      <c r="N51" s="474">
        <f t="shared" si="32"/>
        <v>0</v>
      </c>
      <c r="O51" s="583">
        <f t="shared" si="33"/>
        <v>0</v>
      </c>
      <c r="P51" s="461" t="str">
        <f t="shared" si="34"/>
        <v>-</v>
      </c>
      <c r="Q51" s="462" t="str">
        <f t="shared" si="35"/>
        <v>-</v>
      </c>
      <c r="R51" s="463" t="str">
        <f t="shared" si="36"/>
        <v>-</v>
      </c>
      <c r="T51" s="584">
        <f t="shared" si="37"/>
        <v>0</v>
      </c>
      <c r="V51" s="476">
        <f t="shared" si="38"/>
        <v>0</v>
      </c>
      <c r="W51" s="477"/>
      <c r="X51" s="478"/>
      <c r="Y51" s="479"/>
    </row>
    <row r="52" spans="1:25" ht="12.75" customHeight="1">
      <c r="A52" s="539"/>
      <c r="B52" s="533" t="s">
        <v>292</v>
      </c>
      <c r="C52" s="534"/>
      <c r="D52" s="536"/>
      <c r="E52" s="469"/>
      <c r="F52" s="452"/>
      <c r="G52" s="470"/>
      <c r="H52" s="471">
        <f t="shared" si="27"/>
        <v>0</v>
      </c>
      <c r="I52" s="471">
        <f t="shared" si="28"/>
        <v>0</v>
      </c>
      <c r="J52" s="455">
        <f t="shared" si="29"/>
        <v>0</v>
      </c>
      <c r="K52" s="486">
        <v>0</v>
      </c>
      <c r="L52" s="472">
        <f t="shared" si="30"/>
        <v>0</v>
      </c>
      <c r="M52" s="473" t="str">
        <f t="shared" si="31"/>
        <v>ok</v>
      </c>
      <c r="N52" s="474">
        <f t="shared" si="32"/>
        <v>0</v>
      </c>
      <c r="O52" s="583">
        <f t="shared" si="33"/>
        <v>0</v>
      </c>
      <c r="P52" s="461" t="str">
        <f t="shared" si="34"/>
        <v>-</v>
      </c>
      <c r="Q52" s="462" t="str">
        <f t="shared" si="35"/>
        <v>-</v>
      </c>
      <c r="R52" s="463" t="str">
        <f t="shared" si="36"/>
        <v>-</v>
      </c>
      <c r="T52" s="584">
        <f t="shared" si="37"/>
        <v>0</v>
      </c>
      <c r="V52" s="476">
        <f t="shared" si="38"/>
        <v>0</v>
      </c>
      <c r="W52" s="477"/>
      <c r="X52" s="478"/>
      <c r="Y52" s="479"/>
    </row>
    <row r="53" spans="1:25" ht="13.5" customHeight="1">
      <c r="A53" s="539"/>
      <c r="B53" s="533" t="s">
        <v>292</v>
      </c>
      <c r="C53" s="534"/>
      <c r="D53" s="536"/>
      <c r="E53" s="469"/>
      <c r="F53" s="452"/>
      <c r="G53" s="470"/>
      <c r="H53" s="471">
        <f t="shared" si="27"/>
        <v>0</v>
      </c>
      <c r="I53" s="471">
        <f t="shared" si="28"/>
        <v>0</v>
      </c>
      <c r="J53" s="455">
        <f t="shared" si="29"/>
        <v>0</v>
      </c>
      <c r="K53" s="486">
        <v>0</v>
      </c>
      <c r="L53" s="472">
        <f t="shared" si="30"/>
        <v>0</v>
      </c>
      <c r="M53" s="473" t="str">
        <f t="shared" si="31"/>
        <v>ok</v>
      </c>
      <c r="N53" s="474">
        <f t="shared" si="32"/>
        <v>0</v>
      </c>
      <c r="O53" s="583">
        <f t="shared" si="33"/>
        <v>0</v>
      </c>
      <c r="P53" s="461" t="str">
        <f t="shared" si="34"/>
        <v>-</v>
      </c>
      <c r="Q53" s="462" t="str">
        <f t="shared" si="35"/>
        <v>-</v>
      </c>
      <c r="R53" s="463" t="str">
        <f t="shared" si="36"/>
        <v>-</v>
      </c>
      <c r="T53" s="584">
        <f t="shared" si="37"/>
        <v>0</v>
      </c>
      <c r="V53" s="476">
        <f t="shared" si="38"/>
        <v>0</v>
      </c>
      <c r="W53" s="477"/>
      <c r="X53" s="478"/>
      <c r="Y53" s="479"/>
    </row>
    <row r="54" spans="1:25" ht="5.0999999999999996" customHeight="1" thickBot="1">
      <c r="A54" s="586"/>
      <c r="B54" s="587"/>
      <c r="C54" s="588"/>
      <c r="D54" s="589"/>
      <c r="E54" s="540"/>
      <c r="F54" s="452"/>
      <c r="G54" s="487"/>
      <c r="H54" s="488"/>
      <c r="I54" s="488"/>
      <c r="J54" s="489"/>
      <c r="K54" s="490"/>
      <c r="L54" s="491"/>
      <c r="M54" s="492"/>
      <c r="N54" s="493"/>
      <c r="O54" s="590"/>
      <c r="P54" s="495"/>
      <c r="Q54" s="496"/>
      <c r="R54" s="543"/>
      <c r="T54" s="591"/>
      <c r="V54" s="545"/>
      <c r="W54" s="546"/>
      <c r="X54" s="547"/>
      <c r="Y54" s="548"/>
    </row>
    <row r="55" spans="1:25" ht="12.75" customHeight="1" thickBot="1">
      <c r="A55" s="498"/>
      <c r="B55" s="499"/>
      <c r="C55" s="500" t="s">
        <v>298</v>
      </c>
      <c r="D55" s="549">
        <f>SUM(D47:D54)</f>
        <v>45000</v>
      </c>
      <c r="E55" s="502"/>
      <c r="F55" s="452"/>
      <c r="G55" s="503"/>
      <c r="T55" s="550"/>
    </row>
    <row r="56" spans="1:25" ht="12.75" customHeight="1" thickBot="1">
      <c r="A56" s="505"/>
      <c r="B56" s="551"/>
      <c r="C56" s="551"/>
      <c r="D56" s="452"/>
      <c r="E56" s="552"/>
      <c r="F56" s="452"/>
      <c r="G56" s="503"/>
      <c r="H56" s="553"/>
      <c r="I56" s="553"/>
      <c r="J56" s="554"/>
      <c r="K56" s="554"/>
      <c r="L56" s="553"/>
      <c r="M56" s="553"/>
      <c r="N56" s="554"/>
      <c r="O56" s="555"/>
      <c r="P56" s="556"/>
      <c r="Q56" s="556"/>
      <c r="R56" s="556"/>
      <c r="T56" s="592"/>
    </row>
    <row r="57" spans="1:25" ht="5.0999999999999996" customHeight="1">
      <c r="A57" s="512"/>
      <c r="B57" s="513"/>
      <c r="C57" s="514"/>
      <c r="D57" s="593"/>
      <c r="E57" s="516"/>
      <c r="F57" s="452"/>
      <c r="G57" s="517"/>
      <c r="H57" s="518"/>
      <c r="I57" s="518"/>
      <c r="J57" s="519"/>
      <c r="K57" s="520"/>
      <c r="L57" s="521"/>
      <c r="M57" s="522"/>
      <c r="N57" s="523"/>
      <c r="O57" s="524"/>
      <c r="P57" s="525"/>
      <c r="Q57" s="526"/>
      <c r="R57" s="527"/>
      <c r="T57" s="582"/>
      <c r="V57" s="529"/>
      <c r="W57" s="530"/>
      <c r="X57" s="531"/>
      <c r="Y57" s="532"/>
    </row>
    <row r="58" spans="1:25" ht="12.75" customHeight="1">
      <c r="A58" s="484" t="str">
        <f>'SUMMARY COSTI'!B19</f>
        <v>Trasporto
e
Imballo
TOT.</v>
      </c>
      <c r="B58" s="448" t="s">
        <v>292</v>
      </c>
      <c r="C58" s="449"/>
      <c r="D58" s="450">
        <f>'SUMMARY COSTI'!D19</f>
        <v>11137.487460000004</v>
      </c>
      <c r="E58" s="451"/>
      <c r="F58" s="452"/>
      <c r="G58" s="453"/>
      <c r="H58" s="454">
        <f t="shared" ref="H58" si="39">V58</f>
        <v>0</v>
      </c>
      <c r="I58" s="454">
        <f t="shared" ref="I58" si="40">G58-H58</f>
        <v>0</v>
      </c>
      <c r="J58" s="594">
        <f t="shared" ref="J58" si="41">IF(G58=0,0,H58/G58)</f>
        <v>0</v>
      </c>
      <c r="K58" s="456">
        <v>0</v>
      </c>
      <c r="L58" s="472">
        <f>D58-G58</f>
        <v>11137.487460000004</v>
      </c>
      <c r="M58" s="473" t="str">
        <f t="shared" ref="M58" si="42">IF(L58&lt;0,"-","ok")</f>
        <v>ok</v>
      </c>
      <c r="N58" s="474">
        <f>IF(D58=0,0,IF(G58=0,0,IF(G58/D58&lt;1,G58/D58,1)))</f>
        <v>0</v>
      </c>
      <c r="O58" s="460">
        <f>IF(K58&lt;&gt;0,(G58/K58)-G58,D58*(1-K58))</f>
        <v>11137.487460000004</v>
      </c>
      <c r="P58" s="461" t="str">
        <f t="shared" ref="P58" si="43">IF(D58=0,IF(G58=0,"-","ATTENZIONE"),IF(G58&lt;D58,"ok","ATTENZIONE"))</f>
        <v>ok</v>
      </c>
      <c r="Q58" s="462" t="str">
        <f t="shared" ref="Q58" si="44">IF(D58=0,"-",IF(K58&gt;=N58,"ok","ATTENZIONE"))</f>
        <v>ok</v>
      </c>
      <c r="R58" s="463" t="str">
        <f t="shared" ref="R58" si="45">IF(D58=0,"-",IF(K58&gt;=(H58/D58),"ok","ATTENZIONE"))</f>
        <v>ok</v>
      </c>
      <c r="T58" s="584">
        <f t="shared" ref="T58" si="46">IF(K58=1,L58,D58-G58-O58)</f>
        <v>0</v>
      </c>
      <c r="V58" s="476">
        <f>SUM(W58:Y58)</f>
        <v>0</v>
      </c>
      <c r="W58" s="477"/>
      <c r="X58" s="478"/>
      <c r="Y58" s="479"/>
    </row>
    <row r="59" spans="1:25" ht="5.0999999999999996" customHeight="1" thickBot="1">
      <c r="A59" s="586"/>
      <c r="B59" s="587"/>
      <c r="C59" s="588"/>
      <c r="D59" s="589"/>
      <c r="E59" s="540"/>
      <c r="F59" s="452"/>
      <c r="G59" s="595"/>
      <c r="H59" s="596"/>
      <c r="I59" s="596"/>
      <c r="J59" s="597"/>
      <c r="K59" s="598"/>
      <c r="L59" s="491"/>
      <c r="M59" s="492"/>
      <c r="N59" s="493"/>
      <c r="O59" s="599"/>
      <c r="P59" s="495"/>
      <c r="Q59" s="496"/>
      <c r="R59" s="543"/>
      <c r="T59" s="600"/>
      <c r="V59" s="545"/>
      <c r="W59" s="546"/>
      <c r="X59" s="547"/>
      <c r="Y59" s="548"/>
    </row>
    <row r="60" spans="1:25" ht="12.75" customHeight="1" thickBot="1">
      <c r="A60" s="498"/>
      <c r="B60" s="499"/>
      <c r="C60" s="500" t="s">
        <v>299</v>
      </c>
      <c r="D60" s="549">
        <f>SUM(D58:D58)</f>
        <v>11137.487460000004</v>
      </c>
      <c r="E60" s="502"/>
      <c r="F60" s="452"/>
      <c r="G60" s="503"/>
      <c r="T60" s="550"/>
    </row>
    <row r="61" spans="1:25" ht="12.75" customHeight="1" thickBot="1">
      <c r="A61" s="505"/>
      <c r="B61" s="551"/>
      <c r="C61" s="551"/>
      <c r="D61" s="452"/>
      <c r="E61" s="552"/>
      <c r="F61" s="452"/>
      <c r="G61" s="503"/>
      <c r="H61" s="553"/>
      <c r="I61" s="553"/>
      <c r="J61" s="554"/>
      <c r="K61" s="554"/>
      <c r="L61" s="553"/>
      <c r="M61" s="553"/>
      <c r="N61" s="554"/>
      <c r="O61" s="555"/>
      <c r="P61" s="556"/>
      <c r="Q61" s="556"/>
      <c r="R61" s="556"/>
      <c r="T61" s="592"/>
    </row>
    <row r="62" spans="1:25" ht="5.0999999999999996" customHeight="1">
      <c r="A62" s="512"/>
      <c r="B62" s="513"/>
      <c r="C62" s="514"/>
      <c r="D62" s="515"/>
      <c r="E62" s="516"/>
      <c r="F62" s="452"/>
      <c r="G62" s="517"/>
      <c r="H62" s="518"/>
      <c r="I62" s="518"/>
      <c r="J62" s="519"/>
      <c r="K62" s="520"/>
      <c r="L62" s="521"/>
      <c r="M62" s="522"/>
      <c r="N62" s="523"/>
      <c r="O62" s="524"/>
      <c r="P62" s="525"/>
      <c r="Q62" s="526"/>
      <c r="R62" s="527"/>
      <c r="T62" s="582"/>
      <c r="V62" s="529"/>
      <c r="W62" s="530"/>
      <c r="X62" s="531"/>
      <c r="Y62" s="532"/>
    </row>
    <row r="63" spans="1:25" ht="12.75" customHeight="1">
      <c r="A63" s="539" t="str">
        <f>'SUMMARY COSTI'!B21</f>
        <v>PRESIDIO
CANTIERE
SITE MNG
NOLI
CANTIERIZZAZIONE TOT.</v>
      </c>
      <c r="B63" s="533" t="s">
        <v>292</v>
      </c>
      <c r="C63" s="534"/>
      <c r="D63" s="535">
        <f>'SUMMARY COSTI'!C21</f>
        <v>4640.619775000001</v>
      </c>
      <c r="E63" s="469"/>
      <c r="F63" s="452"/>
      <c r="G63" s="470"/>
      <c r="H63" s="471">
        <f t="shared" ref="H63:H65" si="47">V63</f>
        <v>0</v>
      </c>
      <c r="I63" s="471">
        <f t="shared" ref="I63:I65" si="48">G63-H63</f>
        <v>0</v>
      </c>
      <c r="J63" s="455">
        <f t="shared" ref="J63:J65" si="49">IF(G63=0,0,H63/G63)</f>
        <v>0</v>
      </c>
      <c r="K63" s="486">
        <v>0</v>
      </c>
      <c r="L63" s="472">
        <f>D63-G63</f>
        <v>4640.619775000001</v>
      </c>
      <c r="M63" s="473" t="str">
        <f t="shared" ref="M63:M65" si="50">IF(L63&lt;0,"-","ok")</f>
        <v>ok</v>
      </c>
      <c r="N63" s="474">
        <f>IF(D63=0,0,IF(G63=0,0,IF(G63/D63&lt;1,G63/D63,1)))</f>
        <v>0</v>
      </c>
      <c r="O63" s="475">
        <f>IF(K63&lt;&gt;0,(G63/K63)-G63,D63*(1-K63))</f>
        <v>4640.619775000001</v>
      </c>
      <c r="P63" s="461" t="str">
        <f t="shared" ref="P63:P65" si="51">IF(D63=0,IF(G63=0,"-","ATTENZIONE"),IF(G63&lt;D63,"ok","ATTENZIONE"))</f>
        <v>ok</v>
      </c>
      <c r="Q63" s="462" t="str">
        <f t="shared" ref="Q63:Q65" si="52">IF(D63=0,"-",IF(K63&gt;=N63,"ok","ATTENZIONE"))</f>
        <v>ok</v>
      </c>
      <c r="R63" s="463" t="str">
        <f t="shared" ref="R63:R65" si="53">IF(D63=0,"-",IF(K63&gt;=(H63/D63),"ok","ATTENZIONE"))</f>
        <v>ok</v>
      </c>
      <c r="T63" s="584">
        <f t="shared" ref="T63:T65" si="54">IF(K63=1,L63,D63-G63-O63)</f>
        <v>0</v>
      </c>
      <c r="V63" s="476">
        <f t="shared" ref="V63:V65" si="55">SUM(W63:Y63)</f>
        <v>0</v>
      </c>
      <c r="W63" s="477"/>
      <c r="X63" s="478"/>
      <c r="Y63" s="479"/>
    </row>
    <row r="64" spans="1:25" ht="12.75" customHeight="1">
      <c r="A64" s="481" t="s">
        <v>293</v>
      </c>
      <c r="B64" s="585"/>
      <c r="C64" s="585"/>
      <c r="D64" s="585"/>
      <c r="E64" s="469"/>
      <c r="F64" s="452"/>
      <c r="G64" s="470"/>
      <c r="H64" s="471">
        <f t="shared" si="47"/>
        <v>0</v>
      </c>
      <c r="I64" s="471">
        <f t="shared" si="48"/>
        <v>0</v>
      </c>
      <c r="J64" s="455">
        <f t="shared" si="49"/>
        <v>0</v>
      </c>
      <c r="K64" s="486">
        <v>0</v>
      </c>
      <c r="L64" s="472">
        <f>D64-G64</f>
        <v>0</v>
      </c>
      <c r="M64" s="473" t="str">
        <f t="shared" si="50"/>
        <v>ok</v>
      </c>
      <c r="N64" s="474">
        <f>IF(D64=0,0,IF(G64=0,0,IF(G64/D64&lt;1,G64/D64,1)))</f>
        <v>0</v>
      </c>
      <c r="O64" s="475">
        <f>IF(K64&lt;&gt;0,(G64/K64)-G64,D64*(1-K64))</f>
        <v>0</v>
      </c>
      <c r="P64" s="461" t="str">
        <f t="shared" si="51"/>
        <v>-</v>
      </c>
      <c r="Q64" s="462" t="str">
        <f t="shared" si="52"/>
        <v>-</v>
      </c>
      <c r="R64" s="463" t="str">
        <f t="shared" si="53"/>
        <v>-</v>
      </c>
      <c r="T64" s="584">
        <f t="shared" si="54"/>
        <v>0</v>
      </c>
      <c r="V64" s="476">
        <f t="shared" si="55"/>
        <v>0</v>
      </c>
      <c r="W64" s="477"/>
      <c r="X64" s="478"/>
      <c r="Y64" s="479"/>
    </row>
    <row r="65" spans="1:25" ht="12.75" customHeight="1">
      <c r="A65" s="539" t="str">
        <f>'SUMMARY COSTI'!B18</f>
        <v>NOLO
TOTALE</v>
      </c>
      <c r="B65" s="533" t="s">
        <v>292</v>
      </c>
      <c r="C65" s="534"/>
      <c r="D65" s="536">
        <f>'SUMMARY COSTI'!D18</f>
        <v>0</v>
      </c>
      <c r="E65" s="469"/>
      <c r="F65" s="452"/>
      <c r="G65" s="470"/>
      <c r="H65" s="471">
        <f t="shared" si="47"/>
        <v>0</v>
      </c>
      <c r="I65" s="471">
        <f t="shared" si="48"/>
        <v>0</v>
      </c>
      <c r="J65" s="455">
        <f t="shared" si="49"/>
        <v>0</v>
      </c>
      <c r="K65" s="486">
        <v>0</v>
      </c>
      <c r="L65" s="472">
        <f>D65-G65</f>
        <v>0</v>
      </c>
      <c r="M65" s="473" t="str">
        <f t="shared" si="50"/>
        <v>ok</v>
      </c>
      <c r="N65" s="474">
        <f>IF(D65=0,0,IF(G65=0,0,IF(G65/D65&lt;1,G65/D65,1)))</f>
        <v>0</v>
      </c>
      <c r="O65" s="475">
        <f>IF(K65&lt;&gt;0,(G65/K65)-G65,D65*(1-K65))</f>
        <v>0</v>
      </c>
      <c r="P65" s="461" t="str">
        <f t="shared" si="51"/>
        <v>-</v>
      </c>
      <c r="Q65" s="462" t="str">
        <f t="shared" si="52"/>
        <v>-</v>
      </c>
      <c r="R65" s="463" t="str">
        <f t="shared" si="53"/>
        <v>-</v>
      </c>
      <c r="T65" s="584">
        <f t="shared" si="54"/>
        <v>0</v>
      </c>
      <c r="V65" s="476">
        <f t="shared" si="55"/>
        <v>0</v>
      </c>
      <c r="W65" s="477"/>
      <c r="X65" s="478"/>
      <c r="Y65" s="479"/>
    </row>
    <row r="66" spans="1:25" ht="5.0999999999999996" customHeight="1" thickBot="1">
      <c r="A66" s="586"/>
      <c r="B66" s="587"/>
      <c r="C66" s="588"/>
      <c r="D66" s="589"/>
      <c r="E66" s="540"/>
      <c r="F66" s="452"/>
      <c r="G66" s="487"/>
      <c r="H66" s="488"/>
      <c r="I66" s="488"/>
      <c r="J66" s="489"/>
      <c r="K66" s="490"/>
      <c r="L66" s="491"/>
      <c r="M66" s="492"/>
      <c r="N66" s="493"/>
      <c r="O66" s="494"/>
      <c r="P66" s="495"/>
      <c r="Q66" s="496"/>
      <c r="R66" s="543"/>
      <c r="T66" s="591"/>
      <c r="V66" s="545"/>
      <c r="W66" s="546"/>
      <c r="X66" s="547"/>
      <c r="Y66" s="548"/>
    </row>
    <row r="67" spans="1:25" ht="12.75" customHeight="1" thickBot="1">
      <c r="A67" s="498"/>
      <c r="B67" s="499"/>
      <c r="C67" s="500" t="s">
        <v>300</v>
      </c>
      <c r="D67" s="549">
        <f>SUM(D62:D66)</f>
        <v>4640.619775000001</v>
      </c>
      <c r="E67" s="502"/>
      <c r="F67" s="452"/>
      <c r="G67" s="503"/>
      <c r="T67" s="550"/>
    </row>
    <row r="68" spans="1:25" ht="12.75" customHeight="1" thickBot="1">
      <c r="A68" s="505"/>
      <c r="B68" s="551"/>
      <c r="C68" s="551"/>
      <c r="D68" s="452"/>
      <c r="E68" s="552"/>
      <c r="F68" s="452"/>
      <c r="G68" s="503"/>
      <c r="H68" s="553"/>
      <c r="I68" s="553"/>
      <c r="J68" s="554"/>
      <c r="K68" s="554"/>
      <c r="L68" s="553"/>
      <c r="M68" s="553"/>
      <c r="N68" s="554"/>
      <c r="O68" s="555"/>
      <c r="P68" s="556"/>
      <c r="Q68" s="556"/>
      <c r="R68" s="556"/>
      <c r="T68" s="557"/>
    </row>
    <row r="69" spans="1:25" s="577" customFormat="1" ht="30" customHeight="1" thickTop="1" thickBot="1">
      <c r="A69" s="558"/>
      <c r="B69" s="601"/>
      <c r="C69" s="602" t="s">
        <v>301</v>
      </c>
      <c r="D69" s="603">
        <f>D55+D60+D67</f>
        <v>60778.107235000003</v>
      </c>
      <c r="E69" s="604"/>
      <c r="F69" s="563"/>
      <c r="G69" s="605">
        <f>SUM(G47:G54)+SUM(G57:G59)+SUM(G62:G66)</f>
        <v>0</v>
      </c>
      <c r="H69" s="606">
        <f>SUM(H47:H54)+SUM(H57:H59)+SUM(H62:H66)</f>
        <v>0</v>
      </c>
      <c r="I69" s="606">
        <f>SUM(I47:I54)+SUM(I57:I59)+SUM(I62:I66)</f>
        <v>0</v>
      </c>
      <c r="J69" s="607">
        <f t="shared" ref="J69" si="56">IF(G69=0,0,H69/G69)</f>
        <v>0</v>
      </c>
      <c r="K69" s="567"/>
      <c r="L69" s="568">
        <f>IF(D69-G69=SUM(L47:L66),D69-G69,"attenzione!")</f>
        <v>60778.107235000003</v>
      </c>
      <c r="M69" s="569"/>
      <c r="N69" s="570">
        <f>IF(G69=0,0,G69/D69)</f>
        <v>0</v>
      </c>
      <c r="O69" s="571">
        <f>SUM(O47:O54)+SUM(O57:O59)+SUM(O62:O66)</f>
        <v>60778.107235000003</v>
      </c>
      <c r="P69" s="572" t="str">
        <f t="shared" ref="P69" si="57">IF(D69=0,"ok",IF(G69&lt;D69,"ok","ATTENZIONE"))</f>
        <v>ok</v>
      </c>
      <c r="Q69" s="573" t="str">
        <f>IF(D69=0,"-",IF(L69&gt;=O69,"ok","ATTENZIONE"))</f>
        <v>ok</v>
      </c>
      <c r="R69" s="574" t="str">
        <f>IF(D69=0,"-",IF(N69&gt;=(H69/D69),"ok","ATTENZIONE"))</f>
        <v>ok</v>
      </c>
      <c r="S69" s="575"/>
      <c r="T69" s="576">
        <f>IF(ROUND(L69-O69,2)=ROUND(SUM(T47:T66),2),SUM(T47:T66),"ATTENZIONE")</f>
        <v>0</v>
      </c>
      <c r="U69" s="575"/>
      <c r="V69" s="576">
        <f>SUM(V47:V66)</f>
        <v>0</v>
      </c>
      <c r="W69" s="575"/>
      <c r="X69" s="575"/>
      <c r="Y69" s="575"/>
    </row>
    <row r="70" spans="1:25" ht="12.75" customHeight="1" thickTop="1" thickBot="1">
      <c r="A70" s="505"/>
      <c r="B70" s="506"/>
      <c r="C70" s="506"/>
      <c r="D70" s="578"/>
      <c r="F70" s="579"/>
      <c r="G70" s="580"/>
    </row>
    <row r="71" spans="1:25" ht="5.0999999999999996" customHeight="1">
      <c r="A71" s="512"/>
      <c r="B71" s="513"/>
      <c r="C71" s="514"/>
      <c r="D71" s="515"/>
      <c r="E71" s="516"/>
      <c r="F71" s="452"/>
      <c r="G71" s="517"/>
      <c r="H71" s="518"/>
      <c r="I71" s="518"/>
      <c r="J71" s="519"/>
      <c r="K71" s="520"/>
      <c r="L71" s="521"/>
      <c r="M71" s="522"/>
      <c r="N71" s="523"/>
      <c r="O71" s="524"/>
      <c r="P71" s="525"/>
      <c r="Q71" s="526"/>
      <c r="R71" s="527"/>
      <c r="T71" s="582"/>
      <c r="V71" s="529"/>
      <c r="W71" s="530"/>
      <c r="X71" s="531"/>
      <c r="Y71" s="532"/>
    </row>
    <row r="72" spans="1:25" ht="12.75" customHeight="1">
      <c r="A72" s="484" t="s">
        <v>302</v>
      </c>
      <c r="B72" s="448" t="s">
        <v>292</v>
      </c>
      <c r="C72" s="449"/>
      <c r="D72" s="485">
        <v>0</v>
      </c>
      <c r="E72" s="451"/>
      <c r="F72" s="452"/>
      <c r="G72" s="453"/>
      <c r="H72" s="454">
        <f t="shared" ref="H72" si="58">V72</f>
        <v>0</v>
      </c>
      <c r="I72" s="454">
        <f t="shared" ref="I72" si="59">G72-H72</f>
        <v>0</v>
      </c>
      <c r="J72" s="594">
        <f t="shared" ref="J72" si="60">IF(G72=0,0,H72/G72)</f>
        <v>0</v>
      </c>
      <c r="K72" s="456">
        <v>0</v>
      </c>
      <c r="L72" s="472">
        <f>D72-G72</f>
        <v>0</v>
      </c>
      <c r="M72" s="473" t="str">
        <f t="shared" ref="M72" si="61">IF(L72&lt;0,"-","ok")</f>
        <v>ok</v>
      </c>
      <c r="N72" s="474">
        <f>IF(D72=0,0,IF(G72=0,0,IF(G72/D72&lt;1,G72/D72,1)))</f>
        <v>0</v>
      </c>
      <c r="O72" s="460">
        <f>IF(K72&lt;&gt;0,(G72/K72)-G72,D72*(1-K72))</f>
        <v>0</v>
      </c>
      <c r="P72" s="461" t="str">
        <f t="shared" ref="P72" si="62">IF(D72=0,IF(G72=0,"-","ATTENZIONE"),IF(G72&lt;D72,"ok","ATTENZIONE"))</f>
        <v>-</v>
      </c>
      <c r="Q72" s="462" t="str">
        <f t="shared" ref="Q72" si="63">IF(D72=0,"-",IF(K72&gt;=N72,"ok","ATTENZIONE"))</f>
        <v>-</v>
      </c>
      <c r="R72" s="463" t="str">
        <f t="shared" ref="R72" si="64">IF(D72=0,"-",IF(K72&gt;=(H72/D72),"ok","ATTENZIONE"))</f>
        <v>-</v>
      </c>
      <c r="T72" s="584">
        <f t="shared" ref="T72" si="65">IF(K72=1,L72,D72-G72-O72)</f>
        <v>0</v>
      </c>
      <c r="V72" s="476">
        <f>SUM(W72:Y72)</f>
        <v>0</v>
      </c>
      <c r="W72" s="477"/>
      <c r="X72" s="478"/>
      <c r="Y72" s="479"/>
    </row>
    <row r="73" spans="1:25" ht="5.0999999999999996" customHeight="1" thickBot="1">
      <c r="A73" s="586"/>
      <c r="B73" s="587"/>
      <c r="C73" s="588"/>
      <c r="D73" s="589"/>
      <c r="E73" s="540"/>
      <c r="F73" s="452"/>
      <c r="G73" s="595"/>
      <c r="H73" s="596"/>
      <c r="I73" s="596"/>
      <c r="J73" s="597"/>
      <c r="K73" s="598"/>
      <c r="L73" s="491"/>
      <c r="M73" s="492"/>
      <c r="N73" s="493"/>
      <c r="O73" s="599"/>
      <c r="P73" s="495"/>
      <c r="Q73" s="496"/>
      <c r="R73" s="543"/>
      <c r="T73" s="600"/>
      <c r="V73" s="545"/>
      <c r="W73" s="546"/>
      <c r="X73" s="547"/>
      <c r="Y73" s="548"/>
    </row>
    <row r="74" spans="1:25" ht="12.75" customHeight="1" thickBot="1">
      <c r="A74" s="498"/>
      <c r="B74" s="499"/>
      <c r="C74" s="500" t="s">
        <v>303</v>
      </c>
      <c r="D74" s="549">
        <f>SUM(D72:D72)</f>
        <v>0</v>
      </c>
      <c r="E74" s="502"/>
      <c r="F74" s="452"/>
      <c r="G74" s="503"/>
      <c r="T74" s="550"/>
    </row>
    <row r="75" spans="1:25" ht="12.75" customHeight="1" thickBot="1">
      <c r="A75" s="505"/>
      <c r="B75" s="551"/>
      <c r="C75" s="551"/>
      <c r="D75" s="452"/>
      <c r="E75" s="552"/>
      <c r="F75" s="452"/>
      <c r="G75" s="503"/>
      <c r="H75" s="553"/>
      <c r="I75" s="553"/>
      <c r="J75" s="554"/>
      <c r="K75" s="554"/>
      <c r="L75" s="553"/>
      <c r="M75" s="553"/>
      <c r="N75" s="554"/>
      <c r="O75" s="555"/>
      <c r="P75" s="556"/>
      <c r="Q75" s="556"/>
      <c r="R75" s="556"/>
      <c r="T75" s="592"/>
    </row>
    <row r="76" spans="1:25" ht="5.0999999999999996" customHeight="1">
      <c r="A76" s="512"/>
      <c r="B76" s="513"/>
      <c r="C76" s="514"/>
      <c r="D76" s="515"/>
      <c r="E76" s="516"/>
      <c r="F76" s="452"/>
      <c r="G76" s="608"/>
      <c r="H76" s="609"/>
      <c r="I76" s="609"/>
      <c r="J76" s="610"/>
      <c r="K76" s="611"/>
      <c r="L76" s="521"/>
      <c r="M76" s="522"/>
      <c r="N76" s="523"/>
      <c r="O76" s="612"/>
      <c r="P76" s="525"/>
      <c r="Q76" s="526"/>
      <c r="R76" s="527"/>
      <c r="T76" s="582"/>
      <c r="V76" s="529"/>
      <c r="W76" s="530"/>
      <c r="X76" s="531"/>
      <c r="Y76" s="532"/>
    </row>
    <row r="77" spans="1:25" ht="12.75" customHeight="1">
      <c r="A77" s="613" t="str">
        <f>'SUMMARY COSTI'!B24</f>
        <v>COSTI 
INDUSTRIALI DA COSTI MATERIALE</v>
      </c>
      <c r="B77" s="448" t="s">
        <v>292</v>
      </c>
      <c r="C77" s="449"/>
      <c r="D77" s="485">
        <f>'SUMMARY COSTI'!D24</f>
        <v>0</v>
      </c>
      <c r="E77" s="451"/>
      <c r="F77" s="452"/>
      <c r="G77" s="470"/>
      <c r="H77" s="471">
        <f t="shared" ref="H77" si="66">V77</f>
        <v>0</v>
      </c>
      <c r="I77" s="471">
        <f t="shared" ref="I77" si="67">G77-H77</f>
        <v>0</v>
      </c>
      <c r="J77" s="455">
        <f t="shared" ref="J77" si="68">IF(G77=0,0,H77/G77)</f>
        <v>0</v>
      </c>
      <c r="K77" s="486">
        <v>0</v>
      </c>
      <c r="L77" s="472">
        <f>D77-G77</f>
        <v>0</v>
      </c>
      <c r="M77" s="473" t="str">
        <f t="shared" ref="M77" si="69">IF(L77&lt;0,"-","ok")</f>
        <v>ok</v>
      </c>
      <c r="N77" s="474">
        <f>IF(D77=0,0,IF(G77=0,0,IF(G77/D77&lt;1,G77/D77,1)))</f>
        <v>0</v>
      </c>
      <c r="O77" s="475">
        <f>IF(K77&lt;&gt;0,(G77/K77)-G77,D77*(1-K77))</f>
        <v>0</v>
      </c>
      <c r="P77" s="461" t="str">
        <f t="shared" ref="P77" si="70">IF(D77=0,IF(G77=0,"-","ATTENZIONE"),IF(G77&lt;D77,"ok","ATTENZIONE"))</f>
        <v>-</v>
      </c>
      <c r="Q77" s="462" t="str">
        <f t="shared" ref="Q77" si="71">IF(D77=0,"-",IF(K77&gt;=N77,"ok","ATTENZIONE"))</f>
        <v>-</v>
      </c>
      <c r="R77" s="463" t="str">
        <f t="shared" ref="R77" si="72">IF(D77=0,"-",IF(K77&gt;=(H77/D77),"ok","ATTENZIONE"))</f>
        <v>-</v>
      </c>
      <c r="T77" s="584">
        <f t="shared" ref="T77" si="73">IF(K77=1,L77,D77-G77-O77)</f>
        <v>0</v>
      </c>
      <c r="V77" s="476">
        <f>SUM(W77:Y77)</f>
        <v>0</v>
      </c>
      <c r="W77" s="477"/>
      <c r="X77" s="478"/>
      <c r="Y77" s="479"/>
    </row>
    <row r="78" spans="1:25" ht="5.0999999999999996" customHeight="1" thickBot="1">
      <c r="A78" s="586"/>
      <c r="B78" s="587"/>
      <c r="C78" s="588"/>
      <c r="D78" s="589"/>
      <c r="E78" s="540"/>
      <c r="F78" s="452"/>
      <c r="G78" s="595"/>
      <c r="H78" s="596"/>
      <c r="I78" s="596"/>
      <c r="J78" s="597"/>
      <c r="K78" s="598"/>
      <c r="L78" s="491"/>
      <c r="M78" s="492"/>
      <c r="N78" s="493"/>
      <c r="O78" s="599"/>
      <c r="P78" s="495"/>
      <c r="Q78" s="496"/>
      <c r="R78" s="543"/>
      <c r="T78" s="591"/>
      <c r="V78" s="545"/>
      <c r="W78" s="546"/>
      <c r="X78" s="547"/>
      <c r="Y78" s="548"/>
    </row>
    <row r="79" spans="1:25" ht="12.75" customHeight="1" thickBot="1">
      <c r="A79" s="498"/>
      <c r="B79" s="499"/>
      <c r="C79" s="500" t="s">
        <v>299</v>
      </c>
      <c r="D79" s="549">
        <f>SUM(D77:D77)</f>
        <v>0</v>
      </c>
      <c r="E79" s="502"/>
      <c r="F79" s="452"/>
      <c r="G79" s="503"/>
      <c r="T79" s="550"/>
    </row>
    <row r="80" spans="1:25" ht="12.75" customHeight="1" thickBot="1">
      <c r="A80" s="505"/>
      <c r="B80" s="551"/>
      <c r="C80" s="551"/>
      <c r="D80" s="452"/>
      <c r="E80" s="552"/>
      <c r="F80" s="452"/>
      <c r="G80" s="503"/>
      <c r="H80" s="553"/>
      <c r="I80" s="553"/>
      <c r="J80" s="554"/>
      <c r="K80" s="554"/>
      <c r="L80" s="553"/>
      <c r="M80" s="553"/>
      <c r="N80" s="554"/>
      <c r="O80" s="555"/>
      <c r="P80" s="556"/>
      <c r="Q80" s="556"/>
      <c r="R80" s="556"/>
      <c r="T80" s="557"/>
    </row>
    <row r="81" spans="1:25" s="577" customFormat="1" ht="30" customHeight="1" thickTop="1" thickBot="1">
      <c r="A81" s="558"/>
      <c r="B81" s="614"/>
      <c r="C81" s="615" t="s">
        <v>304</v>
      </c>
      <c r="D81" s="616">
        <f>D74+D79</f>
        <v>0</v>
      </c>
      <c r="E81" s="604"/>
      <c r="F81" s="563"/>
      <c r="G81" s="605">
        <f>SUM(G72:G72)+SUM(G77)</f>
        <v>0</v>
      </c>
      <c r="H81" s="606">
        <f t="shared" ref="H81" si="74">V81</f>
        <v>0</v>
      </c>
      <c r="I81" s="606">
        <f>G81-H81</f>
        <v>0</v>
      </c>
      <c r="J81" s="607">
        <f t="shared" ref="J81" si="75">IF(G81=0,0,H81/G81)</f>
        <v>0</v>
      </c>
      <c r="K81" s="567"/>
      <c r="L81" s="568">
        <f>IF(D81-G81=SUM(L72:L77),D81-G81,"attenzione!")</f>
        <v>0</v>
      </c>
      <c r="M81" s="569"/>
      <c r="N81" s="570">
        <f>IF(G81=0,0,G81/D81)</f>
        <v>0</v>
      </c>
      <c r="O81" s="571">
        <f>IF(K81&lt;&gt;0,(G81/K81)-G81,D81*(1-K81))</f>
        <v>0</v>
      </c>
      <c r="P81" s="572" t="str">
        <f t="shared" ref="P81" si="76">IF(D81=0,"ok",IF(G81&lt;D81,"ok","ATTENZIONE"))</f>
        <v>ok</v>
      </c>
      <c r="Q81" s="573" t="str">
        <f>IF(D81=0,"-",IF(L81&gt;=O81,"ok","ATTENZIONE"))</f>
        <v>-</v>
      </c>
      <c r="R81" s="574" t="str">
        <f>IF(D81=0,"-",IF(N81&gt;=(H81/D81),"ok","ATTENZIONE"))</f>
        <v>-</v>
      </c>
      <c r="S81" s="575"/>
      <c r="T81" s="576">
        <f t="shared" ref="T81" si="77">IF(K81=1,L81,D81-G81-O81)</f>
        <v>0</v>
      </c>
      <c r="U81" s="575"/>
      <c r="V81" s="576">
        <f>SUM(V72:V79)</f>
        <v>0</v>
      </c>
      <c r="W81" s="575"/>
      <c r="X81" s="575"/>
      <c r="Y81" s="575"/>
    </row>
    <row r="82" spans="1:25" ht="12.75" customHeight="1" thickTop="1">
      <c r="A82" s="617"/>
      <c r="F82" s="579"/>
      <c r="G82" s="580"/>
    </row>
    <row r="83" spans="1:25" ht="12.75" customHeight="1" thickBot="1">
      <c r="A83" s="618" t="s">
        <v>305</v>
      </c>
      <c r="F83" s="579"/>
      <c r="G83" s="580"/>
    </row>
    <row r="84" spans="1:25" ht="20.100000000000001" customHeight="1">
      <c r="A84" s="617"/>
      <c r="D84" s="828" t="s">
        <v>306</v>
      </c>
      <c r="F84" s="579"/>
      <c r="G84" s="830" t="s">
        <v>274</v>
      </c>
      <c r="H84" s="832" t="s">
        <v>275</v>
      </c>
      <c r="I84" s="832" t="s">
        <v>276</v>
      </c>
      <c r="J84" s="818" t="s">
        <v>277</v>
      </c>
      <c r="K84" s="834"/>
      <c r="L84" s="836" t="s">
        <v>307</v>
      </c>
      <c r="M84" s="619"/>
      <c r="N84" s="810" t="s">
        <v>280</v>
      </c>
      <c r="O84" s="812" t="s">
        <v>281</v>
      </c>
      <c r="P84" s="814" t="s">
        <v>282</v>
      </c>
      <c r="Q84" s="816" t="s">
        <v>283</v>
      </c>
      <c r="R84" s="818" t="s">
        <v>284</v>
      </c>
      <c r="T84" s="820" t="s">
        <v>308</v>
      </c>
    </row>
    <row r="85" spans="1:25" ht="20.100000000000001" customHeight="1" thickBot="1">
      <c r="A85" s="617"/>
      <c r="D85" s="829"/>
      <c r="F85" s="579"/>
      <c r="G85" s="831"/>
      <c r="H85" s="833"/>
      <c r="I85" s="833"/>
      <c r="J85" s="819"/>
      <c r="K85" s="835"/>
      <c r="L85" s="837"/>
      <c r="M85" s="620"/>
      <c r="N85" s="811"/>
      <c r="O85" s="813"/>
      <c r="P85" s="815"/>
      <c r="Q85" s="817"/>
      <c r="R85" s="819"/>
      <c r="T85" s="821"/>
    </row>
    <row r="86" spans="1:25" s="577" customFormat="1" ht="30" customHeight="1" thickTop="1" thickBot="1">
      <c r="A86" s="621"/>
      <c r="B86" s="622"/>
      <c r="C86" s="623" t="s">
        <v>309</v>
      </c>
      <c r="D86" s="624">
        <f>D45+D69+D81</f>
        <v>988902.06223499996</v>
      </c>
      <c r="E86" s="604"/>
      <c r="F86" s="563"/>
      <c r="G86" s="625">
        <f>G45+G69+G81</f>
        <v>0</v>
      </c>
      <c r="H86" s="626">
        <f>H45+H69+H81</f>
        <v>0</v>
      </c>
      <c r="I86" s="626">
        <f>I45+I69+I81</f>
        <v>0</v>
      </c>
      <c r="J86" s="627">
        <f>IF(G86=0,0,H86/G86)</f>
        <v>0</v>
      </c>
      <c r="K86" s="628"/>
      <c r="L86" s="629" t="e">
        <f>IF(D86-G86=L45+L69+L81,D86-G86,"attenzione!")</f>
        <v>#VALUE!</v>
      </c>
      <c r="M86" s="630"/>
      <c r="N86" s="631">
        <f>IF(G86=0,0,G86/D86)</f>
        <v>0</v>
      </c>
      <c r="O86" s="632">
        <f>O45+O69+O81</f>
        <v>1585649.5072349999</v>
      </c>
      <c r="P86" s="572" t="str">
        <f t="shared" ref="P86" si="78">IF(D86=0,"ok",IF(G86&lt;D86,"ok","ATTENZIONE"))</f>
        <v>ok</v>
      </c>
      <c r="Q86" s="573" t="e">
        <f>IF(D86=0,"-",IF(L86&gt;=O86,"ok","ATTENZIONE"))</f>
        <v>#VALUE!</v>
      </c>
      <c r="R86" s="574" t="str">
        <f>IF(D86=0,"-",IF(N86&gt;=(H86/D86),"ok","ATTENZIONE"))</f>
        <v>ok</v>
      </c>
      <c r="S86" s="575"/>
      <c r="T86" s="633" t="e">
        <f>IF(ROUND(L86-O86,2)=ROUND(T45+T69+T81,2),SUM(T45+T69+T81),"ATTENZIONE")</f>
        <v>#VALUE!</v>
      </c>
      <c r="U86" s="575"/>
      <c r="V86" s="633">
        <f>V45+V69+V81</f>
        <v>0</v>
      </c>
      <c r="W86" s="575"/>
      <c r="X86" s="575"/>
      <c r="Y86" s="575"/>
    </row>
    <row r="87" spans="1:25" ht="12.75" customHeight="1" thickTop="1">
      <c r="A87" s="617"/>
      <c r="F87" s="579"/>
      <c r="G87" s="580"/>
    </row>
    <row r="88" spans="1:25" ht="12.75" customHeight="1">
      <c r="A88" s="617"/>
      <c r="F88" s="579"/>
      <c r="G88" s="580"/>
    </row>
  </sheetData>
  <mergeCells count="28">
    <mergeCell ref="T5:T6"/>
    <mergeCell ref="G5:G6"/>
    <mergeCell ref="H5:H6"/>
    <mergeCell ref="I5:I6"/>
    <mergeCell ref="J5:J6"/>
    <mergeCell ref="K5:K6"/>
    <mergeCell ref="L5:L6"/>
    <mergeCell ref="T84:T85"/>
    <mergeCell ref="V5:V6"/>
    <mergeCell ref="W5:W6"/>
    <mergeCell ref="X5:X6"/>
    <mergeCell ref="D84:D85"/>
    <mergeCell ref="G84:G85"/>
    <mergeCell ref="H84:H85"/>
    <mergeCell ref="I84:I85"/>
    <mergeCell ref="J84:J85"/>
    <mergeCell ref="K84:K85"/>
    <mergeCell ref="L84:L85"/>
    <mergeCell ref="N5:N6"/>
    <mergeCell ref="O5:O6"/>
    <mergeCell ref="P5:P6"/>
    <mergeCell ref="Q5:Q6"/>
    <mergeCell ref="R5:R6"/>
    <mergeCell ref="N84:N85"/>
    <mergeCell ref="O84:O85"/>
    <mergeCell ref="P84:P85"/>
    <mergeCell ref="Q84:Q85"/>
    <mergeCell ref="R84:R85"/>
  </mergeCells>
  <conditionalFormatting sqref="J1:K3">
    <cfRule type="cellIs" dxfId="18" priority="145" operator="greaterThan">
      <formula>1</formula>
    </cfRule>
  </conditionalFormatting>
  <conditionalFormatting sqref="J8:K83">
    <cfRule type="cellIs" dxfId="17" priority="1" operator="greaterThan">
      <formula>1</formula>
    </cfRule>
  </conditionalFormatting>
  <conditionalFormatting sqref="J86:K1048576">
    <cfRule type="cellIs" dxfId="16" priority="140" operator="greaterThan">
      <formula>1</formula>
    </cfRule>
  </conditionalFormatting>
  <conditionalFormatting sqref="L1:L1048576">
    <cfRule type="cellIs" dxfId="15" priority="6" stopIfTrue="1" operator="lessThan">
      <formula>0</formula>
    </cfRule>
  </conditionalFormatting>
  <conditionalFormatting sqref="M1:M1048576">
    <cfRule type="cellIs" dxfId="14" priority="7" stopIfTrue="1" operator="equal">
      <formula>"-"</formula>
    </cfRule>
  </conditionalFormatting>
  <conditionalFormatting sqref="N44:Q44">
    <cfRule type="cellIs" dxfId="13" priority="156" stopIfTrue="1" operator="equal">
      <formula>1</formula>
    </cfRule>
  </conditionalFormatting>
  <conditionalFormatting sqref="N56:Q56">
    <cfRule type="cellIs" dxfId="12" priority="154" stopIfTrue="1" operator="equal">
      <formula>1</formula>
    </cfRule>
  </conditionalFormatting>
  <conditionalFormatting sqref="N61:Q61">
    <cfRule type="cellIs" dxfId="11" priority="153" stopIfTrue="1" operator="equal">
      <formula>1</formula>
    </cfRule>
  </conditionalFormatting>
  <conditionalFormatting sqref="N68:Q68">
    <cfRule type="cellIs" dxfId="10" priority="152" stopIfTrue="1" operator="equal">
      <formula>1</formula>
    </cfRule>
  </conditionalFormatting>
  <conditionalFormatting sqref="N75:Q75">
    <cfRule type="cellIs" dxfId="9" priority="151" stopIfTrue="1" operator="equal">
      <formula>1</formula>
    </cfRule>
  </conditionalFormatting>
  <conditionalFormatting sqref="N80:Q80">
    <cfRule type="cellIs" dxfId="8" priority="150" stopIfTrue="1" operator="equal">
      <formula>1</formula>
    </cfRule>
  </conditionalFormatting>
  <conditionalFormatting sqref="O1:R1048576">
    <cfRule type="cellIs" dxfId="7" priority="2" stopIfTrue="1" operator="equal">
      <formula>"ok"</formula>
    </cfRule>
    <cfRule type="cellIs" dxfId="6" priority="5" stopIfTrue="1" operator="equal">
      <formula>"ATTENZIONE"</formula>
    </cfRule>
  </conditionalFormatting>
  <conditionalFormatting sqref="T1:T4">
    <cfRule type="cellIs" dxfId="5" priority="147" stopIfTrue="1" operator="greaterThan">
      <formula>0</formula>
    </cfRule>
    <cfRule type="cellIs" dxfId="4" priority="148" stopIfTrue="1" operator="lessThan">
      <formula>0</formula>
    </cfRule>
  </conditionalFormatting>
  <conditionalFormatting sqref="T8:T83">
    <cfRule type="cellIs" dxfId="3" priority="3" stopIfTrue="1" operator="greaterThan">
      <formula>0</formula>
    </cfRule>
    <cfRule type="cellIs" dxfId="2" priority="4" stopIfTrue="1" operator="lessThan">
      <formula>0</formula>
    </cfRule>
  </conditionalFormatting>
  <conditionalFormatting sqref="T86:T1048576">
    <cfRule type="cellIs" dxfId="1" priority="62" stopIfTrue="1" operator="greaterThan">
      <formula>0</formula>
    </cfRule>
    <cfRule type="cellIs" dxfId="0" priority="63" stopIfTrue="1" operator="lessThan">
      <formula>0</formula>
    </cfRule>
  </conditionalFormatting>
  <pageMargins left="0.75" right="0.75" top="1" bottom="1" header="0.5" footer="0.5"/>
  <pageSetup paperSize="8" scale="70" orientation="landscape" r:id="rId1"/>
  <headerFooter alignWithMargins="0"/>
  <rowBreaks count="1" manualBreakCount="1">
    <brk id="45" max="25" man="1"/>
  </rowBreaks>
  <colBreaks count="1" manualBreakCount="1">
    <brk id="18" max="94" man="1"/>
  </col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AA838-E699-448E-A2E1-F98468D890DB}">
  <sheetPr>
    <pageSetUpPr fitToPage="1"/>
  </sheetPr>
  <dimension ref="A2:FQ184"/>
  <sheetViews>
    <sheetView topLeftCell="C2" zoomScaleNormal="100" workbookViewId="0">
      <pane ySplit="1" topLeftCell="A3" activePane="bottomLeft" state="frozen"/>
      <selection pane="bottomLeft" activeCell="P15" sqref="P15"/>
      <selection activeCell="A2" sqref="A2"/>
    </sheetView>
  </sheetViews>
  <sheetFormatPr defaultColWidth="9.140625" defaultRowHeight="10.5"/>
  <cols>
    <col min="1" max="1" width="6.7109375" style="156" customWidth="1"/>
    <col min="2" max="2" width="9.7109375" style="156" bestFit="1" customWidth="1"/>
    <col min="3" max="3" width="27.5703125" style="158" customWidth="1"/>
    <col min="4" max="4" width="21.28515625" style="1" customWidth="1"/>
    <col min="5" max="5" width="13.7109375" style="156" customWidth="1"/>
    <col min="6" max="6" width="8.42578125" style="156" customWidth="1"/>
    <col min="7" max="7" width="10" style="156" customWidth="1"/>
    <col min="8" max="8" width="14.28515625" style="156" customWidth="1"/>
    <col min="9" max="9" width="16.140625" style="156" customWidth="1"/>
    <col min="10" max="10" width="17.42578125" style="156" customWidth="1"/>
    <col min="11" max="11" width="12.7109375" style="156" customWidth="1"/>
    <col min="12" max="12" width="10.5703125" style="156" customWidth="1"/>
    <col min="13" max="13" width="7.140625" style="156" customWidth="1"/>
    <col min="14" max="22" width="7.7109375" style="156" customWidth="1"/>
    <col min="23" max="27" width="9.140625" style="156" customWidth="1"/>
    <col min="28" max="30" width="7.7109375" style="156" customWidth="1"/>
    <col min="31" max="31" width="9.140625" style="156" customWidth="1"/>
    <col min="32" max="34" width="7.7109375" style="156" customWidth="1"/>
    <col min="35" max="35" width="9.140625" style="156" customWidth="1"/>
    <col min="36" max="38" width="7.7109375" style="156" customWidth="1"/>
    <col min="39" max="39" width="9.140625" style="156" customWidth="1"/>
    <col min="40" max="42" width="7.7109375" style="156" customWidth="1"/>
    <col min="43" max="43" width="9.140625" style="156" customWidth="1"/>
    <col min="44" max="46" width="7.7109375" style="156" customWidth="1"/>
    <col min="47" max="48" width="9.140625" style="156" customWidth="1"/>
    <col min="49" max="49" width="12.28515625" style="156" customWidth="1"/>
    <col min="50" max="54" width="9.140625" style="156" customWidth="1"/>
    <col min="55" max="55" width="11" style="156" customWidth="1"/>
    <col min="56" max="56" width="13.140625" style="159" customWidth="1"/>
    <col min="57" max="57" width="15.7109375" style="159" customWidth="1"/>
    <col min="58" max="62" width="14.28515625" style="156" customWidth="1"/>
    <col min="63" max="63" width="5.85546875" style="156" customWidth="1"/>
    <col min="64" max="64" width="6.85546875" style="156" customWidth="1"/>
    <col min="65" max="82" width="9.140625" style="156" customWidth="1"/>
    <col min="83" max="83" width="15.5703125" style="156" bestFit="1" customWidth="1"/>
    <col min="84" max="84" width="11.7109375" style="156" bestFit="1" customWidth="1"/>
    <col min="85" max="85" width="17.7109375" style="156" bestFit="1" customWidth="1"/>
    <col min="86" max="86" width="8" style="156" bestFit="1" customWidth="1"/>
    <col min="87" max="87" width="9.85546875" style="156" bestFit="1" customWidth="1"/>
    <col min="88" max="88" width="12.42578125" style="156" customWidth="1"/>
    <col min="89" max="89" width="8" style="156" bestFit="1" customWidth="1"/>
    <col min="90" max="90" width="9" style="156" bestFit="1" customWidth="1"/>
    <col min="91" max="91" width="10" style="156" customWidth="1"/>
    <col min="92" max="92" width="8" style="156" bestFit="1" customWidth="1"/>
    <col min="93" max="93" width="9" style="156" bestFit="1" customWidth="1"/>
    <col min="94" max="94" width="13.28515625" style="156" customWidth="1"/>
    <col min="95" max="95" width="8" style="156" bestFit="1" customWidth="1"/>
    <col min="96" max="96" width="8.85546875" style="156" customWidth="1"/>
    <col min="97" max="97" width="15.7109375" style="156" customWidth="1"/>
    <col min="98" max="98" width="7.42578125" style="156" bestFit="1" customWidth="1"/>
    <col min="99" max="106" width="7.7109375" style="156" bestFit="1" customWidth="1"/>
    <col min="107" max="107" width="8.42578125" style="156" bestFit="1" customWidth="1"/>
    <col min="108" max="114" width="9.140625" style="156" customWidth="1"/>
    <col min="115" max="16384" width="9.140625" style="156"/>
  </cols>
  <sheetData>
    <row r="2" spans="1:173" ht="15" customHeight="1">
      <c r="BJ2" s="208"/>
    </row>
    <row r="3" spans="1:173" ht="10.9" thickBot="1">
      <c r="BK3" s="208"/>
      <c r="BL3" s="208"/>
      <c r="BM3" s="208"/>
      <c r="BN3" s="208"/>
      <c r="BO3" s="208"/>
      <c r="BP3" s="208"/>
      <c r="BQ3" s="208"/>
      <c r="BR3" s="208"/>
      <c r="BS3" s="208"/>
      <c r="BT3" s="208"/>
      <c r="BU3" s="208"/>
      <c r="BV3" s="208"/>
      <c r="BW3" s="208"/>
      <c r="BX3" s="208"/>
      <c r="BY3" s="208"/>
      <c r="BZ3" s="208"/>
      <c r="CA3" s="208"/>
      <c r="CB3" s="208"/>
      <c r="CC3" s="208"/>
      <c r="CD3" s="208"/>
    </row>
    <row r="4" spans="1:173">
      <c r="B4" s="202" t="s">
        <v>310</v>
      </c>
      <c r="C4" s="201"/>
      <c r="D4" s="200"/>
      <c r="E4" s="196"/>
      <c r="F4" s="199"/>
      <c r="G4" s="196"/>
      <c r="H4" s="196"/>
      <c r="I4" s="198"/>
      <c r="BF4" s="209"/>
      <c r="BG4" s="209"/>
      <c r="BH4" s="209"/>
      <c r="BI4" s="209"/>
      <c r="BJ4" s="209"/>
      <c r="BK4" s="208"/>
      <c r="BL4" s="208"/>
      <c r="BM4" s="208"/>
      <c r="BN4" s="208"/>
      <c r="BO4" s="208"/>
      <c r="BP4" s="208"/>
      <c r="BQ4" s="208"/>
      <c r="BR4" s="208"/>
      <c r="BS4" s="208"/>
      <c r="BT4" s="208"/>
      <c r="BU4" s="208"/>
      <c r="BV4" s="208"/>
      <c r="BW4" s="208"/>
      <c r="BX4" s="208"/>
      <c r="BY4" s="208"/>
      <c r="BZ4" s="208"/>
      <c r="CA4" s="208"/>
      <c r="CB4" s="208"/>
      <c r="CC4" s="208"/>
      <c r="CD4" s="208"/>
      <c r="CE4" s="199" t="s">
        <v>311</v>
      </c>
      <c r="CF4" s="198"/>
      <c r="CG4" s="196"/>
      <c r="CH4" s="196"/>
      <c r="CI4" s="196"/>
      <c r="CJ4" s="196"/>
      <c r="CK4" s="196"/>
      <c r="CL4" s="196"/>
      <c r="CM4" s="196"/>
      <c r="CN4" s="196"/>
      <c r="CO4" s="196"/>
      <c r="CP4" s="196"/>
      <c r="CQ4" s="196"/>
      <c r="CR4" s="195"/>
      <c r="CT4" s="197"/>
      <c r="CU4" s="196"/>
      <c r="CV4" s="196"/>
      <c r="CW4" s="195"/>
    </row>
    <row r="5" spans="1:173">
      <c r="B5" s="860" t="s">
        <v>312</v>
      </c>
      <c r="F5" s="864" t="s">
        <v>313</v>
      </c>
      <c r="G5" s="865"/>
      <c r="H5" s="864" t="s">
        <v>314</v>
      </c>
      <c r="I5" s="863"/>
      <c r="BF5" s="209"/>
      <c r="BG5" s="209"/>
      <c r="BH5" s="209"/>
      <c r="BI5" s="209"/>
      <c r="BJ5" s="209"/>
      <c r="BK5" s="208"/>
      <c r="BL5" s="208"/>
      <c r="BM5" s="208"/>
      <c r="BN5" s="208"/>
      <c r="BO5" s="208"/>
      <c r="BP5" s="208"/>
      <c r="BQ5" s="208"/>
      <c r="BR5" s="208"/>
      <c r="BS5" s="208"/>
      <c r="BT5" s="208"/>
      <c r="BU5" s="208"/>
      <c r="BV5" s="208"/>
      <c r="BW5" s="208"/>
      <c r="BX5" s="208"/>
      <c r="BY5" s="208"/>
      <c r="BZ5" s="208"/>
      <c r="CA5" s="208"/>
      <c r="CB5" s="208"/>
      <c r="CC5" s="208"/>
      <c r="CD5" s="208"/>
      <c r="CE5" s="862" t="str">
        <f>ANACO!C7</f>
        <v>VASTINT ITALY s.r.l.</v>
      </c>
      <c r="CF5" s="863"/>
      <c r="CR5" s="194"/>
      <c r="CT5" s="858"/>
      <c r="CU5" s="859"/>
      <c r="CV5" s="859"/>
      <c r="CW5" s="194"/>
    </row>
    <row r="6" spans="1:173" ht="10.9" thickBot="1">
      <c r="B6" s="861"/>
      <c r="C6" s="193"/>
      <c r="D6" s="192"/>
      <c r="E6" s="188"/>
      <c r="F6" s="191"/>
      <c r="G6" s="188"/>
      <c r="H6" s="188"/>
      <c r="I6" s="190"/>
      <c r="BF6" s="209"/>
      <c r="BG6" s="209"/>
      <c r="BH6" s="209"/>
      <c r="BI6" s="209"/>
      <c r="BJ6" s="209"/>
      <c r="BK6" s="208"/>
      <c r="BL6" s="208"/>
      <c r="BM6" s="208"/>
      <c r="BN6" s="208"/>
      <c r="BO6" s="208"/>
      <c r="BP6" s="208"/>
      <c r="BQ6" s="208"/>
      <c r="BR6" s="208"/>
      <c r="BS6" s="208"/>
      <c r="BT6" s="208"/>
      <c r="BU6" s="208"/>
      <c r="BV6" s="208"/>
      <c r="BW6" s="208"/>
      <c r="BX6" s="208"/>
      <c r="BY6" s="208"/>
      <c r="BZ6" s="208"/>
      <c r="CA6" s="208"/>
      <c r="CB6" s="208"/>
      <c r="CC6" s="208"/>
      <c r="CD6" s="208"/>
      <c r="CE6" s="191" t="s">
        <v>315</v>
      </c>
      <c r="CF6" s="190" t="str">
        <f>ANACO!C5</f>
        <v>P1002_25_CON_REV03_P1 E EI ALLUMINIO</v>
      </c>
      <c r="CG6" s="188"/>
      <c r="CH6" s="188"/>
      <c r="CI6" s="188"/>
      <c r="CJ6" s="188"/>
      <c r="CK6" s="188"/>
      <c r="CL6" s="188"/>
      <c r="CM6" s="188"/>
      <c r="CN6" s="188"/>
      <c r="CO6" s="188"/>
      <c r="CP6" s="188"/>
      <c r="CQ6" s="188"/>
      <c r="CR6" s="187"/>
      <c r="CT6" s="189"/>
      <c r="CU6" s="188"/>
      <c r="CV6" s="188"/>
      <c r="CW6" s="187"/>
    </row>
    <row r="7" spans="1:173">
      <c r="BF7" s="209"/>
      <c r="BG7" s="209"/>
      <c r="BH7" s="209"/>
      <c r="BI7" s="209"/>
      <c r="BJ7" s="209"/>
      <c r="BK7" s="208"/>
      <c r="BL7" s="208"/>
      <c r="BM7" s="208"/>
      <c r="BN7" s="208"/>
      <c r="BO7" s="208"/>
      <c r="BP7" s="208"/>
      <c r="BQ7" s="208"/>
      <c r="BR7" s="208"/>
      <c r="BS7" s="208"/>
      <c r="BT7" s="208"/>
      <c r="BU7" s="208"/>
      <c r="BV7" s="208"/>
      <c r="BW7" s="208"/>
      <c r="BX7" s="208"/>
      <c r="BY7" s="208"/>
      <c r="BZ7" s="208"/>
      <c r="CA7" s="208"/>
      <c r="CB7" s="208"/>
      <c r="CC7" s="208"/>
      <c r="CD7" s="208"/>
    </row>
    <row r="8" spans="1:173" s="239" customFormat="1" ht="48.75" customHeight="1">
      <c r="A8" s="156"/>
      <c r="B8" s="236" t="str">
        <f>B15</f>
        <v>ITEM</v>
      </c>
      <c r="C8" s="236" t="s">
        <v>316</v>
      </c>
      <c r="D8" s="236" t="s">
        <v>317</v>
      </c>
      <c r="E8" s="236" t="s">
        <v>318</v>
      </c>
      <c r="F8" s="236" t="s">
        <v>319</v>
      </c>
      <c r="G8" s="236" t="s">
        <v>320</v>
      </c>
      <c r="H8" s="236" t="s">
        <v>321</v>
      </c>
      <c r="I8" s="237" t="s">
        <v>322</v>
      </c>
      <c r="J8" s="236"/>
      <c r="K8" s="236"/>
      <c r="L8" s="852"/>
      <c r="M8" s="853"/>
      <c r="N8" s="853"/>
      <c r="O8" s="853"/>
      <c r="P8" s="853"/>
      <c r="Q8" s="853"/>
      <c r="R8" s="853"/>
      <c r="S8" s="853"/>
      <c r="T8" s="853"/>
      <c r="U8" s="853"/>
      <c r="V8" s="853"/>
      <c r="W8" s="853"/>
      <c r="X8" s="853"/>
      <c r="Y8" s="853"/>
      <c r="Z8" s="853"/>
      <c r="AA8" s="853"/>
      <c r="AB8" s="853"/>
      <c r="AC8" s="853"/>
      <c r="AD8" s="853"/>
      <c r="AE8" s="853"/>
      <c r="AF8" s="853"/>
      <c r="AG8" s="853"/>
      <c r="AH8" s="853"/>
      <c r="AI8" s="853"/>
      <c r="AJ8" s="853"/>
      <c r="AK8" s="853"/>
      <c r="AL8" s="853"/>
      <c r="AM8" s="853"/>
      <c r="AN8" s="853"/>
      <c r="AO8" s="853"/>
      <c r="AP8" s="853"/>
      <c r="AQ8" s="853"/>
      <c r="AR8" s="853"/>
      <c r="AS8" s="853"/>
      <c r="AT8" s="853"/>
      <c r="AU8" s="853"/>
      <c r="AV8" s="853"/>
      <c r="AW8" s="853"/>
      <c r="AX8" s="853"/>
      <c r="AY8" s="853"/>
      <c r="AZ8" s="853"/>
      <c r="BA8" s="853"/>
      <c r="BB8" s="853"/>
      <c r="BC8" s="853"/>
      <c r="BD8" s="853"/>
      <c r="BE8" s="854"/>
      <c r="BF8" s="852"/>
      <c r="BG8" s="853"/>
      <c r="BH8" s="853"/>
      <c r="BI8" s="854"/>
      <c r="BJ8" s="238"/>
      <c r="BK8" s="852"/>
      <c r="BL8" s="853"/>
      <c r="BM8" s="853"/>
      <c r="BN8" s="853"/>
      <c r="BO8" s="853"/>
      <c r="BP8" s="853"/>
      <c r="BQ8" s="853"/>
      <c r="BR8" s="853"/>
      <c r="BS8" s="853"/>
      <c r="BT8" s="853"/>
      <c r="BU8" s="853"/>
      <c r="BV8" s="853"/>
      <c r="BW8" s="853"/>
      <c r="BX8" s="853"/>
      <c r="BY8" s="853"/>
      <c r="BZ8" s="853"/>
      <c r="CA8" s="853"/>
      <c r="CB8" s="854"/>
      <c r="CC8" s="852"/>
      <c r="CD8" s="854"/>
      <c r="CE8" s="250" t="s">
        <v>323</v>
      </c>
      <c r="CF8" s="250" t="s">
        <v>324</v>
      </c>
      <c r="CG8" s="250" t="s">
        <v>325</v>
      </c>
      <c r="CH8" s="250"/>
      <c r="CI8" s="250"/>
      <c r="CJ8" s="251" t="s">
        <v>326</v>
      </c>
      <c r="CK8" s="252"/>
      <c r="CL8" s="253"/>
      <c r="CM8" s="250" t="s">
        <v>327</v>
      </c>
      <c r="CN8" s="250"/>
      <c r="CO8" s="250"/>
      <c r="CP8" s="250" t="s">
        <v>328</v>
      </c>
      <c r="CQ8" s="250"/>
      <c r="CR8" s="250"/>
      <c r="CS8" s="250" t="s">
        <v>329</v>
      </c>
      <c r="CT8" s="250" t="s">
        <v>330</v>
      </c>
      <c r="CU8" s="250" t="s">
        <v>331</v>
      </c>
      <c r="CV8" s="250" t="s">
        <v>332</v>
      </c>
      <c r="CW8" s="250" t="s">
        <v>333</v>
      </c>
      <c r="CX8" s="250" t="s">
        <v>334</v>
      </c>
      <c r="CY8" s="250" t="s">
        <v>335</v>
      </c>
      <c r="CZ8" s="250" t="s">
        <v>336</v>
      </c>
      <c r="DA8" s="250" t="s">
        <v>337</v>
      </c>
      <c r="DB8" s="250" t="s">
        <v>338</v>
      </c>
      <c r="DC8" s="250" t="s">
        <v>339</v>
      </c>
      <c r="DD8" s="156"/>
      <c r="DE8" s="156"/>
      <c r="DF8" s="156"/>
      <c r="DG8" s="156"/>
      <c r="DH8" s="156"/>
      <c r="DI8" s="156"/>
      <c r="DJ8" s="156"/>
      <c r="DK8" s="156"/>
      <c r="DL8" s="156"/>
      <c r="DM8" s="156"/>
      <c r="DN8" s="156"/>
      <c r="DO8" s="156"/>
      <c r="DP8" s="156"/>
      <c r="DQ8" s="156"/>
      <c r="DR8" s="156"/>
      <c r="DS8" s="156"/>
      <c r="DT8" s="156"/>
      <c r="DU8" s="156"/>
      <c r="DV8" s="156"/>
      <c r="DW8" s="156"/>
      <c r="DX8" s="156"/>
      <c r="DY8" s="156"/>
      <c r="DZ8" s="156"/>
      <c r="EA8" s="156"/>
      <c r="EB8" s="156"/>
      <c r="EC8" s="156"/>
      <c r="ED8" s="156"/>
      <c r="EE8" s="156"/>
      <c r="EF8" s="156"/>
      <c r="EG8" s="156"/>
      <c r="EH8" s="156"/>
      <c r="EI8" s="156"/>
      <c r="EJ8" s="156"/>
      <c r="EK8" s="156"/>
      <c r="EL8" s="156"/>
      <c r="EM8" s="156"/>
      <c r="EN8" s="156"/>
      <c r="EO8" s="156"/>
      <c r="EP8" s="156"/>
      <c r="EQ8" s="156"/>
      <c r="ER8" s="156"/>
      <c r="ES8" s="156"/>
      <c r="ET8" s="156"/>
      <c r="EU8" s="156"/>
      <c r="EV8" s="156"/>
      <c r="EW8" s="156"/>
      <c r="EX8" s="156"/>
      <c r="EY8" s="156"/>
      <c r="EZ8" s="156"/>
      <c r="FA8" s="156"/>
      <c r="FB8" s="156"/>
      <c r="FC8" s="156"/>
      <c r="FD8" s="156"/>
      <c r="FE8" s="156"/>
      <c r="FF8" s="156"/>
      <c r="FG8" s="156"/>
      <c r="FH8" s="156"/>
      <c r="FI8" s="156"/>
      <c r="FJ8" s="156"/>
      <c r="FK8" s="156"/>
      <c r="FL8" s="156"/>
      <c r="FM8" s="156"/>
      <c r="FN8" s="156"/>
      <c r="FO8" s="156"/>
      <c r="FP8" s="156"/>
      <c r="FQ8" s="156"/>
    </row>
    <row r="9" spans="1:173" s="231" customFormat="1">
      <c r="A9" s="217"/>
      <c r="B9" s="225"/>
      <c r="C9" s="225"/>
      <c r="D9" s="226"/>
      <c r="E9" s="225"/>
      <c r="F9" s="225"/>
      <c r="G9" s="225"/>
      <c r="H9" s="225"/>
      <c r="I9" s="225"/>
      <c r="J9" s="225"/>
      <c r="K9" s="226"/>
      <c r="L9" s="851"/>
      <c r="M9" s="851"/>
      <c r="N9" s="851"/>
      <c r="O9" s="851"/>
      <c r="P9" s="851"/>
      <c r="Q9" s="851"/>
      <c r="R9" s="851"/>
      <c r="S9" s="851"/>
      <c r="T9" s="851"/>
      <c r="U9" s="851"/>
      <c r="V9" s="851"/>
      <c r="W9" s="851"/>
      <c r="X9" s="851"/>
      <c r="Y9" s="851"/>
      <c r="Z9" s="851"/>
      <c r="AA9" s="851"/>
      <c r="AB9" s="851"/>
      <c r="AC9" s="851"/>
      <c r="AD9" s="851"/>
      <c r="AE9" s="851"/>
      <c r="AF9" s="851"/>
      <c r="AG9" s="851"/>
      <c r="AH9" s="851"/>
      <c r="AI9" s="851"/>
      <c r="AJ9" s="851"/>
      <c r="AK9" s="851"/>
      <c r="AL9" s="851"/>
      <c r="AM9" s="851"/>
      <c r="AN9" s="851"/>
      <c r="AO9" s="851"/>
      <c r="AP9" s="851"/>
      <c r="AQ9" s="851"/>
      <c r="AR9" s="851"/>
      <c r="AS9" s="851"/>
      <c r="AT9" s="851"/>
      <c r="AU9" s="851"/>
      <c r="AV9" s="225"/>
      <c r="AW9" s="225"/>
      <c r="AX9" s="225"/>
      <c r="AY9" s="225"/>
      <c r="AZ9" s="225"/>
      <c r="BA9" s="225"/>
      <c r="BB9" s="225"/>
      <c r="BC9" s="225"/>
      <c r="BD9" s="227"/>
      <c r="BE9" s="227"/>
      <c r="BF9" s="228"/>
      <c r="BG9" s="228"/>
      <c r="BH9" s="228"/>
      <c r="BI9" s="228"/>
      <c r="BJ9" s="229"/>
      <c r="BK9" s="230"/>
      <c r="BL9" s="230"/>
      <c r="BM9" s="230"/>
      <c r="BN9" s="230"/>
      <c r="BO9" s="230"/>
      <c r="BP9" s="230"/>
      <c r="BQ9" s="230"/>
      <c r="BR9" s="230"/>
      <c r="BS9" s="230"/>
      <c r="BT9" s="230"/>
      <c r="BU9" s="230"/>
      <c r="BV9" s="230"/>
      <c r="BW9" s="230"/>
      <c r="BX9" s="230"/>
      <c r="BY9" s="230"/>
      <c r="BZ9" s="230"/>
      <c r="CA9" s="230"/>
      <c r="CB9" s="230"/>
      <c r="CC9" s="230"/>
      <c r="CD9" s="230"/>
      <c r="CE9" s="636" t="s">
        <v>288</v>
      </c>
      <c r="CF9" s="636" t="s">
        <v>288</v>
      </c>
      <c r="CG9" s="637" t="s">
        <v>340</v>
      </c>
      <c r="CH9" s="638" t="s">
        <v>341</v>
      </c>
      <c r="CI9" s="636" t="s">
        <v>288</v>
      </c>
      <c r="CJ9" s="637" t="s">
        <v>340</v>
      </c>
      <c r="CK9" s="638" t="s">
        <v>341</v>
      </c>
      <c r="CL9" s="636" t="s">
        <v>288</v>
      </c>
      <c r="CM9" s="637" t="s">
        <v>340</v>
      </c>
      <c r="CN9" s="638" t="s">
        <v>341</v>
      </c>
      <c r="CO9" s="636" t="s">
        <v>288</v>
      </c>
      <c r="CP9" s="639" t="s">
        <v>340</v>
      </c>
      <c r="CQ9" s="638" t="s">
        <v>341</v>
      </c>
      <c r="CR9" s="636" t="s">
        <v>288</v>
      </c>
      <c r="CS9" s="636"/>
      <c r="CT9" s="250" t="s">
        <v>342</v>
      </c>
      <c r="CU9" s="250" t="s">
        <v>343</v>
      </c>
      <c r="CV9" s="250" t="s">
        <v>344</v>
      </c>
      <c r="CW9" s="250" t="s">
        <v>345</v>
      </c>
      <c r="CX9" s="250" t="s">
        <v>346</v>
      </c>
      <c r="CY9" s="250" t="s">
        <v>347</v>
      </c>
      <c r="CZ9" s="250" t="s">
        <v>348</v>
      </c>
      <c r="DA9" s="250" t="s">
        <v>349</v>
      </c>
      <c r="DB9" s="250" t="s">
        <v>350</v>
      </c>
      <c r="DC9" s="250" t="s">
        <v>351</v>
      </c>
      <c r="DD9" s="217"/>
      <c r="DE9" s="217"/>
      <c r="DF9" s="217"/>
      <c r="DG9" s="217"/>
      <c r="DH9" s="217"/>
      <c r="DI9" s="217"/>
      <c r="DJ9" s="217"/>
      <c r="DK9" s="217"/>
      <c r="DL9" s="217"/>
      <c r="DM9" s="217"/>
      <c r="DN9" s="217"/>
      <c r="DO9" s="217"/>
      <c r="DP9" s="217"/>
      <c r="DQ9" s="217"/>
      <c r="DR9" s="217"/>
      <c r="DS9" s="217"/>
      <c r="DT9" s="217"/>
      <c r="DU9" s="217"/>
      <c r="DV9" s="217"/>
      <c r="DW9" s="217"/>
      <c r="DX9" s="217"/>
      <c r="DY9" s="217"/>
      <c r="DZ9" s="217"/>
      <c r="EA9" s="217"/>
      <c r="EB9" s="217"/>
      <c r="EC9" s="217"/>
      <c r="ED9" s="217"/>
      <c r="EE9" s="217"/>
      <c r="EF9" s="217"/>
      <c r="EG9" s="217"/>
      <c r="EH9" s="217"/>
      <c r="EI9" s="217"/>
      <c r="EJ9" s="217"/>
      <c r="EK9" s="217"/>
      <c r="EL9" s="217"/>
      <c r="EM9" s="217"/>
      <c r="EN9" s="217"/>
      <c r="EO9" s="217"/>
      <c r="EP9" s="217"/>
      <c r="EQ9" s="217"/>
      <c r="ER9" s="217"/>
      <c r="ES9" s="217"/>
      <c r="ET9" s="217"/>
      <c r="EU9" s="217"/>
      <c r="EV9" s="217"/>
      <c r="EW9" s="217"/>
      <c r="EX9" s="217"/>
      <c r="EY9" s="217"/>
      <c r="EZ9" s="217"/>
      <c r="FA9" s="217"/>
      <c r="FB9" s="217"/>
      <c r="FC9" s="217"/>
      <c r="FD9" s="217"/>
      <c r="FE9" s="217"/>
      <c r="FF9" s="217"/>
      <c r="FG9" s="217"/>
      <c r="FH9" s="217"/>
      <c r="FI9" s="217"/>
      <c r="FJ9" s="217"/>
      <c r="FK9" s="217"/>
      <c r="FL9" s="217"/>
      <c r="FM9" s="217"/>
      <c r="FN9" s="217"/>
      <c r="FO9" s="217"/>
      <c r="FP9" s="217"/>
      <c r="FQ9" s="217"/>
    </row>
    <row r="10" spans="1:173" s="235" customFormat="1" ht="24.75" customHeight="1">
      <c r="A10" s="217"/>
      <c r="B10" s="232"/>
      <c r="C10" s="232"/>
      <c r="D10" s="232"/>
      <c r="E10" s="232"/>
      <c r="F10" s="232"/>
      <c r="G10" s="232"/>
      <c r="H10" s="232"/>
      <c r="I10" s="233"/>
      <c r="J10" s="232"/>
      <c r="K10" s="232"/>
      <c r="L10" s="232"/>
      <c r="M10" s="232"/>
      <c r="N10" s="233"/>
      <c r="O10" s="233"/>
      <c r="P10" s="232"/>
      <c r="Q10" s="232"/>
      <c r="R10" s="233"/>
      <c r="S10" s="233"/>
      <c r="T10" s="232"/>
      <c r="U10" s="232"/>
      <c r="V10" s="233"/>
      <c r="W10" s="233"/>
      <c r="X10" s="232"/>
      <c r="Y10" s="232"/>
      <c r="Z10" s="233"/>
      <c r="AA10" s="233"/>
      <c r="AB10" s="232"/>
      <c r="AC10" s="232"/>
      <c r="AD10" s="233"/>
      <c r="AE10" s="233"/>
      <c r="AF10" s="232"/>
      <c r="AG10" s="232"/>
      <c r="AH10" s="233"/>
      <c r="AI10" s="233"/>
      <c r="AJ10" s="232"/>
      <c r="AK10" s="232"/>
      <c r="AL10" s="233"/>
      <c r="AM10" s="233"/>
      <c r="AN10" s="232"/>
      <c r="AO10" s="232"/>
      <c r="AP10" s="233"/>
      <c r="AQ10" s="233"/>
      <c r="AR10" s="232"/>
      <c r="AS10" s="232"/>
      <c r="AT10" s="233"/>
      <c r="AU10" s="233"/>
      <c r="AV10" s="232"/>
      <c r="AW10" s="232"/>
      <c r="AX10" s="232"/>
      <c r="AY10" s="232"/>
      <c r="AZ10" s="232"/>
      <c r="BA10" s="232"/>
      <c r="BB10" s="233"/>
      <c r="BC10" s="233"/>
      <c r="BD10" s="234"/>
      <c r="BE10" s="234"/>
      <c r="BF10" s="233"/>
      <c r="BG10" s="233"/>
      <c r="BH10" s="233"/>
      <c r="BI10" s="233"/>
      <c r="BJ10" s="232"/>
      <c r="BK10" s="850"/>
      <c r="BL10" s="850"/>
      <c r="BM10" s="850"/>
      <c r="BN10" s="850"/>
      <c r="BO10" s="850"/>
      <c r="BP10" s="850"/>
      <c r="BQ10" s="850"/>
      <c r="BR10" s="850"/>
      <c r="BS10" s="850"/>
      <c r="BT10" s="850"/>
      <c r="BU10" s="850"/>
      <c r="BV10" s="850"/>
      <c r="BW10" s="850"/>
      <c r="BX10" s="850"/>
      <c r="BY10" s="850"/>
      <c r="BZ10" s="850"/>
      <c r="CA10" s="850"/>
      <c r="CB10" s="850"/>
      <c r="CC10" s="233"/>
      <c r="CD10" s="233"/>
      <c r="CE10" s="640">
        <v>0</v>
      </c>
      <c r="CF10" s="640">
        <v>0</v>
      </c>
      <c r="CG10" s="254"/>
      <c r="CH10" s="255"/>
      <c r="CI10" s="640">
        <v>0.2</v>
      </c>
      <c r="CJ10" s="254"/>
      <c r="CK10" s="255"/>
      <c r="CL10" s="640">
        <v>0.3</v>
      </c>
      <c r="CM10" s="254"/>
      <c r="CN10" s="255"/>
      <c r="CO10" s="640">
        <v>0.4</v>
      </c>
      <c r="CP10" s="254"/>
      <c r="CQ10" s="254"/>
      <c r="CR10" s="640">
        <v>0.1</v>
      </c>
      <c r="CS10" s="640"/>
      <c r="CT10" s="855"/>
      <c r="CU10" s="856"/>
      <c r="CV10" s="856"/>
      <c r="CW10" s="856"/>
      <c r="CX10" s="856"/>
      <c r="CY10" s="856"/>
      <c r="CZ10" s="856"/>
      <c r="DA10" s="856"/>
      <c r="DB10" s="856"/>
      <c r="DC10" s="857"/>
      <c r="DD10" s="215"/>
      <c r="DE10" s="215"/>
      <c r="DF10" s="215"/>
      <c r="DG10" s="215"/>
      <c r="DH10" s="215"/>
      <c r="DI10" s="215"/>
      <c r="DJ10" s="215"/>
      <c r="DK10" s="215"/>
      <c r="DL10" s="215"/>
      <c r="DM10" s="215"/>
      <c r="DN10" s="215"/>
      <c r="DO10" s="215"/>
      <c r="DP10" s="215"/>
      <c r="DQ10" s="215"/>
      <c r="DR10" s="215"/>
      <c r="DS10" s="215"/>
      <c r="DT10" s="215"/>
      <c r="DU10" s="215"/>
      <c r="DV10" s="215"/>
      <c r="DW10" s="215"/>
      <c r="DX10" s="215"/>
      <c r="DY10" s="215"/>
      <c r="DZ10" s="215"/>
      <c r="EA10" s="215"/>
      <c r="EB10" s="215"/>
      <c r="EC10" s="215"/>
      <c r="ED10" s="215"/>
      <c r="EE10" s="215"/>
      <c r="EF10" s="215"/>
      <c r="EG10" s="215"/>
      <c r="EH10" s="215"/>
      <c r="EI10" s="215"/>
      <c r="EJ10" s="215"/>
      <c r="EK10" s="215"/>
      <c r="EL10" s="215"/>
      <c r="EM10" s="215"/>
      <c r="EN10" s="215"/>
      <c r="EO10" s="215"/>
      <c r="EP10" s="215"/>
      <c r="EQ10" s="215"/>
      <c r="ER10" s="215"/>
      <c r="ES10" s="215"/>
      <c r="ET10" s="215"/>
      <c r="EU10" s="215"/>
      <c r="EV10" s="215"/>
      <c r="EW10" s="215"/>
      <c r="EX10" s="215"/>
      <c r="EY10" s="215"/>
      <c r="EZ10" s="215"/>
      <c r="FA10" s="215"/>
      <c r="FB10" s="215"/>
      <c r="FC10" s="215"/>
      <c r="FD10" s="215"/>
      <c r="FE10" s="215"/>
      <c r="FF10" s="215"/>
      <c r="FG10" s="215"/>
      <c r="FH10" s="215"/>
      <c r="FI10" s="215"/>
      <c r="FJ10" s="215"/>
      <c r="FK10" s="215"/>
      <c r="FL10" s="215"/>
      <c r="FM10" s="215"/>
      <c r="FN10" s="215"/>
      <c r="FO10" s="215"/>
      <c r="FP10" s="215"/>
      <c r="FQ10" s="215"/>
    </row>
    <row r="11" spans="1:173">
      <c r="B11" s="165"/>
      <c r="C11" s="173" t="s">
        <v>352</v>
      </c>
      <c r="D11" s="165">
        <v>1</v>
      </c>
      <c r="E11" s="165"/>
      <c r="F11" s="167"/>
      <c r="G11" s="167">
        <v>1</v>
      </c>
      <c r="H11" s="166"/>
      <c r="I11" s="172">
        <v>0</v>
      </c>
      <c r="AW11" s="206"/>
      <c r="BF11" s="211"/>
      <c r="BG11" s="211"/>
      <c r="BK11" s="208"/>
      <c r="BL11" s="208"/>
      <c r="BM11" s="208"/>
      <c r="BN11" s="208"/>
      <c r="BO11" s="208"/>
      <c r="BP11" s="208"/>
      <c r="BQ11" s="208"/>
      <c r="BR11" s="208"/>
      <c r="BS11" s="208"/>
      <c r="BT11" s="208"/>
      <c r="BU11" s="208"/>
      <c r="BV11" s="208"/>
      <c r="BW11" s="208"/>
      <c r="BX11" s="208"/>
      <c r="BY11" s="208"/>
      <c r="BZ11" s="208"/>
      <c r="CA11" s="208"/>
      <c r="CB11" s="208"/>
      <c r="CC11" s="208"/>
      <c r="CD11" s="208"/>
      <c r="CE11" s="165"/>
      <c r="CF11" s="165"/>
      <c r="CG11" s="165">
        <v>0</v>
      </c>
      <c r="CH11" s="164">
        <v>0</v>
      </c>
      <c r="CI11" s="163">
        <f>+CH11*I11*$CI$10*CG11</f>
        <v>0</v>
      </c>
      <c r="CJ11" s="165">
        <v>0</v>
      </c>
      <c r="CK11" s="164">
        <v>0</v>
      </c>
      <c r="CL11" s="163">
        <f>+CK11*I11*$CL$10*CJ11</f>
        <v>0</v>
      </c>
      <c r="CM11" s="165">
        <v>0</v>
      </c>
      <c r="CN11" s="164">
        <v>0</v>
      </c>
      <c r="CO11" s="163">
        <f>+CN11*I11*$CO$10*CM11</f>
        <v>0</v>
      </c>
      <c r="CP11" s="165">
        <v>0</v>
      </c>
      <c r="CQ11" s="164">
        <v>0</v>
      </c>
      <c r="CR11" s="163">
        <f>+CQ11*I11*$CR$10*CP11</f>
        <v>0</v>
      </c>
      <c r="CS11" s="224">
        <f>SUM(CR11+CO11+CL11+CI11+CF11+CE11)</f>
        <v>0</v>
      </c>
      <c r="CT11" s="247"/>
      <c r="CU11" s="247"/>
      <c r="CV11" s="247"/>
      <c r="CW11" s="247"/>
      <c r="CX11" s="247"/>
      <c r="CY11" s="247"/>
      <c r="CZ11" s="247"/>
      <c r="DA11" s="247"/>
      <c r="DB11" s="247"/>
      <c r="DC11" s="247"/>
    </row>
    <row r="12" spans="1:173">
      <c r="B12" s="184"/>
      <c r="C12" s="186" t="s">
        <v>353</v>
      </c>
      <c r="D12" s="185"/>
      <c r="E12" s="184"/>
      <c r="F12" s="183"/>
      <c r="G12" s="240">
        <f>SUM(G11:G11)</f>
        <v>1</v>
      </c>
      <c r="H12" s="241"/>
      <c r="I12" s="242">
        <f>SUM(I11:I11)</f>
        <v>0</v>
      </c>
      <c r="BJ12" s="209"/>
      <c r="BK12" s="208"/>
      <c r="BL12" s="208"/>
      <c r="BM12" s="208"/>
      <c r="BN12" s="208"/>
      <c r="BO12" s="208"/>
      <c r="BP12" s="208"/>
      <c r="BQ12" s="208"/>
      <c r="BR12" s="208"/>
      <c r="BS12" s="208"/>
      <c r="BT12" s="208"/>
      <c r="BU12" s="208"/>
      <c r="BV12" s="208"/>
      <c r="BW12" s="208"/>
      <c r="BX12" s="208"/>
      <c r="BY12" s="208"/>
      <c r="BZ12" s="208"/>
      <c r="CA12" s="208"/>
      <c r="CB12" s="208"/>
      <c r="CC12" s="208"/>
      <c r="CD12" s="208"/>
      <c r="CE12" s="181"/>
      <c r="CF12" s="161"/>
      <c r="CG12" s="161"/>
      <c r="CH12" s="161"/>
      <c r="CI12" s="161"/>
      <c r="CJ12" s="161"/>
      <c r="CK12" s="161"/>
      <c r="CL12" s="161"/>
      <c r="CM12" s="161"/>
      <c r="CN12" s="161"/>
      <c r="CO12" s="161"/>
      <c r="CP12" s="161"/>
      <c r="CQ12" s="161"/>
      <c r="CR12" s="161"/>
      <c r="CS12" s="207">
        <f>SUM(CR12+CO12+CL12+CI12+CF12+CE12)</f>
        <v>0</v>
      </c>
      <c r="CT12" s="259"/>
      <c r="CU12" s="207"/>
      <c r="CV12" s="207"/>
      <c r="CW12" s="207"/>
      <c r="CX12" s="207"/>
      <c r="CY12" s="207"/>
      <c r="CZ12" s="207"/>
      <c r="DA12" s="207"/>
      <c r="DB12" s="207"/>
      <c r="DC12" s="221"/>
    </row>
    <row r="13" spans="1:173" s="239" customFormat="1" ht="48.75" customHeight="1">
      <c r="A13" s="156"/>
      <c r="B13" s="236"/>
      <c r="C13" s="236"/>
      <c r="D13" s="236"/>
      <c r="E13" s="236"/>
      <c r="F13" s="236"/>
      <c r="G13" s="236"/>
      <c r="H13" s="236"/>
      <c r="I13" s="237"/>
      <c r="J13" s="236"/>
      <c r="K13" s="236"/>
      <c r="L13" s="852"/>
      <c r="M13" s="853"/>
      <c r="N13" s="853"/>
      <c r="O13" s="853"/>
      <c r="P13" s="853"/>
      <c r="Q13" s="853"/>
      <c r="R13" s="853"/>
      <c r="S13" s="853"/>
      <c r="T13" s="853"/>
      <c r="U13" s="853"/>
      <c r="V13" s="853"/>
      <c r="W13" s="853"/>
      <c r="X13" s="853"/>
      <c r="Y13" s="853"/>
      <c r="Z13" s="853"/>
      <c r="AA13" s="853"/>
      <c r="AB13" s="853"/>
      <c r="AC13" s="853"/>
      <c r="AD13" s="853"/>
      <c r="AE13" s="853"/>
      <c r="AF13" s="853"/>
      <c r="AG13" s="853"/>
      <c r="AH13" s="853"/>
      <c r="AI13" s="853"/>
      <c r="AJ13" s="853"/>
      <c r="AK13" s="853"/>
      <c r="AL13" s="853"/>
      <c r="AM13" s="853"/>
      <c r="AN13" s="853"/>
      <c r="AO13" s="853"/>
      <c r="AP13" s="853"/>
      <c r="AQ13" s="853"/>
      <c r="AR13" s="853"/>
      <c r="AS13" s="853"/>
      <c r="AT13" s="853"/>
      <c r="AU13" s="853"/>
      <c r="AV13" s="853"/>
      <c r="AW13" s="853"/>
      <c r="AX13" s="853"/>
      <c r="AY13" s="853"/>
      <c r="AZ13" s="853"/>
      <c r="BA13" s="853"/>
      <c r="BB13" s="853"/>
      <c r="BC13" s="853"/>
      <c r="BD13" s="853"/>
      <c r="BE13" s="854"/>
      <c r="BF13" s="852" t="s">
        <v>354</v>
      </c>
      <c r="BG13" s="853"/>
      <c r="BH13" s="853"/>
      <c r="BI13" s="854"/>
      <c r="BJ13" s="238" t="s">
        <v>355</v>
      </c>
      <c r="BK13" s="852" t="s">
        <v>356</v>
      </c>
      <c r="BL13" s="853"/>
      <c r="BM13" s="853"/>
      <c r="BN13" s="853"/>
      <c r="BO13" s="853"/>
      <c r="BP13" s="853"/>
      <c r="BQ13" s="853"/>
      <c r="BR13" s="853"/>
      <c r="BS13" s="853"/>
      <c r="BT13" s="853"/>
      <c r="BU13" s="853"/>
      <c r="BV13" s="853"/>
      <c r="BW13" s="853"/>
      <c r="BX13" s="853"/>
      <c r="BY13" s="853"/>
      <c r="BZ13" s="853"/>
      <c r="CA13" s="853"/>
      <c r="CB13" s="854"/>
      <c r="CC13" s="852" t="s">
        <v>357</v>
      </c>
      <c r="CD13" s="854"/>
      <c r="CE13" s="250" t="s">
        <v>323</v>
      </c>
      <c r="CF13" s="250" t="s">
        <v>324</v>
      </c>
      <c r="CG13" s="250" t="s">
        <v>325</v>
      </c>
      <c r="CH13" s="250"/>
      <c r="CI13" s="250"/>
      <c r="CJ13" s="251" t="s">
        <v>326</v>
      </c>
      <c r="CK13" s="252"/>
      <c r="CL13" s="253"/>
      <c r="CM13" s="250" t="s">
        <v>327</v>
      </c>
      <c r="CN13" s="250"/>
      <c r="CO13" s="250"/>
      <c r="CP13" s="250" t="s">
        <v>328</v>
      </c>
      <c r="CQ13" s="250"/>
      <c r="CR13" s="250"/>
      <c r="CS13" s="207"/>
      <c r="CT13" s="250" t="s">
        <v>330</v>
      </c>
      <c r="CU13" s="250" t="s">
        <v>331</v>
      </c>
      <c r="CV13" s="250" t="s">
        <v>332</v>
      </c>
      <c r="CW13" s="250" t="s">
        <v>333</v>
      </c>
      <c r="CX13" s="250" t="s">
        <v>334</v>
      </c>
      <c r="CY13" s="250" t="s">
        <v>335</v>
      </c>
      <c r="CZ13" s="250" t="s">
        <v>336</v>
      </c>
      <c r="DA13" s="250" t="s">
        <v>337</v>
      </c>
      <c r="DB13" s="250" t="s">
        <v>338</v>
      </c>
      <c r="DC13" s="250" t="s">
        <v>339</v>
      </c>
      <c r="DD13" s="156"/>
      <c r="DE13" s="156"/>
      <c r="DF13" s="156"/>
      <c r="DG13" s="156"/>
      <c r="DH13" s="156"/>
      <c r="DI13" s="156"/>
      <c r="DJ13" s="156"/>
      <c r="DK13" s="156"/>
      <c r="DL13" s="156"/>
      <c r="DM13" s="156"/>
      <c r="DN13" s="156"/>
      <c r="DO13" s="156"/>
      <c r="DP13" s="156"/>
      <c r="DQ13" s="156"/>
      <c r="DR13" s="156"/>
      <c r="DS13" s="156"/>
      <c r="DT13" s="156"/>
      <c r="DU13" s="156"/>
      <c r="DV13" s="156"/>
      <c r="DW13" s="156"/>
      <c r="DX13" s="156"/>
      <c r="DY13" s="156"/>
      <c r="DZ13" s="156"/>
      <c r="EA13" s="156"/>
      <c r="EB13" s="156"/>
      <c r="EC13" s="156"/>
      <c r="ED13" s="156"/>
      <c r="EE13" s="156"/>
      <c r="EF13" s="156"/>
      <c r="EG13" s="156"/>
      <c r="EH13" s="156"/>
      <c r="EI13" s="156"/>
      <c r="EJ13" s="156"/>
      <c r="EK13" s="156"/>
      <c r="EL13" s="156"/>
      <c r="EM13" s="156"/>
      <c r="EN13" s="156"/>
      <c r="EO13" s="156"/>
      <c r="EP13" s="156"/>
      <c r="EQ13" s="156"/>
      <c r="ER13" s="156"/>
      <c r="ES13" s="156"/>
      <c r="ET13" s="156"/>
      <c r="EU13" s="156"/>
      <c r="EV13" s="156"/>
      <c r="EW13" s="156"/>
      <c r="EX13" s="156"/>
      <c r="EY13" s="156"/>
      <c r="EZ13" s="156"/>
      <c r="FA13" s="156"/>
      <c r="FB13" s="156"/>
      <c r="FC13" s="156"/>
      <c r="FD13" s="156"/>
      <c r="FE13" s="156"/>
      <c r="FF13" s="156"/>
      <c r="FG13" s="156"/>
      <c r="FH13" s="156"/>
      <c r="FI13" s="156"/>
      <c r="FJ13" s="156"/>
      <c r="FK13" s="156"/>
      <c r="FL13" s="156"/>
      <c r="FM13" s="156"/>
      <c r="FN13" s="156"/>
      <c r="FO13" s="156"/>
      <c r="FP13" s="156"/>
      <c r="FQ13" s="156"/>
    </row>
    <row r="14" spans="1:173" s="231" customFormat="1" ht="31.5">
      <c r="A14" s="217"/>
      <c r="B14" s="225"/>
      <c r="C14" s="225"/>
      <c r="D14" s="226" t="s">
        <v>358</v>
      </c>
      <c r="E14" s="225"/>
      <c r="F14" s="225"/>
      <c r="G14" s="225"/>
      <c r="H14" s="225"/>
      <c r="I14" s="225"/>
      <c r="J14" s="225" t="s">
        <v>291</v>
      </c>
      <c r="K14" s="226" t="s">
        <v>359</v>
      </c>
      <c r="L14" s="851" t="s">
        <v>360</v>
      </c>
      <c r="M14" s="851"/>
      <c r="N14" s="851"/>
      <c r="O14" s="851"/>
      <c r="P14" s="851" t="s">
        <v>361</v>
      </c>
      <c r="Q14" s="851"/>
      <c r="R14" s="851"/>
      <c r="S14" s="851"/>
      <c r="T14" s="851" t="s">
        <v>362</v>
      </c>
      <c r="U14" s="851"/>
      <c r="V14" s="851"/>
      <c r="W14" s="851"/>
      <c r="X14" s="851" t="s">
        <v>363</v>
      </c>
      <c r="Y14" s="851"/>
      <c r="Z14" s="851"/>
      <c r="AA14" s="851"/>
      <c r="AB14" s="851" t="s">
        <v>364</v>
      </c>
      <c r="AC14" s="851"/>
      <c r="AD14" s="851"/>
      <c r="AE14" s="851"/>
      <c r="AF14" s="851" t="s">
        <v>365</v>
      </c>
      <c r="AG14" s="851"/>
      <c r="AH14" s="851"/>
      <c r="AI14" s="851"/>
      <c r="AJ14" s="851" t="s">
        <v>366</v>
      </c>
      <c r="AK14" s="851"/>
      <c r="AL14" s="851"/>
      <c r="AM14" s="851"/>
      <c r="AN14" s="851" t="s">
        <v>367</v>
      </c>
      <c r="AO14" s="851"/>
      <c r="AP14" s="851"/>
      <c r="AQ14" s="851"/>
      <c r="AR14" s="851" t="s">
        <v>368</v>
      </c>
      <c r="AS14" s="851"/>
      <c r="AT14" s="851"/>
      <c r="AU14" s="851"/>
      <c r="AV14" s="225"/>
      <c r="AW14" s="225"/>
      <c r="AX14" s="225"/>
      <c r="AY14" s="225"/>
      <c r="AZ14" s="225"/>
      <c r="BA14" s="225"/>
      <c r="BB14" s="225"/>
      <c r="BC14" s="225"/>
      <c r="BD14" s="227"/>
      <c r="BE14" s="227"/>
      <c r="BF14" s="228" t="s">
        <v>369</v>
      </c>
      <c r="BG14" s="228" t="s">
        <v>370</v>
      </c>
      <c r="BH14" s="228" t="s">
        <v>371</v>
      </c>
      <c r="BI14" s="228" t="s">
        <v>372</v>
      </c>
      <c r="BJ14" s="229"/>
      <c r="BK14" s="230" t="s">
        <v>373</v>
      </c>
      <c r="BL14" s="230" t="s">
        <v>374</v>
      </c>
      <c r="BM14" s="230" t="s">
        <v>373</v>
      </c>
      <c r="BN14" s="230" t="s">
        <v>374</v>
      </c>
      <c r="BO14" s="230" t="s">
        <v>373</v>
      </c>
      <c r="BP14" s="230" t="s">
        <v>374</v>
      </c>
      <c r="BQ14" s="230" t="s">
        <v>373</v>
      </c>
      <c r="BR14" s="230" t="s">
        <v>374</v>
      </c>
      <c r="BS14" s="230" t="s">
        <v>373</v>
      </c>
      <c r="BT14" s="230" t="s">
        <v>374</v>
      </c>
      <c r="BU14" s="230" t="s">
        <v>373</v>
      </c>
      <c r="BV14" s="230" t="s">
        <v>374</v>
      </c>
      <c r="BW14" s="230" t="s">
        <v>373</v>
      </c>
      <c r="BX14" s="230" t="s">
        <v>374</v>
      </c>
      <c r="BY14" s="230" t="s">
        <v>373</v>
      </c>
      <c r="BZ14" s="230" t="s">
        <v>374</v>
      </c>
      <c r="CA14" s="230" t="s">
        <v>373</v>
      </c>
      <c r="CB14" s="230" t="s">
        <v>374</v>
      </c>
      <c r="CC14" s="230" t="s">
        <v>373</v>
      </c>
      <c r="CD14" s="230" t="s">
        <v>375</v>
      </c>
      <c r="CE14" s="636" t="s">
        <v>288</v>
      </c>
      <c r="CF14" s="636" t="s">
        <v>288</v>
      </c>
      <c r="CG14" s="637" t="s">
        <v>340</v>
      </c>
      <c r="CH14" s="638" t="s">
        <v>341</v>
      </c>
      <c r="CI14" s="636" t="s">
        <v>288</v>
      </c>
      <c r="CJ14" s="637" t="s">
        <v>340</v>
      </c>
      <c r="CK14" s="638" t="s">
        <v>341</v>
      </c>
      <c r="CL14" s="636" t="s">
        <v>288</v>
      </c>
      <c r="CM14" s="637" t="s">
        <v>340</v>
      </c>
      <c r="CN14" s="638" t="s">
        <v>341</v>
      </c>
      <c r="CO14" s="636" t="s">
        <v>288</v>
      </c>
      <c r="CP14" s="639" t="s">
        <v>340</v>
      </c>
      <c r="CQ14" s="638" t="s">
        <v>341</v>
      </c>
      <c r="CR14" s="636" t="s">
        <v>288</v>
      </c>
      <c r="CS14" s="218"/>
      <c r="CT14" s="250" t="s">
        <v>342</v>
      </c>
      <c r="CU14" s="250" t="s">
        <v>343</v>
      </c>
      <c r="CV14" s="250" t="s">
        <v>344</v>
      </c>
      <c r="CW14" s="250" t="s">
        <v>345</v>
      </c>
      <c r="CX14" s="250" t="s">
        <v>346</v>
      </c>
      <c r="CY14" s="250" t="s">
        <v>347</v>
      </c>
      <c r="CZ14" s="250" t="s">
        <v>348</v>
      </c>
      <c r="DA14" s="250" t="s">
        <v>349</v>
      </c>
      <c r="DB14" s="250" t="s">
        <v>350</v>
      </c>
      <c r="DC14" s="250" t="s">
        <v>351</v>
      </c>
      <c r="DD14" s="217"/>
      <c r="DE14" s="217"/>
      <c r="DF14" s="217"/>
      <c r="DG14" s="217"/>
      <c r="DH14" s="217"/>
      <c r="DI14" s="217"/>
      <c r="DJ14" s="217"/>
      <c r="DK14" s="217"/>
      <c r="DL14" s="217"/>
      <c r="DM14" s="217"/>
      <c r="DN14" s="217"/>
      <c r="DO14" s="217"/>
      <c r="DP14" s="217"/>
      <c r="DQ14" s="217"/>
      <c r="DR14" s="217"/>
      <c r="DS14" s="217"/>
      <c r="DT14" s="217"/>
      <c r="DU14" s="217"/>
      <c r="DV14" s="217"/>
      <c r="DW14" s="217"/>
      <c r="DX14" s="217"/>
      <c r="DY14" s="217"/>
      <c r="DZ14" s="217"/>
      <c r="EA14" s="217"/>
      <c r="EB14" s="217"/>
      <c r="EC14" s="217"/>
      <c r="ED14" s="217"/>
      <c r="EE14" s="217"/>
      <c r="EF14" s="217"/>
      <c r="EG14" s="217"/>
      <c r="EH14" s="217"/>
      <c r="EI14" s="217"/>
      <c r="EJ14" s="217"/>
      <c r="EK14" s="217"/>
      <c r="EL14" s="217"/>
      <c r="EM14" s="217"/>
      <c r="EN14" s="217"/>
      <c r="EO14" s="217"/>
      <c r="EP14" s="217"/>
      <c r="EQ14" s="217"/>
      <c r="ER14" s="217"/>
      <c r="ES14" s="217"/>
      <c r="ET14" s="217"/>
      <c r="EU14" s="217"/>
      <c r="EV14" s="217"/>
      <c r="EW14" s="217"/>
      <c r="EX14" s="217"/>
      <c r="EY14" s="217"/>
      <c r="EZ14" s="217"/>
      <c r="FA14" s="217"/>
      <c r="FB14" s="217"/>
      <c r="FC14" s="217"/>
      <c r="FD14" s="217"/>
      <c r="FE14" s="217"/>
      <c r="FF14" s="217"/>
      <c r="FG14" s="217"/>
      <c r="FH14" s="217"/>
      <c r="FI14" s="217"/>
      <c r="FJ14" s="217"/>
      <c r="FK14" s="217"/>
      <c r="FL14" s="217"/>
      <c r="FM14" s="217"/>
      <c r="FN14" s="217"/>
      <c r="FO14" s="217"/>
      <c r="FP14" s="217"/>
      <c r="FQ14" s="217"/>
    </row>
    <row r="15" spans="1:173" s="235" customFormat="1" ht="43.5" customHeight="1">
      <c r="A15" s="217"/>
      <c r="B15" s="232" t="s">
        <v>19</v>
      </c>
      <c r="C15" s="232" t="s">
        <v>316</v>
      </c>
      <c r="D15" s="232" t="s">
        <v>317</v>
      </c>
      <c r="E15" s="232" t="s">
        <v>318</v>
      </c>
      <c r="F15" s="232" t="s">
        <v>319</v>
      </c>
      <c r="G15" s="232" t="s">
        <v>320</v>
      </c>
      <c r="H15" s="232" t="s">
        <v>321</v>
      </c>
      <c r="I15" s="233" t="s">
        <v>322</v>
      </c>
      <c r="J15" s="232"/>
      <c r="K15" s="232"/>
      <c r="L15" s="232" t="s">
        <v>376</v>
      </c>
      <c r="M15" s="232" t="s">
        <v>377</v>
      </c>
      <c r="N15" s="233" t="s">
        <v>378</v>
      </c>
      <c r="O15" s="233" t="s">
        <v>379</v>
      </c>
      <c r="P15" s="232" t="s">
        <v>376</v>
      </c>
      <c r="Q15" s="232" t="s">
        <v>377</v>
      </c>
      <c r="R15" s="233" t="s">
        <v>378</v>
      </c>
      <c r="S15" s="233" t="s">
        <v>379</v>
      </c>
      <c r="T15" s="232" t="s">
        <v>376</v>
      </c>
      <c r="U15" s="232" t="s">
        <v>377</v>
      </c>
      <c r="V15" s="233" t="s">
        <v>378</v>
      </c>
      <c r="W15" s="233" t="s">
        <v>379</v>
      </c>
      <c r="X15" s="232" t="s">
        <v>376</v>
      </c>
      <c r="Y15" s="232" t="s">
        <v>377</v>
      </c>
      <c r="Z15" s="233" t="s">
        <v>378</v>
      </c>
      <c r="AA15" s="233" t="s">
        <v>379</v>
      </c>
      <c r="AB15" s="232" t="s">
        <v>376</v>
      </c>
      <c r="AC15" s="232" t="s">
        <v>377</v>
      </c>
      <c r="AD15" s="233" t="s">
        <v>378</v>
      </c>
      <c r="AE15" s="233" t="s">
        <v>379</v>
      </c>
      <c r="AF15" s="232" t="s">
        <v>376</v>
      </c>
      <c r="AG15" s="232" t="s">
        <v>377</v>
      </c>
      <c r="AH15" s="233" t="s">
        <v>378</v>
      </c>
      <c r="AI15" s="233" t="s">
        <v>379</v>
      </c>
      <c r="AJ15" s="232" t="s">
        <v>376</v>
      </c>
      <c r="AK15" s="232" t="s">
        <v>377</v>
      </c>
      <c r="AL15" s="233" t="s">
        <v>378</v>
      </c>
      <c r="AM15" s="233" t="s">
        <v>379</v>
      </c>
      <c r="AN15" s="232" t="s">
        <v>376</v>
      </c>
      <c r="AO15" s="232" t="s">
        <v>377</v>
      </c>
      <c r="AP15" s="233" t="s">
        <v>378</v>
      </c>
      <c r="AQ15" s="233" t="s">
        <v>379</v>
      </c>
      <c r="AR15" s="232" t="s">
        <v>376</v>
      </c>
      <c r="AS15" s="232" t="s">
        <v>377</v>
      </c>
      <c r="AT15" s="233" t="s">
        <v>378</v>
      </c>
      <c r="AU15" s="233" t="s">
        <v>379</v>
      </c>
      <c r="AV15" s="232" t="s">
        <v>380</v>
      </c>
      <c r="AW15" s="232" t="s">
        <v>381</v>
      </c>
      <c r="AX15" s="232" t="s">
        <v>382</v>
      </c>
      <c r="AY15" s="232" t="s">
        <v>383</v>
      </c>
      <c r="AZ15" s="232" t="s">
        <v>384</v>
      </c>
      <c r="BA15" s="232" t="s">
        <v>136</v>
      </c>
      <c r="BB15" s="233" t="s">
        <v>385</v>
      </c>
      <c r="BC15" s="233" t="s">
        <v>386</v>
      </c>
      <c r="BD15" s="234" t="s">
        <v>387</v>
      </c>
      <c r="BE15" s="234" t="s">
        <v>388</v>
      </c>
      <c r="BF15" s="233" t="s">
        <v>389</v>
      </c>
      <c r="BG15" s="233" t="s">
        <v>390</v>
      </c>
      <c r="BH15" s="233" t="s">
        <v>391</v>
      </c>
      <c r="BI15" s="233" t="s">
        <v>392</v>
      </c>
      <c r="BJ15" s="232" t="s">
        <v>393</v>
      </c>
      <c r="BK15" s="850" t="s">
        <v>394</v>
      </c>
      <c r="BL15" s="850"/>
      <c r="BM15" s="850" t="s">
        <v>395</v>
      </c>
      <c r="BN15" s="850"/>
      <c r="BO15" s="850" t="s">
        <v>396</v>
      </c>
      <c r="BP15" s="850"/>
      <c r="BQ15" s="850" t="s">
        <v>397</v>
      </c>
      <c r="BR15" s="850"/>
      <c r="BS15" s="850" t="s">
        <v>398</v>
      </c>
      <c r="BT15" s="850"/>
      <c r="BU15" s="850" t="s">
        <v>399</v>
      </c>
      <c r="BV15" s="850"/>
      <c r="BW15" s="850" t="s">
        <v>400</v>
      </c>
      <c r="BX15" s="850"/>
      <c r="BY15" s="850" t="s">
        <v>401</v>
      </c>
      <c r="BZ15" s="850"/>
      <c r="CA15" s="850" t="s">
        <v>402</v>
      </c>
      <c r="CB15" s="850"/>
      <c r="CC15" s="233" t="s">
        <v>403</v>
      </c>
      <c r="CD15" s="233" t="s">
        <v>404</v>
      </c>
      <c r="CE15" s="640">
        <v>0</v>
      </c>
      <c r="CF15" s="640">
        <v>0</v>
      </c>
      <c r="CG15" s="254"/>
      <c r="CH15" s="255"/>
      <c r="CI15" s="640">
        <v>0.2</v>
      </c>
      <c r="CJ15" s="254"/>
      <c r="CK15" s="255"/>
      <c r="CL15" s="640">
        <v>0.3</v>
      </c>
      <c r="CM15" s="254"/>
      <c r="CN15" s="255"/>
      <c r="CO15" s="640">
        <v>0.4</v>
      </c>
      <c r="CP15" s="254"/>
      <c r="CQ15" s="254"/>
      <c r="CR15" s="640">
        <v>0.1</v>
      </c>
      <c r="CS15" s="216"/>
      <c r="CT15" s="844"/>
      <c r="CU15" s="845"/>
      <c r="CV15" s="845"/>
      <c r="CW15" s="845"/>
      <c r="CX15" s="845"/>
      <c r="CY15" s="845"/>
      <c r="CZ15" s="845"/>
      <c r="DA15" s="845"/>
      <c r="DB15" s="845"/>
      <c r="DC15" s="846"/>
      <c r="DD15" s="215"/>
      <c r="DE15" s="215"/>
      <c r="DF15" s="215"/>
      <c r="DG15" s="215"/>
      <c r="DH15" s="215"/>
      <c r="DI15" s="215"/>
      <c r="DJ15" s="215"/>
      <c r="DK15" s="215"/>
      <c r="DL15" s="215"/>
      <c r="DM15" s="215"/>
      <c r="DN15" s="215"/>
      <c r="DO15" s="215"/>
      <c r="DP15" s="215"/>
      <c r="DQ15" s="215"/>
      <c r="DR15" s="215"/>
      <c r="DS15" s="215"/>
      <c r="DT15" s="215"/>
      <c r="DU15" s="215"/>
      <c r="DV15" s="215"/>
      <c r="DW15" s="215"/>
      <c r="DX15" s="215"/>
      <c r="DY15" s="215"/>
      <c r="DZ15" s="215"/>
      <c r="EA15" s="215"/>
      <c r="EB15" s="215"/>
      <c r="EC15" s="215"/>
      <c r="ED15" s="215"/>
      <c r="EE15" s="215"/>
      <c r="EF15" s="215"/>
      <c r="EG15" s="215"/>
      <c r="EH15" s="215"/>
      <c r="EI15" s="215"/>
      <c r="EJ15" s="215"/>
      <c r="EK15" s="215"/>
      <c r="EL15" s="215"/>
      <c r="EM15" s="215"/>
      <c r="EN15" s="215"/>
      <c r="EO15" s="215"/>
      <c r="EP15" s="215"/>
      <c r="EQ15" s="215"/>
      <c r="ER15" s="215"/>
      <c r="ES15" s="215"/>
      <c r="ET15" s="215"/>
      <c r="EU15" s="215"/>
      <c r="EV15" s="215"/>
      <c r="EW15" s="215"/>
      <c r="EX15" s="215"/>
      <c r="EY15" s="215"/>
      <c r="EZ15" s="215"/>
      <c r="FA15" s="215"/>
      <c r="FB15" s="215"/>
      <c r="FC15" s="215"/>
      <c r="FD15" s="215"/>
      <c r="FE15" s="215"/>
      <c r="FF15" s="215"/>
      <c r="FG15" s="215"/>
      <c r="FH15" s="215"/>
      <c r="FI15" s="215"/>
      <c r="FJ15" s="215"/>
      <c r="FK15" s="215"/>
      <c r="FL15" s="215"/>
      <c r="FM15" s="215"/>
      <c r="FN15" s="215"/>
      <c r="FO15" s="215"/>
      <c r="FP15" s="215"/>
      <c r="FQ15" s="215"/>
    </row>
    <row r="16" spans="1:173">
      <c r="B16" s="205">
        <f>ANACO!B12</f>
        <v>0</v>
      </c>
      <c r="C16" s="204" t="str">
        <f>ANACO!C12</f>
        <v>SERRAMENTI SERIE F</v>
      </c>
      <c r="D16" s="165">
        <f>ANACO!H12</f>
        <v>0</v>
      </c>
      <c r="E16" s="165"/>
      <c r="F16" s="203">
        <f>ANACO!G12</f>
        <v>0</v>
      </c>
      <c r="G16" s="203">
        <f>ANACO!I12</f>
        <v>0</v>
      </c>
      <c r="H16" s="166">
        <f>ANACO!BS12</f>
        <v>0</v>
      </c>
      <c r="I16" s="172">
        <f>ANACO!BT12</f>
        <v>0</v>
      </c>
      <c r="J16" s="161"/>
      <c r="K16" s="161">
        <f>SUM(L16:AU16)</f>
        <v>0</v>
      </c>
      <c r="L16" s="244">
        <v>0</v>
      </c>
      <c r="M16" s="244"/>
      <c r="N16" s="244"/>
      <c r="O16" s="244"/>
      <c r="P16" s="244"/>
      <c r="Q16" s="244"/>
      <c r="R16" s="244"/>
      <c r="S16" s="244"/>
      <c r="T16" s="244"/>
      <c r="U16" s="244"/>
      <c r="V16" s="244"/>
      <c r="W16" s="244"/>
      <c r="X16" s="244"/>
      <c r="Y16" s="244"/>
      <c r="Z16" s="244"/>
      <c r="AA16" s="244"/>
      <c r="AB16" s="244"/>
      <c r="AC16" s="244"/>
      <c r="AD16" s="244"/>
      <c r="AE16" s="244"/>
      <c r="AF16" s="244"/>
      <c r="AG16" s="244"/>
      <c r="AH16" s="244"/>
      <c r="AI16" s="244"/>
      <c r="AJ16" s="244"/>
      <c r="AK16" s="244"/>
      <c r="AL16" s="244"/>
      <c r="AM16" s="244"/>
      <c r="AN16" s="244"/>
      <c r="AO16" s="244"/>
      <c r="AP16" s="244"/>
      <c r="AQ16" s="244"/>
      <c r="AR16" s="244"/>
      <c r="AS16" s="244"/>
      <c r="AT16" s="244"/>
      <c r="AU16" s="244"/>
      <c r="AV16" s="161"/>
      <c r="AW16" s="161"/>
      <c r="AX16" s="243">
        <v>0</v>
      </c>
      <c r="AY16" s="161"/>
      <c r="AZ16" s="161"/>
      <c r="BA16" s="243">
        <v>0</v>
      </c>
      <c r="BB16" s="212">
        <f>K16*(AX16*BA16/1000000)</f>
        <v>0</v>
      </c>
      <c r="BC16" s="256"/>
      <c r="BD16" s="162" t="e">
        <f>H16/(F16)</f>
        <v>#DIV/0!</v>
      </c>
      <c r="BE16" s="162" t="e">
        <f>(BB16*BD16)</f>
        <v>#DIV/0!</v>
      </c>
      <c r="BF16" s="243"/>
      <c r="BG16" s="243"/>
      <c r="BH16" s="243"/>
      <c r="BI16" s="257"/>
      <c r="BJ16" s="257"/>
      <c r="BK16" s="243"/>
      <c r="BL16" s="243"/>
      <c r="BM16" s="243"/>
      <c r="BN16" s="243"/>
      <c r="BO16" s="243"/>
      <c r="BP16" s="243"/>
      <c r="BQ16" s="243"/>
      <c r="BR16" s="243"/>
      <c r="BS16" s="243"/>
      <c r="BT16" s="243"/>
      <c r="BU16" s="243"/>
      <c r="BV16" s="243"/>
      <c r="BW16" s="243"/>
      <c r="BX16" s="243"/>
      <c r="BY16" s="243"/>
      <c r="BZ16" s="243"/>
      <c r="CA16" s="243"/>
      <c r="CB16" s="243"/>
      <c r="CC16" s="243"/>
      <c r="CD16" s="243"/>
      <c r="CE16" s="245">
        <v>0</v>
      </c>
      <c r="CF16" s="245">
        <v>0</v>
      </c>
      <c r="CG16" s="245">
        <v>1</v>
      </c>
      <c r="CH16" s="246">
        <v>0</v>
      </c>
      <c r="CI16" s="219" t="e">
        <f>+CH16*BE16*$CI$10*CG16</f>
        <v>#DIV/0!</v>
      </c>
      <c r="CJ16" s="245">
        <v>1</v>
      </c>
      <c r="CK16" s="246">
        <v>0</v>
      </c>
      <c r="CL16" s="163" t="e">
        <f>+CK16*BE16*$CL$10*CJ16</f>
        <v>#DIV/0!</v>
      </c>
      <c r="CM16" s="245">
        <v>1</v>
      </c>
      <c r="CN16" s="246">
        <v>0</v>
      </c>
      <c r="CO16" s="163" t="e">
        <f>+CN16*BE16*$CO$10*CM16</f>
        <v>#DIV/0!</v>
      </c>
      <c r="CP16" s="245">
        <v>1</v>
      </c>
      <c r="CQ16" s="246">
        <v>0</v>
      </c>
      <c r="CR16" s="163" t="e">
        <f>+CQ16*BE16*$CR$10*CP16</f>
        <v>#DIV/0!</v>
      </c>
      <c r="CS16" s="207" t="e">
        <f>SUM(CR16+CO16+CL16+CI16+CF16+CE16)</f>
        <v>#DIV/0!</v>
      </c>
      <c r="CT16" s="258"/>
      <c r="CU16" s="258"/>
      <c r="CV16" s="258"/>
      <c r="CW16" s="258"/>
      <c r="CX16" s="258"/>
      <c r="CY16" s="258"/>
      <c r="CZ16" s="258"/>
      <c r="DA16" s="258"/>
      <c r="DB16" s="258"/>
      <c r="DC16" s="258"/>
    </row>
    <row r="17" spans="2:107">
      <c r="B17" s="205" t="str">
        <f>ANACO!B13</f>
        <v>F1</v>
      </c>
      <c r="C17" s="204" t="str">
        <f>ANACO!C13</f>
        <v>Serramento in legno doppia anta battente apertura interna e sopraluce curvo con apertura vasistas fissato solidamente ad un controtelaio in profili di legno adeguatamente trattato e isolato. 
Compreso controtelaio costituito da profili in legno sagomato a L, adeguatamente trattato per evitare formazione di muffe o deformazioni geometriche, ancorato alla struttura principale mediante adeguate zanche annegate nel muro o viti di fissaggio. Vetro: 66.2 COOL-LITE 70-33#2 INDURITI / 20mm (aria-argon 90%) / 55.2 int. RICOTTI
Comprese lamiere di raccordo, memebrane e isolanti.</v>
      </c>
      <c r="D17" s="165">
        <f>ANACO!H13</f>
        <v>10</v>
      </c>
      <c r="E17" s="165"/>
      <c r="F17" s="203">
        <f>ANACO!G13</f>
        <v>2.1669999999999998</v>
      </c>
      <c r="G17" s="203">
        <f>ANACO!I13</f>
        <v>21.669999999999998</v>
      </c>
      <c r="H17" s="166">
        <f>ANACO!BS13</f>
        <v>4443.0585150000006</v>
      </c>
      <c r="I17" s="172">
        <f>ANACO!BT13</f>
        <v>44430.585150000006</v>
      </c>
      <c r="J17" s="161"/>
      <c r="K17" s="161">
        <f t="shared" ref="K17:K80" si="0">SUM(L17:AU17)</f>
        <v>0</v>
      </c>
      <c r="L17" s="244">
        <v>0</v>
      </c>
      <c r="M17" s="244"/>
      <c r="N17" s="244"/>
      <c r="O17" s="244"/>
      <c r="P17" s="244"/>
      <c r="Q17" s="244"/>
      <c r="R17" s="244"/>
      <c r="S17" s="244"/>
      <c r="T17" s="244"/>
      <c r="U17" s="244"/>
      <c r="V17" s="244"/>
      <c r="W17" s="244"/>
      <c r="X17" s="244"/>
      <c r="Y17" s="244"/>
      <c r="Z17" s="244"/>
      <c r="AA17" s="244"/>
      <c r="AB17" s="244"/>
      <c r="AC17" s="244"/>
      <c r="AD17" s="244"/>
      <c r="AE17" s="244"/>
      <c r="AF17" s="244"/>
      <c r="AG17" s="244"/>
      <c r="AH17" s="244"/>
      <c r="AI17" s="244"/>
      <c r="AJ17" s="244"/>
      <c r="AK17" s="244"/>
      <c r="AL17" s="244"/>
      <c r="AM17" s="244"/>
      <c r="AN17" s="244"/>
      <c r="AO17" s="244"/>
      <c r="AP17" s="244"/>
      <c r="AQ17" s="244"/>
      <c r="AR17" s="244"/>
      <c r="AS17" s="244"/>
      <c r="AT17" s="244"/>
      <c r="AU17" s="244"/>
      <c r="AV17" s="161"/>
      <c r="AW17" s="161"/>
      <c r="AX17" s="243">
        <v>0</v>
      </c>
      <c r="AY17" s="161"/>
      <c r="AZ17" s="161"/>
      <c r="BA17" s="243">
        <v>0</v>
      </c>
      <c r="BB17" s="212">
        <f t="shared" ref="BB17:BB80" si="1">K17*(AX17*BA17/1000000)</f>
        <v>0</v>
      </c>
      <c r="BC17" s="256"/>
      <c r="BD17" s="162">
        <f t="shared" ref="BD17:BD80" si="2">H17/(F17)</f>
        <v>2050.3269566220588</v>
      </c>
      <c r="BE17" s="162">
        <f t="shared" ref="BE17:BE80" si="3">(BB17*BD17)</f>
        <v>0</v>
      </c>
      <c r="BF17" s="243"/>
      <c r="BG17" s="243"/>
      <c r="BH17" s="243"/>
      <c r="BI17" s="257"/>
      <c r="BJ17" s="257"/>
      <c r="BK17" s="243"/>
      <c r="BL17" s="243"/>
      <c r="BM17" s="243"/>
      <c r="BN17" s="243"/>
      <c r="BO17" s="243"/>
      <c r="BP17" s="243"/>
      <c r="BQ17" s="243"/>
      <c r="BR17" s="243"/>
      <c r="BS17" s="243"/>
      <c r="BT17" s="243"/>
      <c r="BU17" s="243"/>
      <c r="BV17" s="243"/>
      <c r="BW17" s="243"/>
      <c r="BX17" s="243"/>
      <c r="BY17" s="243"/>
      <c r="BZ17" s="243"/>
      <c r="CA17" s="243"/>
      <c r="CB17" s="243"/>
      <c r="CC17" s="243"/>
      <c r="CD17" s="243"/>
      <c r="CE17" s="245">
        <v>0</v>
      </c>
      <c r="CF17" s="245">
        <v>0</v>
      </c>
      <c r="CG17" s="245">
        <v>1</v>
      </c>
      <c r="CH17" s="246">
        <v>0</v>
      </c>
      <c r="CI17" s="219">
        <f t="shared" ref="CI17:CI80" si="4">+CH17*BE17*$CI$10*CG17</f>
        <v>0</v>
      </c>
      <c r="CJ17" s="245">
        <v>1</v>
      </c>
      <c r="CK17" s="246">
        <v>0</v>
      </c>
      <c r="CL17" s="163">
        <f t="shared" ref="CL17:CL80" si="5">+CK17*BE17*$CL$10*CJ17</f>
        <v>0</v>
      </c>
      <c r="CM17" s="245">
        <v>1</v>
      </c>
      <c r="CN17" s="246">
        <v>0</v>
      </c>
      <c r="CO17" s="163">
        <f t="shared" ref="CO17:CO80" si="6">+CN17*BE17*$CO$10*CM17</f>
        <v>0</v>
      </c>
      <c r="CP17" s="245">
        <v>1</v>
      </c>
      <c r="CQ17" s="246">
        <v>0</v>
      </c>
      <c r="CR17" s="163">
        <f t="shared" ref="CR17:CR80" si="7">+CQ17*BE17*$CR$10*CP17</f>
        <v>0</v>
      </c>
      <c r="CS17" s="207">
        <f t="shared" ref="CS17:CS80" si="8">SUM(CR17+CO17+CL17+CI17+CF17+CE17)</f>
        <v>0</v>
      </c>
      <c r="CT17" s="258"/>
      <c r="CU17" s="258"/>
      <c r="CV17" s="258"/>
      <c r="CW17" s="258"/>
      <c r="CX17" s="258"/>
      <c r="CY17" s="258"/>
      <c r="CZ17" s="258"/>
      <c r="DA17" s="258"/>
      <c r="DB17" s="258"/>
      <c r="DC17" s="258"/>
    </row>
    <row r="18" spans="2:107">
      <c r="B18" s="205" t="str">
        <f>ANACO!B14</f>
        <v>F1a</v>
      </c>
      <c r="C18" s="204" t="str">
        <f>ANACO!C14</f>
        <v>Serramento in legno doppia anta battente apertura interna e sopraluce curvo con apertura vasistas fissato solidamente ad un controtelaio in profili di legno adeguatamente trattato e isolato. 
Compreso controtelaio costituito da profili in legno sagomato a L, adeguatamente trattato per evitare formazione di muffe o deformazioni geometriche, ancorato alla struttura principale mediante adeguate zanche annegate nel muro o viti di fissaggio. Vetro: 66.2 COOL-LITE 70-33#2 INDURITI / 20mm (aria-argon 90%) / 55.2 int. RICOTTI
Comprese lamiere di raccordo, memebrane e isolanti.</v>
      </c>
      <c r="D18" s="165">
        <f>ANACO!H14</f>
        <v>1</v>
      </c>
      <c r="E18" s="165"/>
      <c r="F18" s="203">
        <f>ANACO!G14</f>
        <v>2.1669999999999998</v>
      </c>
      <c r="G18" s="203">
        <f>ANACO!I14</f>
        <v>2.1669999999999998</v>
      </c>
      <c r="H18" s="166">
        <f>ANACO!BS14</f>
        <v>4443.0585150000006</v>
      </c>
      <c r="I18" s="172">
        <f>ANACO!BT14</f>
        <v>4443.0585150000006</v>
      </c>
      <c r="J18" s="161"/>
      <c r="K18" s="161">
        <f t="shared" si="0"/>
        <v>0</v>
      </c>
      <c r="L18" s="244">
        <v>0</v>
      </c>
      <c r="M18" s="244"/>
      <c r="N18" s="244"/>
      <c r="O18" s="244"/>
      <c r="P18" s="244"/>
      <c r="Q18" s="244"/>
      <c r="R18" s="244"/>
      <c r="S18" s="244"/>
      <c r="T18" s="244"/>
      <c r="U18" s="244"/>
      <c r="V18" s="244"/>
      <c r="W18" s="244"/>
      <c r="X18" s="244"/>
      <c r="Y18" s="244"/>
      <c r="Z18" s="244"/>
      <c r="AA18" s="244"/>
      <c r="AB18" s="244"/>
      <c r="AC18" s="244"/>
      <c r="AD18" s="244"/>
      <c r="AE18" s="244"/>
      <c r="AF18" s="244"/>
      <c r="AG18" s="244"/>
      <c r="AH18" s="244"/>
      <c r="AI18" s="244"/>
      <c r="AJ18" s="244"/>
      <c r="AK18" s="244"/>
      <c r="AL18" s="244"/>
      <c r="AM18" s="244"/>
      <c r="AN18" s="244"/>
      <c r="AO18" s="244"/>
      <c r="AP18" s="244"/>
      <c r="AQ18" s="244"/>
      <c r="AR18" s="244"/>
      <c r="AS18" s="244"/>
      <c r="AT18" s="244"/>
      <c r="AU18" s="244"/>
      <c r="AV18" s="161"/>
      <c r="AW18" s="161"/>
      <c r="AX18" s="243">
        <v>0</v>
      </c>
      <c r="AY18" s="161"/>
      <c r="AZ18" s="161"/>
      <c r="BA18" s="243">
        <v>0</v>
      </c>
      <c r="BB18" s="212">
        <f t="shared" si="1"/>
        <v>0</v>
      </c>
      <c r="BC18" s="256"/>
      <c r="BD18" s="162">
        <f t="shared" si="2"/>
        <v>2050.3269566220588</v>
      </c>
      <c r="BE18" s="162">
        <f t="shared" si="3"/>
        <v>0</v>
      </c>
      <c r="BF18" s="243"/>
      <c r="BG18" s="243"/>
      <c r="BH18" s="243"/>
      <c r="BI18" s="257"/>
      <c r="BJ18" s="257"/>
      <c r="BK18" s="243"/>
      <c r="BL18" s="243"/>
      <c r="BM18" s="243"/>
      <c r="BN18" s="243"/>
      <c r="BO18" s="243"/>
      <c r="BP18" s="243"/>
      <c r="BQ18" s="243"/>
      <c r="BR18" s="243"/>
      <c r="BS18" s="243"/>
      <c r="BT18" s="243"/>
      <c r="BU18" s="243"/>
      <c r="BV18" s="243"/>
      <c r="BW18" s="243"/>
      <c r="BX18" s="243"/>
      <c r="BY18" s="243"/>
      <c r="BZ18" s="243"/>
      <c r="CA18" s="243"/>
      <c r="CB18" s="243"/>
      <c r="CC18" s="243"/>
      <c r="CD18" s="243"/>
      <c r="CE18" s="245">
        <v>0</v>
      </c>
      <c r="CF18" s="245">
        <v>0</v>
      </c>
      <c r="CG18" s="245">
        <v>1</v>
      </c>
      <c r="CH18" s="246">
        <v>0</v>
      </c>
      <c r="CI18" s="219">
        <f t="shared" si="4"/>
        <v>0</v>
      </c>
      <c r="CJ18" s="245">
        <v>1</v>
      </c>
      <c r="CK18" s="246">
        <v>0</v>
      </c>
      <c r="CL18" s="163">
        <f t="shared" si="5"/>
        <v>0</v>
      </c>
      <c r="CM18" s="245">
        <v>1</v>
      </c>
      <c r="CN18" s="246">
        <v>0</v>
      </c>
      <c r="CO18" s="163">
        <f t="shared" si="6"/>
        <v>0</v>
      </c>
      <c r="CP18" s="245">
        <v>1</v>
      </c>
      <c r="CQ18" s="246">
        <v>0</v>
      </c>
      <c r="CR18" s="163">
        <f t="shared" si="7"/>
        <v>0</v>
      </c>
      <c r="CS18" s="207">
        <f t="shared" si="8"/>
        <v>0</v>
      </c>
      <c r="CT18" s="258"/>
      <c r="CU18" s="258"/>
      <c r="CV18" s="258"/>
      <c r="CW18" s="258"/>
      <c r="CX18" s="258"/>
      <c r="CY18" s="258"/>
      <c r="CZ18" s="258"/>
      <c r="DA18" s="258"/>
      <c r="DB18" s="258"/>
      <c r="DC18" s="258"/>
    </row>
    <row r="19" spans="2:107">
      <c r="B19" s="205" t="str">
        <f>ANACO!B15</f>
        <v>F2</v>
      </c>
      <c r="C19" s="204" t="str">
        <f>ANACO!C15</f>
        <v>Serramento in legno doppia anta battente apertura interna e sopraluce curvo fisso. Specchiature fisse laterali e superiori, fissato solidamente ad un controtelaio in profili di legno adeguatamente trattato e isolato e persiane a lamelle fisse esterne. 
Compreso controtelaio costituito da profili in legno sagomato a L, adeguatamente trattato per evitare formazione di muffe o deformazioni geometriche, ancorato alla struttura principale mediante adeguate zanche annegate nel muro o viti di fissaggio. Vetro: 66.2 COOL-LITE 70-33#2 INDURITI / 20mm (aria-argon 90%) / 55.2 int. RICOTTI
Comprese lamiere di raccordo, memebrane e isolanti.</v>
      </c>
      <c r="D19" s="165">
        <f>ANACO!H15</f>
        <v>5</v>
      </c>
      <c r="E19" s="165"/>
      <c r="F19" s="203">
        <f>ANACO!G15</f>
        <v>6.3811999999999998</v>
      </c>
      <c r="G19" s="203">
        <f>ANACO!I15</f>
        <v>31.905999999999999</v>
      </c>
      <c r="H19" s="166">
        <f>ANACO!BS15</f>
        <v>9861.8456580000002</v>
      </c>
      <c r="I19" s="172">
        <f>ANACO!BT15</f>
        <v>49309.228289999999</v>
      </c>
      <c r="J19" s="161"/>
      <c r="K19" s="161">
        <f t="shared" si="0"/>
        <v>0</v>
      </c>
      <c r="L19" s="244">
        <v>0</v>
      </c>
      <c r="M19" s="244"/>
      <c r="N19" s="244"/>
      <c r="O19" s="244"/>
      <c r="P19" s="244"/>
      <c r="Q19" s="244"/>
      <c r="R19" s="244"/>
      <c r="S19" s="244"/>
      <c r="T19" s="244"/>
      <c r="U19" s="244"/>
      <c r="V19" s="244"/>
      <c r="W19" s="244"/>
      <c r="X19" s="244"/>
      <c r="Y19" s="244"/>
      <c r="Z19" s="244"/>
      <c r="AA19" s="244"/>
      <c r="AB19" s="244"/>
      <c r="AC19" s="244"/>
      <c r="AD19" s="244"/>
      <c r="AE19" s="244"/>
      <c r="AF19" s="244"/>
      <c r="AG19" s="244"/>
      <c r="AH19" s="244"/>
      <c r="AI19" s="244"/>
      <c r="AJ19" s="244"/>
      <c r="AK19" s="244"/>
      <c r="AL19" s="244"/>
      <c r="AM19" s="244"/>
      <c r="AN19" s="244"/>
      <c r="AO19" s="244"/>
      <c r="AP19" s="244"/>
      <c r="AQ19" s="244"/>
      <c r="AR19" s="244"/>
      <c r="AS19" s="244"/>
      <c r="AT19" s="244"/>
      <c r="AU19" s="244"/>
      <c r="AV19" s="161"/>
      <c r="AW19" s="161"/>
      <c r="AX19" s="243">
        <v>0</v>
      </c>
      <c r="AY19" s="161"/>
      <c r="AZ19" s="161"/>
      <c r="BA19" s="243">
        <v>0</v>
      </c>
      <c r="BB19" s="212">
        <f t="shared" si="1"/>
        <v>0</v>
      </c>
      <c r="BC19" s="256"/>
      <c r="BD19" s="162">
        <f t="shared" si="2"/>
        <v>1545.453152698552</v>
      </c>
      <c r="BE19" s="162">
        <f t="shared" si="3"/>
        <v>0</v>
      </c>
      <c r="BF19" s="243"/>
      <c r="BG19" s="243"/>
      <c r="BH19" s="243"/>
      <c r="BI19" s="257"/>
      <c r="BJ19" s="257"/>
      <c r="BK19" s="243"/>
      <c r="BL19" s="243"/>
      <c r="BM19" s="243"/>
      <c r="BN19" s="243"/>
      <c r="BO19" s="243"/>
      <c r="BP19" s="243"/>
      <c r="BQ19" s="243"/>
      <c r="BR19" s="243"/>
      <c r="BS19" s="243"/>
      <c r="BT19" s="243"/>
      <c r="BU19" s="243"/>
      <c r="BV19" s="243"/>
      <c r="BW19" s="243"/>
      <c r="BX19" s="243"/>
      <c r="BY19" s="243"/>
      <c r="BZ19" s="243"/>
      <c r="CA19" s="243"/>
      <c r="CB19" s="243"/>
      <c r="CC19" s="243"/>
      <c r="CD19" s="243"/>
      <c r="CE19" s="245">
        <v>0</v>
      </c>
      <c r="CF19" s="245">
        <v>0</v>
      </c>
      <c r="CG19" s="245">
        <v>1</v>
      </c>
      <c r="CH19" s="246">
        <v>0</v>
      </c>
      <c r="CI19" s="219">
        <f t="shared" si="4"/>
        <v>0</v>
      </c>
      <c r="CJ19" s="245">
        <v>1</v>
      </c>
      <c r="CK19" s="246">
        <v>0</v>
      </c>
      <c r="CL19" s="163">
        <f t="shared" si="5"/>
        <v>0</v>
      </c>
      <c r="CM19" s="245">
        <v>1</v>
      </c>
      <c r="CN19" s="246">
        <v>0</v>
      </c>
      <c r="CO19" s="163">
        <f t="shared" si="6"/>
        <v>0</v>
      </c>
      <c r="CP19" s="245">
        <v>1</v>
      </c>
      <c r="CQ19" s="246">
        <v>0</v>
      </c>
      <c r="CR19" s="163">
        <f t="shared" si="7"/>
        <v>0</v>
      </c>
      <c r="CS19" s="207">
        <f t="shared" si="8"/>
        <v>0</v>
      </c>
      <c r="CT19" s="258"/>
      <c r="CU19" s="258"/>
      <c r="CV19" s="258"/>
      <c r="CW19" s="258"/>
      <c r="CX19" s="258"/>
      <c r="CY19" s="258"/>
      <c r="CZ19" s="258"/>
      <c r="DA19" s="258"/>
      <c r="DB19" s="258"/>
      <c r="DC19" s="258"/>
    </row>
    <row r="20" spans="2:107">
      <c r="B20" s="205" t="str">
        <f>ANACO!B16</f>
        <v>F3 - EI60
Serramento in acciaio EI60 tipo Secco EBE85</v>
      </c>
      <c r="C20" s="204" t="str">
        <f>ANACO!C16</f>
        <v>Serramento in legno fissa, serramento fissato solidamente ad un controtelaio in profili di legno adeguatamente trattato e isolato. Per questo serramento è richiesta una prestazione di resistenza all’incendio pari a EI60.  
SOSTITUITO CON ALLUMINIO 
Reynaers ConceptSystem 77-FP EI 60 (CS 77-FPEI60) 
Compreso controtelaio costituito da profili in legno sagomato a L, adeguatamente trattato per evitare formazione di muffe o deformazioni geometriche, ancorato alla struttura principale mediante adeguate zanche annegate nel muro o viti di fissaggio. Vetro: 66.2 COOL-LITE 70-33#2 / 14mm (aria-argon 90%) / 27 CF60-3.
Comprese lamiere di raccordo, memebrane e isolanti.</v>
      </c>
      <c r="D20" s="165">
        <f>ANACO!H16</f>
        <v>3</v>
      </c>
      <c r="E20" s="165"/>
      <c r="F20" s="203">
        <f>ANACO!G16</f>
        <v>3.6</v>
      </c>
      <c r="G20" s="203">
        <f>ANACO!I16</f>
        <v>10.8</v>
      </c>
      <c r="H20" s="166">
        <f>ANACO!BS16</f>
        <v>8821.1291999999994</v>
      </c>
      <c r="I20" s="172">
        <f>ANACO!BT16</f>
        <v>26463.387599999998</v>
      </c>
      <c r="J20" s="161"/>
      <c r="K20" s="161">
        <f t="shared" si="0"/>
        <v>0</v>
      </c>
      <c r="L20" s="244">
        <v>0</v>
      </c>
      <c r="M20" s="244"/>
      <c r="N20" s="244"/>
      <c r="O20" s="244"/>
      <c r="P20" s="244"/>
      <c r="Q20" s="244"/>
      <c r="R20" s="244"/>
      <c r="S20" s="244"/>
      <c r="T20" s="244"/>
      <c r="U20" s="244"/>
      <c r="V20" s="244"/>
      <c r="W20" s="244"/>
      <c r="X20" s="244"/>
      <c r="Y20" s="244"/>
      <c r="Z20" s="244"/>
      <c r="AA20" s="244"/>
      <c r="AB20" s="244"/>
      <c r="AC20" s="244"/>
      <c r="AD20" s="244"/>
      <c r="AE20" s="244"/>
      <c r="AF20" s="244"/>
      <c r="AG20" s="244"/>
      <c r="AH20" s="244"/>
      <c r="AI20" s="244"/>
      <c r="AJ20" s="244"/>
      <c r="AK20" s="244"/>
      <c r="AL20" s="244"/>
      <c r="AM20" s="244"/>
      <c r="AN20" s="244"/>
      <c r="AO20" s="244"/>
      <c r="AP20" s="244"/>
      <c r="AQ20" s="244"/>
      <c r="AR20" s="244"/>
      <c r="AS20" s="244"/>
      <c r="AT20" s="244"/>
      <c r="AU20" s="244"/>
      <c r="AV20" s="161"/>
      <c r="AW20" s="161"/>
      <c r="AX20" s="243">
        <v>0</v>
      </c>
      <c r="AY20" s="161"/>
      <c r="AZ20" s="161"/>
      <c r="BA20" s="243">
        <v>0</v>
      </c>
      <c r="BB20" s="212">
        <f t="shared" si="1"/>
        <v>0</v>
      </c>
      <c r="BC20" s="256"/>
      <c r="BD20" s="162">
        <f t="shared" si="2"/>
        <v>2450.3136666666664</v>
      </c>
      <c r="BE20" s="162">
        <f t="shared" si="3"/>
        <v>0</v>
      </c>
      <c r="BF20" s="243"/>
      <c r="BG20" s="243"/>
      <c r="BH20" s="243"/>
      <c r="BI20" s="257"/>
      <c r="BJ20" s="257"/>
      <c r="BK20" s="243"/>
      <c r="BL20" s="243"/>
      <c r="BM20" s="243"/>
      <c r="BN20" s="243"/>
      <c r="BO20" s="243"/>
      <c r="BP20" s="243"/>
      <c r="BQ20" s="243"/>
      <c r="BR20" s="243"/>
      <c r="BS20" s="243"/>
      <c r="BT20" s="243"/>
      <c r="BU20" s="243"/>
      <c r="BV20" s="243"/>
      <c r="BW20" s="243"/>
      <c r="BX20" s="243"/>
      <c r="BY20" s="243"/>
      <c r="BZ20" s="243"/>
      <c r="CA20" s="243"/>
      <c r="CB20" s="243"/>
      <c r="CC20" s="243"/>
      <c r="CD20" s="243"/>
      <c r="CE20" s="245">
        <v>0</v>
      </c>
      <c r="CF20" s="245">
        <v>0</v>
      </c>
      <c r="CG20" s="245">
        <v>1</v>
      </c>
      <c r="CH20" s="246">
        <v>0</v>
      </c>
      <c r="CI20" s="219">
        <f t="shared" si="4"/>
        <v>0</v>
      </c>
      <c r="CJ20" s="245">
        <v>1</v>
      </c>
      <c r="CK20" s="246">
        <v>0</v>
      </c>
      <c r="CL20" s="163">
        <f t="shared" si="5"/>
        <v>0</v>
      </c>
      <c r="CM20" s="245">
        <v>1</v>
      </c>
      <c r="CN20" s="246">
        <v>0</v>
      </c>
      <c r="CO20" s="163">
        <f t="shared" si="6"/>
        <v>0</v>
      </c>
      <c r="CP20" s="245">
        <v>1</v>
      </c>
      <c r="CQ20" s="246">
        <v>0</v>
      </c>
      <c r="CR20" s="163">
        <f t="shared" si="7"/>
        <v>0</v>
      </c>
      <c r="CS20" s="207">
        <f t="shared" si="8"/>
        <v>0</v>
      </c>
      <c r="CT20" s="258"/>
      <c r="CU20" s="258"/>
      <c r="CV20" s="258"/>
      <c r="CW20" s="258"/>
      <c r="CX20" s="258"/>
      <c r="CY20" s="258"/>
      <c r="CZ20" s="258"/>
      <c r="DA20" s="258"/>
      <c r="DB20" s="258"/>
      <c r="DC20" s="258"/>
    </row>
    <row r="21" spans="2:107">
      <c r="B21" s="205" t="str">
        <f>ANACO!B17</f>
        <v>F3a</v>
      </c>
      <c r="C21" s="204" t="str">
        <f>ANACO!C17</f>
        <v>Porta a doppio battente apertura interno dell’edificio con pushbar esterno e chiudiporta, presenza di sopraluce fisso è presente un ulteriore sopraluce curvo con presenza di lamelle di areazione. Il serramento presente una prestazione EI60 escluso la parte lamellata.
SOSTITUITO CON ALLUMINIO 
Reynaers ConceptSystem 77-FP EI 60 (CS 77-FPEI60) 
Compreso controtelaio costituito da profili in legno sagomato a L, adeguatamente trattato per evitare formazione di muffe o deformazioni geometriche, ancorato alla struttura principale mediante adeguate zanche annegate nel muro o viti di fissaggio. Vetro: 66.2 COOL-LITE 70-33#2 / 14mm (aria-argon 90%) / 27 CF60-3.
Comprese lamiere di raccordo, memebrane e isolanti.</v>
      </c>
      <c r="D21" s="165">
        <f>ANACO!H17</f>
        <v>1</v>
      </c>
      <c r="E21" s="165"/>
      <c r="F21" s="203">
        <f>ANACO!G17</f>
        <v>3.6</v>
      </c>
      <c r="G21" s="203">
        <f>ANACO!I17</f>
        <v>3.6</v>
      </c>
      <c r="H21" s="166">
        <f>ANACO!BS17</f>
        <v>6217.2575999999999</v>
      </c>
      <c r="I21" s="172">
        <f>ANACO!BT17</f>
        <v>6217.2575999999999</v>
      </c>
      <c r="J21" s="161"/>
      <c r="K21" s="161">
        <f t="shared" si="0"/>
        <v>0</v>
      </c>
      <c r="L21" s="244">
        <v>0</v>
      </c>
      <c r="M21" s="244"/>
      <c r="N21" s="244"/>
      <c r="O21" s="244"/>
      <c r="P21" s="244"/>
      <c r="Q21" s="244"/>
      <c r="R21" s="244"/>
      <c r="S21" s="244"/>
      <c r="T21" s="244"/>
      <c r="U21" s="244"/>
      <c r="V21" s="244"/>
      <c r="W21" s="244"/>
      <c r="X21" s="244"/>
      <c r="Y21" s="244"/>
      <c r="Z21" s="244"/>
      <c r="AA21" s="244"/>
      <c r="AB21" s="244"/>
      <c r="AC21" s="244"/>
      <c r="AD21" s="244"/>
      <c r="AE21" s="244"/>
      <c r="AF21" s="244"/>
      <c r="AG21" s="244"/>
      <c r="AH21" s="244"/>
      <c r="AI21" s="244"/>
      <c r="AJ21" s="244"/>
      <c r="AK21" s="244"/>
      <c r="AL21" s="244"/>
      <c r="AM21" s="244"/>
      <c r="AN21" s="244"/>
      <c r="AO21" s="244"/>
      <c r="AP21" s="244"/>
      <c r="AQ21" s="244"/>
      <c r="AR21" s="244"/>
      <c r="AS21" s="244"/>
      <c r="AT21" s="244"/>
      <c r="AU21" s="244"/>
      <c r="AV21" s="161"/>
      <c r="AW21" s="161"/>
      <c r="AX21" s="243">
        <v>0</v>
      </c>
      <c r="AY21" s="161"/>
      <c r="AZ21" s="161"/>
      <c r="BA21" s="243">
        <v>0</v>
      </c>
      <c r="BB21" s="212">
        <f t="shared" si="1"/>
        <v>0</v>
      </c>
      <c r="BC21" s="256"/>
      <c r="BD21" s="162">
        <f t="shared" si="2"/>
        <v>1727.0159999999998</v>
      </c>
      <c r="BE21" s="162">
        <f t="shared" si="3"/>
        <v>0</v>
      </c>
      <c r="BF21" s="243"/>
      <c r="BG21" s="243"/>
      <c r="BH21" s="243"/>
      <c r="BI21" s="257"/>
      <c r="BJ21" s="257"/>
      <c r="BK21" s="243"/>
      <c r="BL21" s="243"/>
      <c r="BM21" s="243"/>
      <c r="BN21" s="243"/>
      <c r="BO21" s="243"/>
      <c r="BP21" s="243"/>
      <c r="BQ21" s="243"/>
      <c r="BR21" s="243"/>
      <c r="BS21" s="243"/>
      <c r="BT21" s="243"/>
      <c r="BU21" s="243"/>
      <c r="BV21" s="243"/>
      <c r="BW21" s="243"/>
      <c r="BX21" s="243"/>
      <c r="BY21" s="243"/>
      <c r="BZ21" s="243"/>
      <c r="CA21" s="243"/>
      <c r="CB21" s="243"/>
      <c r="CC21" s="243"/>
      <c r="CD21" s="243"/>
      <c r="CE21" s="245">
        <v>0</v>
      </c>
      <c r="CF21" s="245">
        <v>0</v>
      </c>
      <c r="CG21" s="245">
        <v>1</v>
      </c>
      <c r="CH21" s="246">
        <v>0</v>
      </c>
      <c r="CI21" s="219">
        <f t="shared" si="4"/>
        <v>0</v>
      </c>
      <c r="CJ21" s="245">
        <v>1</v>
      </c>
      <c r="CK21" s="246">
        <v>0</v>
      </c>
      <c r="CL21" s="163">
        <f t="shared" si="5"/>
        <v>0</v>
      </c>
      <c r="CM21" s="245">
        <v>1</v>
      </c>
      <c r="CN21" s="246">
        <v>0</v>
      </c>
      <c r="CO21" s="163">
        <f t="shared" si="6"/>
        <v>0</v>
      </c>
      <c r="CP21" s="245">
        <v>1</v>
      </c>
      <c r="CQ21" s="246">
        <v>0</v>
      </c>
      <c r="CR21" s="163">
        <f t="shared" si="7"/>
        <v>0</v>
      </c>
      <c r="CS21" s="207">
        <f t="shared" si="8"/>
        <v>0</v>
      </c>
      <c r="CT21" s="258"/>
      <c r="CU21" s="258"/>
      <c r="CV21" s="258"/>
      <c r="CW21" s="258"/>
      <c r="CX21" s="258"/>
      <c r="CY21" s="258"/>
      <c r="CZ21" s="258"/>
      <c r="DA21" s="258"/>
      <c r="DB21" s="258"/>
      <c r="DC21" s="258"/>
    </row>
    <row r="22" spans="2:107">
      <c r="B22" s="205" t="str">
        <f>ANACO!B18</f>
        <v>F3b</v>
      </c>
      <c r="C22" s="204" t="str">
        <f>ANACO!C18</f>
        <v>Serramento con specchiature vision fisse è presente un ulteriore sopraluce curvo con presenza di lamelle di areazione. Il serramento presenta una prestazione EI60 escluso la parte lamellata.SOSTITUITO CON ALLUMINIO 
Reynaers ConceptSystem 77-FP EI 60 (CS 77-FPEI60) 
Compreso controtelaio costituito da profili in legno sagomato a L, adeguatamente trattato per evitare formazione di muffe o deformazioni geometriche, ancorato alla struttura principale mediante adeguate zanche annegate nel muro o viti di fissaggio. Vetro: 66.2 COOL-LITE 70-33#2 / 14mm (aria-argon 90%) / 27 CF60-3.
Comprese lamiere di raccordo, memebrane e isolanti.</v>
      </c>
      <c r="D22" s="165">
        <f>ANACO!H18</f>
        <v>2</v>
      </c>
      <c r="E22" s="165"/>
      <c r="F22" s="203">
        <f>ANACO!G18</f>
        <v>3.6</v>
      </c>
      <c r="G22" s="203">
        <f>ANACO!I18</f>
        <v>7.2</v>
      </c>
      <c r="H22" s="166">
        <f>ANACO!BS18</f>
        <v>6217.2575999999999</v>
      </c>
      <c r="I22" s="172">
        <f>ANACO!BT18</f>
        <v>12434.5152</v>
      </c>
      <c r="J22" s="161"/>
      <c r="K22" s="161">
        <f t="shared" si="0"/>
        <v>0</v>
      </c>
      <c r="L22" s="244">
        <v>0</v>
      </c>
      <c r="M22" s="244"/>
      <c r="N22" s="244"/>
      <c r="O22" s="244"/>
      <c r="P22" s="244"/>
      <c r="Q22" s="244"/>
      <c r="R22" s="244"/>
      <c r="S22" s="244"/>
      <c r="T22" s="244"/>
      <c r="U22" s="244"/>
      <c r="V22" s="244"/>
      <c r="W22" s="244"/>
      <c r="X22" s="244"/>
      <c r="Y22" s="244"/>
      <c r="Z22" s="244"/>
      <c r="AA22" s="244"/>
      <c r="AB22" s="244"/>
      <c r="AC22" s="244"/>
      <c r="AD22" s="244"/>
      <c r="AE22" s="244"/>
      <c r="AF22" s="244"/>
      <c r="AG22" s="244"/>
      <c r="AH22" s="244"/>
      <c r="AI22" s="244"/>
      <c r="AJ22" s="244"/>
      <c r="AK22" s="244"/>
      <c r="AL22" s="244"/>
      <c r="AM22" s="244"/>
      <c r="AN22" s="244"/>
      <c r="AO22" s="244"/>
      <c r="AP22" s="244"/>
      <c r="AQ22" s="244"/>
      <c r="AR22" s="244"/>
      <c r="AS22" s="244"/>
      <c r="AT22" s="244"/>
      <c r="AU22" s="244"/>
      <c r="AV22" s="161"/>
      <c r="AW22" s="161"/>
      <c r="AX22" s="243">
        <v>0</v>
      </c>
      <c r="AY22" s="161"/>
      <c r="AZ22" s="161"/>
      <c r="BA22" s="243">
        <v>0</v>
      </c>
      <c r="BB22" s="212">
        <f t="shared" si="1"/>
        <v>0</v>
      </c>
      <c r="BC22" s="256"/>
      <c r="BD22" s="162">
        <f t="shared" si="2"/>
        <v>1727.0159999999998</v>
      </c>
      <c r="BE22" s="162">
        <f t="shared" si="3"/>
        <v>0</v>
      </c>
      <c r="BF22" s="243"/>
      <c r="BG22" s="243"/>
      <c r="BH22" s="243"/>
      <c r="BI22" s="257"/>
      <c r="BJ22" s="257"/>
      <c r="BK22" s="243"/>
      <c r="BL22" s="243"/>
      <c r="BM22" s="243"/>
      <c r="BN22" s="243"/>
      <c r="BO22" s="243"/>
      <c r="BP22" s="243"/>
      <c r="BQ22" s="243"/>
      <c r="BR22" s="243"/>
      <c r="BS22" s="243"/>
      <c r="BT22" s="243"/>
      <c r="BU22" s="243"/>
      <c r="BV22" s="243"/>
      <c r="BW22" s="243"/>
      <c r="BX22" s="243"/>
      <c r="BY22" s="243"/>
      <c r="BZ22" s="243"/>
      <c r="CA22" s="243"/>
      <c r="CB22" s="243"/>
      <c r="CC22" s="243"/>
      <c r="CD22" s="243"/>
      <c r="CE22" s="245">
        <v>0</v>
      </c>
      <c r="CF22" s="245">
        <v>0</v>
      </c>
      <c r="CG22" s="245">
        <v>1</v>
      </c>
      <c r="CH22" s="246">
        <v>0</v>
      </c>
      <c r="CI22" s="219">
        <f t="shared" si="4"/>
        <v>0</v>
      </c>
      <c r="CJ22" s="245">
        <v>1</v>
      </c>
      <c r="CK22" s="246">
        <v>0</v>
      </c>
      <c r="CL22" s="163">
        <f t="shared" si="5"/>
        <v>0</v>
      </c>
      <c r="CM22" s="245">
        <v>1</v>
      </c>
      <c r="CN22" s="246">
        <v>0</v>
      </c>
      <c r="CO22" s="163">
        <f t="shared" si="6"/>
        <v>0</v>
      </c>
      <c r="CP22" s="245">
        <v>1</v>
      </c>
      <c r="CQ22" s="246">
        <v>0</v>
      </c>
      <c r="CR22" s="163">
        <f t="shared" si="7"/>
        <v>0</v>
      </c>
      <c r="CS22" s="207">
        <f t="shared" si="8"/>
        <v>0</v>
      </c>
      <c r="CT22" s="258"/>
      <c r="CU22" s="258"/>
      <c r="CV22" s="258"/>
      <c r="CW22" s="258"/>
      <c r="CX22" s="258"/>
      <c r="CY22" s="258"/>
      <c r="CZ22" s="258"/>
      <c r="DA22" s="258"/>
      <c r="DB22" s="258"/>
      <c r="DC22" s="258"/>
    </row>
    <row r="23" spans="2:107">
      <c r="B23" s="205" t="str">
        <f>ANACO!B19</f>
        <v>F4a</v>
      </c>
      <c r="C23" s="204" t="str">
        <f>ANACO!C19</f>
        <v>Serramento in acciaio con volta circolare apribile a vasistas meccanizzato e automatico specchiatura inferiore con porta a doppio battente apertura esterna, sopraluce rettangolare fisso.
SOSTITUITO CON ALLUMINIO 
Reynaers ConceptSystem 77-FP EI 60 (CS 77-FPEI60) 
Controtelaio composto da tubi rettangolari ancorato alla struttura principale mediante adeguate zanche annegate nel muro o viti di fissaggio, il telaio deve essere correttamente isolato e zincato per proteggerlo dalla corrosione.  
Vetro: 66.2 COOL-LITE 70-33#2 / 14mm (aria-argon 90%) / 27 CF60-3.
Comprese lamiere di raccordo, memebrane e isolanti.</v>
      </c>
      <c r="D23" s="165">
        <f>ANACO!H19</f>
        <v>1</v>
      </c>
      <c r="E23" s="165"/>
      <c r="F23" s="203">
        <f>ANACO!G19</f>
        <v>3.9</v>
      </c>
      <c r="G23" s="203">
        <f>ANACO!I19</f>
        <v>3.9</v>
      </c>
      <c r="H23" s="166">
        <f>ANACO!BS19</f>
        <v>5827.2488999999996</v>
      </c>
      <c r="I23" s="172">
        <f>ANACO!BT19</f>
        <v>5827.2488999999996</v>
      </c>
      <c r="J23" s="161"/>
      <c r="K23" s="161">
        <f t="shared" si="0"/>
        <v>0</v>
      </c>
      <c r="L23" s="244">
        <v>0</v>
      </c>
      <c r="M23" s="244"/>
      <c r="N23" s="244"/>
      <c r="O23" s="244"/>
      <c r="P23" s="244"/>
      <c r="Q23" s="244"/>
      <c r="R23" s="244"/>
      <c r="S23" s="244"/>
      <c r="T23" s="244"/>
      <c r="U23" s="244"/>
      <c r="V23" s="244"/>
      <c r="W23" s="244"/>
      <c r="X23" s="244"/>
      <c r="Y23" s="244"/>
      <c r="Z23" s="244"/>
      <c r="AA23" s="244"/>
      <c r="AB23" s="244"/>
      <c r="AC23" s="244"/>
      <c r="AD23" s="244"/>
      <c r="AE23" s="244"/>
      <c r="AF23" s="244"/>
      <c r="AG23" s="244"/>
      <c r="AH23" s="244"/>
      <c r="AI23" s="244"/>
      <c r="AJ23" s="244"/>
      <c r="AK23" s="244"/>
      <c r="AL23" s="244"/>
      <c r="AM23" s="244"/>
      <c r="AN23" s="244"/>
      <c r="AO23" s="244"/>
      <c r="AP23" s="244"/>
      <c r="AQ23" s="244"/>
      <c r="AR23" s="244"/>
      <c r="AS23" s="244"/>
      <c r="AT23" s="244"/>
      <c r="AU23" s="244"/>
      <c r="AV23" s="161"/>
      <c r="AW23" s="161"/>
      <c r="AX23" s="243">
        <v>0</v>
      </c>
      <c r="AY23" s="161"/>
      <c r="AZ23" s="161"/>
      <c r="BA23" s="243">
        <v>0</v>
      </c>
      <c r="BB23" s="212">
        <f t="shared" si="1"/>
        <v>0</v>
      </c>
      <c r="BC23" s="256"/>
      <c r="BD23" s="162">
        <f t="shared" si="2"/>
        <v>1494.1663846153845</v>
      </c>
      <c r="BE23" s="162">
        <f t="shared" si="3"/>
        <v>0</v>
      </c>
      <c r="BF23" s="243"/>
      <c r="BG23" s="243"/>
      <c r="BH23" s="243"/>
      <c r="BI23" s="257"/>
      <c r="BJ23" s="257"/>
      <c r="BK23" s="243"/>
      <c r="BL23" s="243"/>
      <c r="BM23" s="243"/>
      <c r="BN23" s="243"/>
      <c r="BO23" s="243"/>
      <c r="BP23" s="243"/>
      <c r="BQ23" s="243"/>
      <c r="BR23" s="243"/>
      <c r="BS23" s="243"/>
      <c r="BT23" s="243"/>
      <c r="BU23" s="243"/>
      <c r="BV23" s="243"/>
      <c r="BW23" s="243"/>
      <c r="BX23" s="243"/>
      <c r="BY23" s="243"/>
      <c r="BZ23" s="243"/>
      <c r="CA23" s="243"/>
      <c r="CB23" s="243"/>
      <c r="CC23" s="243"/>
      <c r="CD23" s="243"/>
      <c r="CE23" s="245">
        <v>0</v>
      </c>
      <c r="CF23" s="245">
        <v>0</v>
      </c>
      <c r="CG23" s="245">
        <v>1</v>
      </c>
      <c r="CH23" s="246">
        <v>0</v>
      </c>
      <c r="CI23" s="219">
        <f t="shared" si="4"/>
        <v>0</v>
      </c>
      <c r="CJ23" s="245">
        <v>1</v>
      </c>
      <c r="CK23" s="246">
        <v>0</v>
      </c>
      <c r="CL23" s="163">
        <f t="shared" si="5"/>
        <v>0</v>
      </c>
      <c r="CM23" s="245">
        <v>1</v>
      </c>
      <c r="CN23" s="246">
        <v>0</v>
      </c>
      <c r="CO23" s="163">
        <f t="shared" si="6"/>
        <v>0</v>
      </c>
      <c r="CP23" s="245">
        <v>1</v>
      </c>
      <c r="CQ23" s="246">
        <v>0</v>
      </c>
      <c r="CR23" s="163">
        <f t="shared" si="7"/>
        <v>0</v>
      </c>
      <c r="CS23" s="207">
        <f t="shared" si="8"/>
        <v>0</v>
      </c>
      <c r="CT23" s="258"/>
      <c r="CU23" s="258"/>
      <c r="CV23" s="258"/>
      <c r="CW23" s="258"/>
      <c r="CX23" s="258"/>
      <c r="CY23" s="258"/>
      <c r="CZ23" s="258"/>
      <c r="DA23" s="258"/>
      <c r="DB23" s="258"/>
      <c r="DC23" s="258"/>
    </row>
    <row r="24" spans="2:107">
      <c r="B24" s="205" t="str">
        <f>ANACO!B20</f>
        <v>F4b</v>
      </c>
      <c r="C24" s="204" t="str">
        <f>ANACO!C20</f>
        <v>Porta a doppio battente vetrata, apertura doppia anta verso l’esterno, sopraluce fisso.
Compreso controtelaio costituito da profili in legno sagomato a L, adeguatamente trattato per evitare formazione di muffe o deformazioni geometriche, ancorato alla struttura principale mediante adeguate zanche annegate nel muro o viti di fissaggio. Vetro: 66.2 COOL-LITE 70-33#2 INDURITI / 20mm (aria-argon 90%) / 55.2 int. RICOTTI
Comprese lamiere di raccordo, memebrane e isolanti.</v>
      </c>
      <c r="D24" s="165">
        <f>ANACO!H20</f>
        <v>1</v>
      </c>
      <c r="E24" s="165"/>
      <c r="F24" s="203">
        <f>ANACO!G20</f>
        <v>3.9</v>
      </c>
      <c r="G24" s="203">
        <f>ANACO!I20</f>
        <v>3.9</v>
      </c>
      <c r="H24" s="166">
        <f>ANACO!BS20</f>
        <v>8033.6888999999992</v>
      </c>
      <c r="I24" s="172">
        <f>ANACO!BT20</f>
        <v>8033.6888999999992</v>
      </c>
      <c r="J24" s="161"/>
      <c r="K24" s="161">
        <f t="shared" si="0"/>
        <v>0</v>
      </c>
      <c r="L24" s="244">
        <v>0</v>
      </c>
      <c r="M24" s="244"/>
      <c r="N24" s="244"/>
      <c r="O24" s="244"/>
      <c r="P24" s="244"/>
      <c r="Q24" s="244"/>
      <c r="R24" s="244"/>
      <c r="S24" s="244"/>
      <c r="T24" s="244"/>
      <c r="U24" s="244"/>
      <c r="V24" s="244"/>
      <c r="W24" s="244"/>
      <c r="X24" s="244"/>
      <c r="Y24" s="244"/>
      <c r="Z24" s="244"/>
      <c r="AA24" s="244"/>
      <c r="AB24" s="244"/>
      <c r="AC24" s="244"/>
      <c r="AD24" s="244"/>
      <c r="AE24" s="244"/>
      <c r="AF24" s="244"/>
      <c r="AG24" s="244"/>
      <c r="AH24" s="244"/>
      <c r="AI24" s="244"/>
      <c r="AJ24" s="244"/>
      <c r="AK24" s="244"/>
      <c r="AL24" s="244"/>
      <c r="AM24" s="244"/>
      <c r="AN24" s="244"/>
      <c r="AO24" s="244"/>
      <c r="AP24" s="244"/>
      <c r="AQ24" s="244"/>
      <c r="AR24" s="244"/>
      <c r="AS24" s="244"/>
      <c r="AT24" s="244"/>
      <c r="AU24" s="244"/>
      <c r="AV24" s="161"/>
      <c r="AW24" s="161"/>
      <c r="AX24" s="243">
        <v>0</v>
      </c>
      <c r="AY24" s="161"/>
      <c r="AZ24" s="161"/>
      <c r="BA24" s="243">
        <v>0</v>
      </c>
      <c r="BB24" s="212">
        <f t="shared" si="1"/>
        <v>0</v>
      </c>
      <c r="BC24" s="256"/>
      <c r="BD24" s="162">
        <f t="shared" si="2"/>
        <v>2059.9202307692308</v>
      </c>
      <c r="BE24" s="162">
        <f t="shared" si="3"/>
        <v>0</v>
      </c>
      <c r="BF24" s="243"/>
      <c r="BG24" s="243"/>
      <c r="BH24" s="243"/>
      <c r="BI24" s="257"/>
      <c r="BJ24" s="257"/>
      <c r="BK24" s="243"/>
      <c r="BL24" s="243"/>
      <c r="BM24" s="243"/>
      <c r="BN24" s="243"/>
      <c r="BO24" s="243"/>
      <c r="BP24" s="243"/>
      <c r="BQ24" s="243"/>
      <c r="BR24" s="243"/>
      <c r="BS24" s="243"/>
      <c r="BT24" s="243"/>
      <c r="BU24" s="243"/>
      <c r="BV24" s="243"/>
      <c r="BW24" s="243"/>
      <c r="BX24" s="243"/>
      <c r="BY24" s="243"/>
      <c r="BZ24" s="243"/>
      <c r="CA24" s="243"/>
      <c r="CB24" s="243"/>
      <c r="CC24" s="243"/>
      <c r="CD24" s="243"/>
      <c r="CE24" s="245">
        <v>0</v>
      </c>
      <c r="CF24" s="245">
        <v>0</v>
      </c>
      <c r="CG24" s="245">
        <v>1</v>
      </c>
      <c r="CH24" s="246">
        <v>0</v>
      </c>
      <c r="CI24" s="219">
        <f t="shared" si="4"/>
        <v>0</v>
      </c>
      <c r="CJ24" s="245">
        <v>1</v>
      </c>
      <c r="CK24" s="246">
        <v>0</v>
      </c>
      <c r="CL24" s="163">
        <f t="shared" si="5"/>
        <v>0</v>
      </c>
      <c r="CM24" s="245">
        <v>1</v>
      </c>
      <c r="CN24" s="246">
        <v>0</v>
      </c>
      <c r="CO24" s="163">
        <f t="shared" si="6"/>
        <v>0</v>
      </c>
      <c r="CP24" s="245">
        <v>1</v>
      </c>
      <c r="CQ24" s="246">
        <v>0</v>
      </c>
      <c r="CR24" s="163">
        <f t="shared" si="7"/>
        <v>0</v>
      </c>
      <c r="CS24" s="207">
        <f t="shared" si="8"/>
        <v>0</v>
      </c>
      <c r="CT24" s="258"/>
      <c r="CU24" s="258"/>
      <c r="CV24" s="258"/>
      <c r="CW24" s="258"/>
      <c r="CX24" s="258"/>
      <c r="CY24" s="258"/>
      <c r="CZ24" s="258"/>
      <c r="DA24" s="258"/>
      <c r="DB24" s="258"/>
      <c r="DC24" s="258"/>
    </row>
    <row r="25" spans="2:107">
      <c r="B25" s="205" t="str">
        <f>ANACO!B21</f>
        <v>F5a - EI60
Serramento in acciaio EI60 tipo Secco EBE85</v>
      </c>
      <c r="C25" s="204" t="str">
        <f>ANACO!C21</f>
        <v>Porta a doppio battente apertura interno dell’edificio con pushbar esterno e chiudiporta, presenza di sopraluce fisso è presente un ulteriore sopraluce curvo con presenza di lamelle di areazione. Il serramento presente una prestazione EI60 escluso la parte lamellata.
SOSTITUITO CON ALLUMINIO 
Reynaers ConceptSystem 77-FP EI 60 (CS 77-FPEI60) 
Compreso controtelaio costituito da profili in legno sagomato a L, adeguatamente trattato per evitare formazione di muffe o deformazioni geometriche, ancorato alla struttura principale mediante adeguate zanche annegate nel muro o viti di fissaggio. Vetro: 66.2 COOL-LITE 70-33#2 / 14mm (aria-argon 90%) / 27 CF60-3.
Comprese lamiere di raccordo, memebrane e isolanti.</v>
      </c>
      <c r="D25" s="165">
        <f>ANACO!H21</f>
        <v>1</v>
      </c>
      <c r="E25" s="165"/>
      <c r="F25" s="203">
        <f>ANACO!G21</f>
        <v>5.6479999999999997</v>
      </c>
      <c r="G25" s="203">
        <f>ANACO!I21</f>
        <v>5.6479999999999997</v>
      </c>
      <c r="H25" s="166">
        <f>ANACO!BS21</f>
        <v>20012.034888000002</v>
      </c>
      <c r="I25" s="172">
        <f>ANACO!BT21</f>
        <v>20012.034888000002</v>
      </c>
      <c r="J25" s="161"/>
      <c r="K25" s="161">
        <f t="shared" si="0"/>
        <v>0</v>
      </c>
      <c r="L25" s="244">
        <v>0</v>
      </c>
      <c r="M25" s="244"/>
      <c r="N25" s="244"/>
      <c r="O25" s="244"/>
      <c r="P25" s="244"/>
      <c r="Q25" s="244"/>
      <c r="R25" s="244"/>
      <c r="S25" s="244"/>
      <c r="T25" s="244"/>
      <c r="U25" s="244"/>
      <c r="V25" s="244"/>
      <c r="W25" s="244"/>
      <c r="X25" s="244"/>
      <c r="Y25" s="244"/>
      <c r="Z25" s="244"/>
      <c r="AA25" s="244"/>
      <c r="AB25" s="244"/>
      <c r="AC25" s="244"/>
      <c r="AD25" s="244"/>
      <c r="AE25" s="244"/>
      <c r="AF25" s="244"/>
      <c r="AG25" s="244"/>
      <c r="AH25" s="244"/>
      <c r="AI25" s="244"/>
      <c r="AJ25" s="244"/>
      <c r="AK25" s="244"/>
      <c r="AL25" s="244"/>
      <c r="AM25" s="244"/>
      <c r="AN25" s="244"/>
      <c r="AO25" s="244"/>
      <c r="AP25" s="244"/>
      <c r="AQ25" s="244"/>
      <c r="AR25" s="244"/>
      <c r="AS25" s="244"/>
      <c r="AT25" s="244"/>
      <c r="AU25" s="244"/>
      <c r="AV25" s="161"/>
      <c r="AW25" s="161"/>
      <c r="AX25" s="243">
        <v>0</v>
      </c>
      <c r="AY25" s="161"/>
      <c r="AZ25" s="161"/>
      <c r="BA25" s="243">
        <v>0</v>
      </c>
      <c r="BB25" s="212">
        <f t="shared" si="1"/>
        <v>0</v>
      </c>
      <c r="BC25" s="256"/>
      <c r="BD25" s="162">
        <f t="shared" si="2"/>
        <v>3543.207310198301</v>
      </c>
      <c r="BE25" s="162">
        <f t="shared" si="3"/>
        <v>0</v>
      </c>
      <c r="BF25" s="243"/>
      <c r="BG25" s="243"/>
      <c r="BH25" s="243"/>
      <c r="BI25" s="257"/>
      <c r="BJ25" s="257"/>
      <c r="BK25" s="243"/>
      <c r="BL25" s="243"/>
      <c r="BM25" s="243"/>
      <c r="BN25" s="243"/>
      <c r="BO25" s="243"/>
      <c r="BP25" s="243"/>
      <c r="BQ25" s="243"/>
      <c r="BR25" s="243"/>
      <c r="BS25" s="243"/>
      <c r="BT25" s="243"/>
      <c r="BU25" s="243"/>
      <c r="BV25" s="243"/>
      <c r="BW25" s="243"/>
      <c r="BX25" s="243"/>
      <c r="BY25" s="243"/>
      <c r="BZ25" s="243"/>
      <c r="CA25" s="243"/>
      <c r="CB25" s="243"/>
      <c r="CC25" s="243"/>
      <c r="CD25" s="243"/>
      <c r="CE25" s="245">
        <v>0</v>
      </c>
      <c r="CF25" s="245">
        <v>0</v>
      </c>
      <c r="CG25" s="245">
        <v>1</v>
      </c>
      <c r="CH25" s="246">
        <v>0</v>
      </c>
      <c r="CI25" s="219">
        <f t="shared" si="4"/>
        <v>0</v>
      </c>
      <c r="CJ25" s="245">
        <v>1</v>
      </c>
      <c r="CK25" s="246">
        <v>0</v>
      </c>
      <c r="CL25" s="163">
        <f t="shared" si="5"/>
        <v>0</v>
      </c>
      <c r="CM25" s="245">
        <v>1</v>
      </c>
      <c r="CN25" s="246">
        <v>0</v>
      </c>
      <c r="CO25" s="163">
        <f t="shared" si="6"/>
        <v>0</v>
      </c>
      <c r="CP25" s="245">
        <v>1</v>
      </c>
      <c r="CQ25" s="246">
        <v>0</v>
      </c>
      <c r="CR25" s="163">
        <f t="shared" si="7"/>
        <v>0</v>
      </c>
      <c r="CS25" s="207">
        <f t="shared" si="8"/>
        <v>0</v>
      </c>
      <c r="CT25" s="258"/>
      <c r="CU25" s="258"/>
      <c r="CV25" s="258"/>
      <c r="CW25" s="258"/>
      <c r="CX25" s="258"/>
      <c r="CY25" s="258"/>
      <c r="CZ25" s="258"/>
      <c r="DA25" s="258"/>
      <c r="DB25" s="258"/>
      <c r="DC25" s="258"/>
    </row>
    <row r="26" spans="2:107">
      <c r="B26" s="205" t="str">
        <f>ANACO!B22</f>
        <v>F5b - EI60
Serramento in acciaio EI60 tipo Secco EBE85</v>
      </c>
      <c r="C26" s="204" t="str">
        <f>ANACO!C22</f>
        <v>Serramento con specchiature vision fisse è presente un ulteriore sopraluce curvo con presenza di lamelle di areazione. Il serramento presenta una prestazione EI60 escluso la parte lamellata.SOSTITUITO CON ALLUMINIO 
Reynaers ConceptSystem 77-FP EI 60 (CS 77-FPEI60) 
Compreso controtelaio costituito da profili in legno sagomato a L, adeguatamente trattato per evitare formazione di muffe o deformazioni geometriche, ancorato alla struttura principale mediante adeguate zanche annegate nel muro o viti di fissaggio. Vetro: 66.2 COOL-LITE 70-33#2 / 14mm (aria-argon 90%) / 27 CF60-3.
Comprese lamiere di raccordo, memebrane e isolanti.</v>
      </c>
      <c r="D26" s="165">
        <f>ANACO!H22</f>
        <v>1</v>
      </c>
      <c r="E26" s="165"/>
      <c r="F26" s="203">
        <f>ANACO!G22</f>
        <v>5.6479999999999997</v>
      </c>
      <c r="G26" s="203">
        <f>ANACO!I22</f>
        <v>5.6479999999999997</v>
      </c>
      <c r="H26" s="166">
        <f>ANACO!BS22</f>
        <v>15793.920888000001</v>
      </c>
      <c r="I26" s="172">
        <f>ANACO!BT22</f>
        <v>15793.920888000001</v>
      </c>
      <c r="J26" s="161"/>
      <c r="K26" s="161">
        <f t="shared" si="0"/>
        <v>0</v>
      </c>
      <c r="L26" s="244">
        <v>0</v>
      </c>
      <c r="M26" s="244"/>
      <c r="N26" s="244"/>
      <c r="O26" s="244"/>
      <c r="P26" s="244"/>
      <c r="Q26" s="244"/>
      <c r="R26" s="244"/>
      <c r="S26" s="244"/>
      <c r="T26" s="244"/>
      <c r="U26" s="244"/>
      <c r="V26" s="244"/>
      <c r="W26" s="244"/>
      <c r="X26" s="244"/>
      <c r="Y26" s="244"/>
      <c r="Z26" s="244"/>
      <c r="AA26" s="244"/>
      <c r="AB26" s="244"/>
      <c r="AC26" s="244"/>
      <c r="AD26" s="244"/>
      <c r="AE26" s="244"/>
      <c r="AF26" s="244"/>
      <c r="AG26" s="244"/>
      <c r="AH26" s="244"/>
      <c r="AI26" s="244"/>
      <c r="AJ26" s="244"/>
      <c r="AK26" s="244"/>
      <c r="AL26" s="244"/>
      <c r="AM26" s="244"/>
      <c r="AN26" s="244"/>
      <c r="AO26" s="244"/>
      <c r="AP26" s="244"/>
      <c r="AQ26" s="244"/>
      <c r="AR26" s="244"/>
      <c r="AS26" s="244"/>
      <c r="AT26" s="244"/>
      <c r="AU26" s="244"/>
      <c r="AV26" s="161"/>
      <c r="AW26" s="161"/>
      <c r="AX26" s="243">
        <v>0</v>
      </c>
      <c r="AY26" s="161"/>
      <c r="AZ26" s="161"/>
      <c r="BA26" s="243">
        <v>0</v>
      </c>
      <c r="BB26" s="212">
        <f t="shared" si="1"/>
        <v>0</v>
      </c>
      <c r="BC26" s="256"/>
      <c r="BD26" s="162">
        <f t="shared" si="2"/>
        <v>2796.3740949008502</v>
      </c>
      <c r="BE26" s="162">
        <f t="shared" si="3"/>
        <v>0</v>
      </c>
      <c r="BF26" s="243"/>
      <c r="BG26" s="243"/>
      <c r="BH26" s="243"/>
      <c r="BI26" s="257"/>
      <c r="BJ26" s="257"/>
      <c r="BK26" s="243"/>
      <c r="BL26" s="243"/>
      <c r="BM26" s="243"/>
      <c r="BN26" s="243"/>
      <c r="BO26" s="243"/>
      <c r="BP26" s="243"/>
      <c r="BQ26" s="243"/>
      <c r="BR26" s="243"/>
      <c r="BS26" s="243"/>
      <c r="BT26" s="243"/>
      <c r="BU26" s="243"/>
      <c r="BV26" s="243"/>
      <c r="BW26" s="243"/>
      <c r="BX26" s="243"/>
      <c r="BY26" s="243"/>
      <c r="BZ26" s="243"/>
      <c r="CA26" s="243"/>
      <c r="CB26" s="243"/>
      <c r="CC26" s="243"/>
      <c r="CD26" s="243"/>
      <c r="CE26" s="245">
        <v>0</v>
      </c>
      <c r="CF26" s="245">
        <v>0</v>
      </c>
      <c r="CG26" s="245">
        <v>1</v>
      </c>
      <c r="CH26" s="246">
        <v>0</v>
      </c>
      <c r="CI26" s="219">
        <f t="shared" si="4"/>
        <v>0</v>
      </c>
      <c r="CJ26" s="245">
        <v>1</v>
      </c>
      <c r="CK26" s="246">
        <v>0</v>
      </c>
      <c r="CL26" s="163">
        <f t="shared" si="5"/>
        <v>0</v>
      </c>
      <c r="CM26" s="245">
        <v>1</v>
      </c>
      <c r="CN26" s="246">
        <v>0</v>
      </c>
      <c r="CO26" s="163">
        <f t="shared" si="6"/>
        <v>0</v>
      </c>
      <c r="CP26" s="245">
        <v>1</v>
      </c>
      <c r="CQ26" s="246">
        <v>0</v>
      </c>
      <c r="CR26" s="163">
        <f t="shared" si="7"/>
        <v>0</v>
      </c>
      <c r="CS26" s="207">
        <f t="shared" si="8"/>
        <v>0</v>
      </c>
      <c r="CT26" s="258"/>
      <c r="CU26" s="258"/>
      <c r="CV26" s="258"/>
      <c r="CW26" s="258"/>
      <c r="CX26" s="258"/>
      <c r="CY26" s="258"/>
      <c r="CZ26" s="258"/>
      <c r="DA26" s="258"/>
      <c r="DB26" s="258"/>
      <c r="DC26" s="258"/>
    </row>
    <row r="27" spans="2:107">
      <c r="B27" s="205" t="str">
        <f>ANACO!B23</f>
        <v>F6</v>
      </c>
      <c r="C27" s="204" t="str">
        <f>ANACO!C23</f>
        <v>Serramento portafinestra in legno doppia anta battente apertura interna fissato solidamente ad un controtelaio in profili di legno adeguatamente trattato e isolato. 
Compreso controtelaio costituito da profili in legno sagomato a L, adeguatamente trattato per evitare formazione di muffe o deformazioni geometriche, ancorato alla struttura principale mediante adeguate zanche annegate nel muro o viti di fissaggio. Vetro: 66.2 COOL-LITE 70-33#2 INDURITI / 20mm (aria-argon 90%) / 55.2 int. RICOTTI
Comprese lamiere di raccordo, memebrane e isolanti.</v>
      </c>
      <c r="D27" s="165">
        <f>ANACO!H23</f>
        <v>11</v>
      </c>
      <c r="E27" s="165"/>
      <c r="F27" s="203">
        <f>ANACO!G23</f>
        <v>3.835</v>
      </c>
      <c r="G27" s="203">
        <f>ANACO!I23</f>
        <v>42.185000000000002</v>
      </c>
      <c r="H27" s="166">
        <f>ANACO!BS23</f>
        <v>6480.5492250000007</v>
      </c>
      <c r="I27" s="172">
        <f>ANACO!BT23</f>
        <v>71286.041475000005</v>
      </c>
      <c r="J27" s="161"/>
      <c r="K27" s="161">
        <f t="shared" si="0"/>
        <v>0</v>
      </c>
      <c r="L27" s="244">
        <v>0</v>
      </c>
      <c r="M27" s="244"/>
      <c r="N27" s="244"/>
      <c r="O27" s="244"/>
      <c r="P27" s="244"/>
      <c r="Q27" s="244"/>
      <c r="R27" s="244"/>
      <c r="S27" s="244"/>
      <c r="T27" s="244"/>
      <c r="U27" s="244"/>
      <c r="V27" s="244"/>
      <c r="W27" s="244"/>
      <c r="X27" s="244"/>
      <c r="Y27" s="244"/>
      <c r="Z27" s="244"/>
      <c r="AA27" s="244"/>
      <c r="AB27" s="244"/>
      <c r="AC27" s="244"/>
      <c r="AD27" s="244"/>
      <c r="AE27" s="244"/>
      <c r="AF27" s="244"/>
      <c r="AG27" s="244"/>
      <c r="AH27" s="244"/>
      <c r="AI27" s="244"/>
      <c r="AJ27" s="244"/>
      <c r="AK27" s="244"/>
      <c r="AL27" s="244"/>
      <c r="AM27" s="244"/>
      <c r="AN27" s="244"/>
      <c r="AO27" s="244"/>
      <c r="AP27" s="244"/>
      <c r="AQ27" s="244"/>
      <c r="AR27" s="244"/>
      <c r="AS27" s="244"/>
      <c r="AT27" s="244"/>
      <c r="AU27" s="244"/>
      <c r="AV27" s="161"/>
      <c r="AW27" s="161"/>
      <c r="AX27" s="243">
        <v>0</v>
      </c>
      <c r="AY27" s="161"/>
      <c r="AZ27" s="161"/>
      <c r="BA27" s="243">
        <v>0</v>
      </c>
      <c r="BB27" s="212">
        <f t="shared" si="1"/>
        <v>0</v>
      </c>
      <c r="BC27" s="256"/>
      <c r="BD27" s="162">
        <f t="shared" si="2"/>
        <v>1689.8433441981749</v>
      </c>
      <c r="BE27" s="162">
        <f t="shared" si="3"/>
        <v>0</v>
      </c>
      <c r="BF27" s="243"/>
      <c r="BG27" s="243"/>
      <c r="BH27" s="243"/>
      <c r="BI27" s="257"/>
      <c r="BJ27" s="257"/>
      <c r="BK27" s="243"/>
      <c r="BL27" s="243"/>
      <c r="BM27" s="243"/>
      <c r="BN27" s="243"/>
      <c r="BO27" s="243"/>
      <c r="BP27" s="243"/>
      <c r="BQ27" s="243"/>
      <c r="BR27" s="243"/>
      <c r="BS27" s="243"/>
      <c r="BT27" s="243"/>
      <c r="BU27" s="243"/>
      <c r="BV27" s="243"/>
      <c r="BW27" s="243"/>
      <c r="BX27" s="243"/>
      <c r="BY27" s="243"/>
      <c r="BZ27" s="243"/>
      <c r="CA27" s="243"/>
      <c r="CB27" s="243"/>
      <c r="CC27" s="243"/>
      <c r="CD27" s="243"/>
      <c r="CE27" s="245">
        <v>0</v>
      </c>
      <c r="CF27" s="245">
        <v>0</v>
      </c>
      <c r="CG27" s="245">
        <v>1</v>
      </c>
      <c r="CH27" s="246">
        <v>0</v>
      </c>
      <c r="CI27" s="219">
        <f t="shared" si="4"/>
        <v>0</v>
      </c>
      <c r="CJ27" s="245">
        <v>1</v>
      </c>
      <c r="CK27" s="246">
        <v>0</v>
      </c>
      <c r="CL27" s="163">
        <f t="shared" si="5"/>
        <v>0</v>
      </c>
      <c r="CM27" s="245">
        <v>1</v>
      </c>
      <c r="CN27" s="246">
        <v>0</v>
      </c>
      <c r="CO27" s="163">
        <f t="shared" si="6"/>
        <v>0</v>
      </c>
      <c r="CP27" s="245">
        <v>1</v>
      </c>
      <c r="CQ27" s="246">
        <v>0</v>
      </c>
      <c r="CR27" s="163">
        <f t="shared" si="7"/>
        <v>0</v>
      </c>
      <c r="CS27" s="207">
        <f t="shared" si="8"/>
        <v>0</v>
      </c>
      <c r="CT27" s="258"/>
      <c r="CU27" s="258"/>
      <c r="CV27" s="258"/>
      <c r="CW27" s="258"/>
      <c r="CX27" s="258"/>
      <c r="CY27" s="258"/>
      <c r="CZ27" s="258"/>
      <c r="DA27" s="258"/>
      <c r="DB27" s="258"/>
      <c r="DC27" s="258"/>
    </row>
    <row r="28" spans="2:107">
      <c r="B28" s="205" t="str">
        <f>ANACO!B24</f>
        <v>F6a</v>
      </c>
      <c r="C28" s="204" t="str">
        <f>ANACO!C24</f>
        <v>Serramento portafinestra in legno doppia anta battente apertura interna fissato solidamente ad un controtelaio in profili di legno adeguatamente trattato e isolato. SERRAMENTO A TENUTA FUMI.
Compreso controtelaio costituito da profili in legno sagomato a L, adeguatamente trattato per evitare formazione di muffe o deformazioni geometriche, ancorato alla struttura principale mediante adeguate zanche annegate nel muro o viti di fissaggio. Vetro: 66.2 COOL-LITE 70-33#2 INDURITI / 20mm (aria-argon 90%) / 55.2 int. RICOTTI
Comprese lamiere di raccordo, memebrane e isolanti.</v>
      </c>
      <c r="D28" s="165">
        <f>ANACO!H24</f>
        <v>3</v>
      </c>
      <c r="E28" s="165"/>
      <c r="F28" s="203">
        <f>ANACO!G24</f>
        <v>3.835</v>
      </c>
      <c r="G28" s="203">
        <f>ANACO!I24</f>
        <v>11.504999999999999</v>
      </c>
      <c r="H28" s="166">
        <f>ANACO!BS24</f>
        <v>6353.202225</v>
      </c>
      <c r="I28" s="172">
        <f>ANACO!BT24</f>
        <v>19059.606675000003</v>
      </c>
      <c r="J28" s="161"/>
      <c r="K28" s="161">
        <f t="shared" si="0"/>
        <v>0</v>
      </c>
      <c r="L28" s="244">
        <v>0</v>
      </c>
      <c r="M28" s="244"/>
      <c r="N28" s="244"/>
      <c r="O28" s="244"/>
      <c r="P28" s="244"/>
      <c r="Q28" s="244"/>
      <c r="R28" s="244"/>
      <c r="S28" s="244"/>
      <c r="T28" s="244"/>
      <c r="U28" s="244"/>
      <c r="V28" s="244"/>
      <c r="W28" s="244"/>
      <c r="X28" s="244"/>
      <c r="Y28" s="244"/>
      <c r="Z28" s="244"/>
      <c r="AA28" s="244"/>
      <c r="AB28" s="244"/>
      <c r="AC28" s="244"/>
      <c r="AD28" s="244"/>
      <c r="AE28" s="244"/>
      <c r="AF28" s="244"/>
      <c r="AG28" s="244"/>
      <c r="AH28" s="244"/>
      <c r="AI28" s="244"/>
      <c r="AJ28" s="244"/>
      <c r="AK28" s="244"/>
      <c r="AL28" s="244"/>
      <c r="AM28" s="244"/>
      <c r="AN28" s="244"/>
      <c r="AO28" s="244"/>
      <c r="AP28" s="244"/>
      <c r="AQ28" s="244"/>
      <c r="AR28" s="244"/>
      <c r="AS28" s="244"/>
      <c r="AT28" s="244"/>
      <c r="AU28" s="244"/>
      <c r="AV28" s="161"/>
      <c r="AW28" s="161"/>
      <c r="AX28" s="243">
        <v>0</v>
      </c>
      <c r="AY28" s="161"/>
      <c r="AZ28" s="161"/>
      <c r="BA28" s="243">
        <v>0</v>
      </c>
      <c r="BB28" s="212">
        <f t="shared" si="1"/>
        <v>0</v>
      </c>
      <c r="BC28" s="256"/>
      <c r="BD28" s="162">
        <f t="shared" si="2"/>
        <v>1656.6368252933507</v>
      </c>
      <c r="BE28" s="162">
        <f t="shared" si="3"/>
        <v>0</v>
      </c>
      <c r="BF28" s="243"/>
      <c r="BG28" s="243"/>
      <c r="BH28" s="243"/>
      <c r="BI28" s="257"/>
      <c r="BJ28" s="257"/>
      <c r="BK28" s="243"/>
      <c r="BL28" s="243"/>
      <c r="BM28" s="243"/>
      <c r="BN28" s="243"/>
      <c r="BO28" s="243"/>
      <c r="BP28" s="243"/>
      <c r="BQ28" s="243"/>
      <c r="BR28" s="243"/>
      <c r="BS28" s="243"/>
      <c r="BT28" s="243"/>
      <c r="BU28" s="243"/>
      <c r="BV28" s="243"/>
      <c r="BW28" s="243"/>
      <c r="BX28" s="243"/>
      <c r="BY28" s="243"/>
      <c r="BZ28" s="243"/>
      <c r="CA28" s="243"/>
      <c r="CB28" s="243"/>
      <c r="CC28" s="243"/>
      <c r="CD28" s="243"/>
      <c r="CE28" s="245">
        <v>0</v>
      </c>
      <c r="CF28" s="245">
        <v>0</v>
      </c>
      <c r="CG28" s="245">
        <v>1</v>
      </c>
      <c r="CH28" s="246">
        <v>0</v>
      </c>
      <c r="CI28" s="219">
        <f t="shared" si="4"/>
        <v>0</v>
      </c>
      <c r="CJ28" s="245">
        <v>1</v>
      </c>
      <c r="CK28" s="246">
        <v>0</v>
      </c>
      <c r="CL28" s="163">
        <f t="shared" si="5"/>
        <v>0</v>
      </c>
      <c r="CM28" s="245">
        <v>1</v>
      </c>
      <c r="CN28" s="246">
        <v>0</v>
      </c>
      <c r="CO28" s="163">
        <f t="shared" si="6"/>
        <v>0</v>
      </c>
      <c r="CP28" s="245">
        <v>1</v>
      </c>
      <c r="CQ28" s="246">
        <v>0</v>
      </c>
      <c r="CR28" s="163">
        <f t="shared" si="7"/>
        <v>0</v>
      </c>
      <c r="CS28" s="207">
        <f t="shared" si="8"/>
        <v>0</v>
      </c>
      <c r="CT28" s="258"/>
      <c r="CU28" s="258"/>
      <c r="CV28" s="258"/>
      <c r="CW28" s="258"/>
      <c r="CX28" s="258"/>
      <c r="CY28" s="258"/>
      <c r="CZ28" s="258"/>
      <c r="DA28" s="258"/>
      <c r="DB28" s="258"/>
      <c r="DC28" s="258"/>
    </row>
    <row r="29" spans="2:107">
      <c r="B29" s="205" t="str">
        <f>ANACO!B25</f>
        <v>F6b</v>
      </c>
      <c r="C29" s="204" t="str">
        <f>ANACO!C25</f>
        <v>Serramento portafinestra in legno doppia anta battente apertura esterna fissato solidamente ad un controtelaio in profili di legno adeguatamente trattato e isolato. SERRAMENTO A TENUTA FUMI.
Compreso controtelaio costituito da profili in legno sagomato a L, adeguatamente trattato per evitare formazione di muffe o deformazioni geometriche, ancorato alla struttura principale mediante adeguate zanche annegate nel muro o viti di fissaggio. Vetro: 66.2 COOL-LITE 70-33#2 INDURITI / 20mm (aria-argon 90%) / 55.2 int. RICOTTI
Comprese lamiere di raccordo, memebrane e isolanti.</v>
      </c>
      <c r="D29" s="165">
        <f>ANACO!H25</f>
        <v>1</v>
      </c>
      <c r="E29" s="165"/>
      <c r="F29" s="203">
        <f>ANACO!G25</f>
        <v>3.835</v>
      </c>
      <c r="G29" s="203">
        <f>ANACO!I25</f>
        <v>3.835</v>
      </c>
      <c r="H29" s="166">
        <f>ANACO!BS25</f>
        <v>6353.202225</v>
      </c>
      <c r="I29" s="172">
        <f>ANACO!BT25</f>
        <v>6353.202225</v>
      </c>
      <c r="J29" s="161"/>
      <c r="K29" s="161">
        <f t="shared" si="0"/>
        <v>0</v>
      </c>
      <c r="L29" s="244">
        <v>0</v>
      </c>
      <c r="M29" s="244"/>
      <c r="N29" s="244"/>
      <c r="O29" s="244"/>
      <c r="P29" s="244"/>
      <c r="Q29" s="244"/>
      <c r="R29" s="244"/>
      <c r="S29" s="244"/>
      <c r="T29" s="244"/>
      <c r="U29" s="244"/>
      <c r="V29" s="244"/>
      <c r="W29" s="244"/>
      <c r="X29" s="244"/>
      <c r="Y29" s="244"/>
      <c r="Z29" s="244"/>
      <c r="AA29" s="244"/>
      <c r="AB29" s="244"/>
      <c r="AC29" s="244"/>
      <c r="AD29" s="244"/>
      <c r="AE29" s="244"/>
      <c r="AF29" s="244"/>
      <c r="AG29" s="244"/>
      <c r="AH29" s="244"/>
      <c r="AI29" s="244"/>
      <c r="AJ29" s="244"/>
      <c r="AK29" s="244"/>
      <c r="AL29" s="244"/>
      <c r="AM29" s="244"/>
      <c r="AN29" s="244"/>
      <c r="AO29" s="244"/>
      <c r="AP29" s="244"/>
      <c r="AQ29" s="244"/>
      <c r="AR29" s="244"/>
      <c r="AS29" s="244"/>
      <c r="AT29" s="244"/>
      <c r="AU29" s="244"/>
      <c r="AV29" s="161"/>
      <c r="AW29" s="161"/>
      <c r="AX29" s="243">
        <v>0</v>
      </c>
      <c r="AY29" s="161"/>
      <c r="AZ29" s="161"/>
      <c r="BA29" s="243">
        <v>0</v>
      </c>
      <c r="BB29" s="212">
        <f t="shared" si="1"/>
        <v>0</v>
      </c>
      <c r="BC29" s="256"/>
      <c r="BD29" s="162">
        <f t="shared" si="2"/>
        <v>1656.6368252933507</v>
      </c>
      <c r="BE29" s="162">
        <f t="shared" si="3"/>
        <v>0</v>
      </c>
      <c r="BF29" s="243"/>
      <c r="BG29" s="243"/>
      <c r="BH29" s="243"/>
      <c r="BI29" s="257"/>
      <c r="BJ29" s="257"/>
      <c r="BK29" s="243"/>
      <c r="BL29" s="243"/>
      <c r="BM29" s="243"/>
      <c r="BN29" s="243"/>
      <c r="BO29" s="243"/>
      <c r="BP29" s="243"/>
      <c r="BQ29" s="243"/>
      <c r="BR29" s="243"/>
      <c r="BS29" s="243"/>
      <c r="BT29" s="243"/>
      <c r="BU29" s="243"/>
      <c r="BV29" s="243"/>
      <c r="BW29" s="243"/>
      <c r="BX29" s="243"/>
      <c r="BY29" s="243"/>
      <c r="BZ29" s="243"/>
      <c r="CA29" s="243"/>
      <c r="CB29" s="243"/>
      <c r="CC29" s="243"/>
      <c r="CD29" s="243"/>
      <c r="CE29" s="245">
        <v>0</v>
      </c>
      <c r="CF29" s="245">
        <v>0</v>
      </c>
      <c r="CG29" s="245">
        <v>1</v>
      </c>
      <c r="CH29" s="246">
        <v>0</v>
      </c>
      <c r="CI29" s="219">
        <f t="shared" si="4"/>
        <v>0</v>
      </c>
      <c r="CJ29" s="245">
        <v>1</v>
      </c>
      <c r="CK29" s="246">
        <v>0</v>
      </c>
      <c r="CL29" s="163">
        <f t="shared" si="5"/>
        <v>0</v>
      </c>
      <c r="CM29" s="245">
        <v>1</v>
      </c>
      <c r="CN29" s="246">
        <v>0</v>
      </c>
      <c r="CO29" s="163">
        <f t="shared" si="6"/>
        <v>0</v>
      </c>
      <c r="CP29" s="245">
        <v>1</v>
      </c>
      <c r="CQ29" s="246">
        <v>0</v>
      </c>
      <c r="CR29" s="163">
        <f t="shared" si="7"/>
        <v>0</v>
      </c>
      <c r="CS29" s="207">
        <f t="shared" si="8"/>
        <v>0</v>
      </c>
      <c r="CT29" s="258"/>
      <c r="CU29" s="258"/>
      <c r="CV29" s="258"/>
      <c r="CW29" s="258"/>
      <c r="CX29" s="258"/>
      <c r="CY29" s="258"/>
      <c r="CZ29" s="258"/>
      <c r="DA29" s="258"/>
      <c r="DB29" s="258"/>
      <c r="DC29" s="258"/>
    </row>
    <row r="30" spans="2:107">
      <c r="B30" s="205" t="str">
        <f>ANACO!B26</f>
        <v>F7</v>
      </c>
      <c r="C30" s="204" t="str">
        <f>ANACO!C26</f>
        <v>Serramento finestra in legno doppia anta battente apertura interna fissato solidamente ad un controtelaio in profili di legno adeguatamente trattato e isolato. 
Compreso controtelaio costituito da profili in legno sagomato a L, adeguatamente trattato per evitare formazione di muffe o deformazioni geometriche, ancorato alla struttura principale mediante adeguate zanche annegate nel muro o viti di fissaggio. Vetro: 66.2 COOL-LITE 70-33#2 INDURITI / 20mm (aria-argon 90%) / 55.2 int. RICOTTI
Comprese lamiere di raccordo, memebrane e isolanti.</v>
      </c>
      <c r="D30" s="165">
        <f>ANACO!H26</f>
        <v>3</v>
      </c>
      <c r="E30" s="165"/>
      <c r="F30" s="203">
        <f>ANACO!G26</f>
        <v>1.704</v>
      </c>
      <c r="G30" s="203">
        <f>ANACO!I26</f>
        <v>5.1120000000000001</v>
      </c>
      <c r="H30" s="166">
        <f>ANACO!BS26</f>
        <v>4250.9381999999996</v>
      </c>
      <c r="I30" s="172">
        <f>ANACO!BT26</f>
        <v>12752.8146</v>
      </c>
      <c r="J30" s="161"/>
      <c r="K30" s="161">
        <f t="shared" si="0"/>
        <v>0</v>
      </c>
      <c r="L30" s="244">
        <v>0</v>
      </c>
      <c r="M30" s="244"/>
      <c r="N30" s="244"/>
      <c r="O30" s="244"/>
      <c r="P30" s="244"/>
      <c r="Q30" s="244"/>
      <c r="R30" s="244"/>
      <c r="S30" s="244"/>
      <c r="T30" s="244"/>
      <c r="U30" s="244"/>
      <c r="V30" s="244"/>
      <c r="W30" s="244"/>
      <c r="X30" s="244"/>
      <c r="Y30" s="244"/>
      <c r="Z30" s="244"/>
      <c r="AA30" s="244"/>
      <c r="AB30" s="244"/>
      <c r="AC30" s="244"/>
      <c r="AD30" s="244"/>
      <c r="AE30" s="244"/>
      <c r="AF30" s="244"/>
      <c r="AG30" s="244"/>
      <c r="AH30" s="244"/>
      <c r="AI30" s="244"/>
      <c r="AJ30" s="244"/>
      <c r="AK30" s="244"/>
      <c r="AL30" s="244"/>
      <c r="AM30" s="244"/>
      <c r="AN30" s="244"/>
      <c r="AO30" s="244"/>
      <c r="AP30" s="244"/>
      <c r="AQ30" s="244"/>
      <c r="AR30" s="244"/>
      <c r="AS30" s="244"/>
      <c r="AT30" s="244"/>
      <c r="AU30" s="244"/>
      <c r="AV30" s="161"/>
      <c r="AW30" s="161"/>
      <c r="AX30" s="243">
        <v>0</v>
      </c>
      <c r="AY30" s="161"/>
      <c r="AZ30" s="161"/>
      <c r="BA30" s="243">
        <v>0</v>
      </c>
      <c r="BB30" s="212">
        <f t="shared" si="1"/>
        <v>0</v>
      </c>
      <c r="BC30" s="256"/>
      <c r="BD30" s="162">
        <f t="shared" si="2"/>
        <v>2494.6820422535211</v>
      </c>
      <c r="BE30" s="162">
        <f t="shared" si="3"/>
        <v>0</v>
      </c>
      <c r="BF30" s="243"/>
      <c r="BG30" s="243"/>
      <c r="BH30" s="243"/>
      <c r="BI30" s="257"/>
      <c r="BJ30" s="257"/>
      <c r="BK30" s="243"/>
      <c r="BL30" s="243"/>
      <c r="BM30" s="243"/>
      <c r="BN30" s="243"/>
      <c r="BO30" s="243"/>
      <c r="BP30" s="243"/>
      <c r="BQ30" s="243"/>
      <c r="BR30" s="243"/>
      <c r="BS30" s="243"/>
      <c r="BT30" s="243"/>
      <c r="BU30" s="243"/>
      <c r="BV30" s="243"/>
      <c r="BW30" s="243"/>
      <c r="BX30" s="243"/>
      <c r="BY30" s="243"/>
      <c r="BZ30" s="243"/>
      <c r="CA30" s="243"/>
      <c r="CB30" s="243"/>
      <c r="CC30" s="243"/>
      <c r="CD30" s="243"/>
      <c r="CE30" s="245">
        <v>0</v>
      </c>
      <c r="CF30" s="245">
        <v>0</v>
      </c>
      <c r="CG30" s="245">
        <v>1</v>
      </c>
      <c r="CH30" s="246">
        <v>0</v>
      </c>
      <c r="CI30" s="219">
        <f t="shared" si="4"/>
        <v>0</v>
      </c>
      <c r="CJ30" s="245">
        <v>1</v>
      </c>
      <c r="CK30" s="246">
        <v>0</v>
      </c>
      <c r="CL30" s="163">
        <f t="shared" si="5"/>
        <v>0</v>
      </c>
      <c r="CM30" s="245">
        <v>1</v>
      </c>
      <c r="CN30" s="246">
        <v>0</v>
      </c>
      <c r="CO30" s="163">
        <f t="shared" si="6"/>
        <v>0</v>
      </c>
      <c r="CP30" s="245">
        <v>1</v>
      </c>
      <c r="CQ30" s="246">
        <v>0</v>
      </c>
      <c r="CR30" s="163">
        <f t="shared" si="7"/>
        <v>0</v>
      </c>
      <c r="CS30" s="207">
        <f t="shared" si="8"/>
        <v>0</v>
      </c>
      <c r="CT30" s="258"/>
      <c r="CU30" s="258"/>
      <c r="CV30" s="258"/>
      <c r="CW30" s="258"/>
      <c r="CX30" s="258"/>
      <c r="CY30" s="258"/>
      <c r="CZ30" s="258"/>
      <c r="DA30" s="258"/>
      <c r="DB30" s="258"/>
      <c r="DC30" s="258"/>
    </row>
    <row r="31" spans="2:107">
      <c r="B31" s="205" t="str">
        <f>ANACO!B27</f>
        <v>F7a</v>
      </c>
      <c r="C31" s="204" t="str">
        <f>ANACO!C27</f>
        <v>Serramento finestra in legno doppia anta battente apertura interna fissato solidamente ad un controtelaio in profili di legno adeguatamente trattato e isolato. 
Compreso controtelaio costituito da profili in legno sagomato a L, adeguatamente trattato per evitare formazione di muffe o deformazioni geometriche, ancorato alla struttura principale mediante adeguate zanche annegate nel muro o viti di fissaggio. Vetro: 66.2 COOL-LITE 70-33#2 INDURITI / 20mm (aria-argon 90%) / 55.2 int. RICOTTI
Comprese lamiere di raccordo, memebrane e isolanti.</v>
      </c>
      <c r="D31" s="165">
        <f>ANACO!H27</f>
        <v>2</v>
      </c>
      <c r="E31" s="165"/>
      <c r="F31" s="203">
        <f>ANACO!G27</f>
        <v>1.704</v>
      </c>
      <c r="G31" s="203">
        <f>ANACO!I27</f>
        <v>3.4079999999999999</v>
      </c>
      <c r="H31" s="166">
        <f>ANACO!BS27</f>
        <v>4250.9381999999996</v>
      </c>
      <c r="I31" s="172">
        <f>ANACO!BT27</f>
        <v>8501.8763999999992</v>
      </c>
      <c r="J31" s="161"/>
      <c r="K31" s="161">
        <f t="shared" si="0"/>
        <v>0</v>
      </c>
      <c r="L31" s="244">
        <v>0</v>
      </c>
      <c r="M31" s="244"/>
      <c r="N31" s="244"/>
      <c r="O31" s="244"/>
      <c r="P31" s="244"/>
      <c r="Q31" s="244"/>
      <c r="R31" s="244"/>
      <c r="S31" s="244"/>
      <c r="T31" s="244"/>
      <c r="U31" s="244"/>
      <c r="V31" s="244"/>
      <c r="W31" s="244"/>
      <c r="X31" s="244"/>
      <c r="Y31" s="244"/>
      <c r="Z31" s="244"/>
      <c r="AA31" s="244"/>
      <c r="AB31" s="244"/>
      <c r="AC31" s="244"/>
      <c r="AD31" s="244"/>
      <c r="AE31" s="244"/>
      <c r="AF31" s="244"/>
      <c r="AG31" s="244"/>
      <c r="AH31" s="244"/>
      <c r="AI31" s="244"/>
      <c r="AJ31" s="244"/>
      <c r="AK31" s="244"/>
      <c r="AL31" s="244"/>
      <c r="AM31" s="244"/>
      <c r="AN31" s="244"/>
      <c r="AO31" s="244"/>
      <c r="AP31" s="244"/>
      <c r="AQ31" s="244"/>
      <c r="AR31" s="244"/>
      <c r="AS31" s="244"/>
      <c r="AT31" s="244"/>
      <c r="AU31" s="244"/>
      <c r="AV31" s="161"/>
      <c r="AW31" s="161"/>
      <c r="AX31" s="243">
        <v>0</v>
      </c>
      <c r="AY31" s="161"/>
      <c r="AZ31" s="161"/>
      <c r="BA31" s="243">
        <v>0</v>
      </c>
      <c r="BB31" s="212">
        <f t="shared" si="1"/>
        <v>0</v>
      </c>
      <c r="BC31" s="256"/>
      <c r="BD31" s="162">
        <f t="shared" si="2"/>
        <v>2494.6820422535211</v>
      </c>
      <c r="BE31" s="162">
        <f t="shared" si="3"/>
        <v>0</v>
      </c>
      <c r="BF31" s="243"/>
      <c r="BG31" s="243"/>
      <c r="BH31" s="243"/>
      <c r="BI31" s="257"/>
      <c r="BJ31" s="257"/>
      <c r="BK31" s="243"/>
      <c r="BL31" s="243"/>
      <c r="BM31" s="243"/>
      <c r="BN31" s="243"/>
      <c r="BO31" s="243"/>
      <c r="BP31" s="243"/>
      <c r="BQ31" s="243"/>
      <c r="BR31" s="243"/>
      <c r="BS31" s="243"/>
      <c r="BT31" s="243"/>
      <c r="BU31" s="243"/>
      <c r="BV31" s="243"/>
      <c r="BW31" s="243"/>
      <c r="BX31" s="243"/>
      <c r="BY31" s="243"/>
      <c r="BZ31" s="243"/>
      <c r="CA31" s="243"/>
      <c r="CB31" s="243"/>
      <c r="CC31" s="243"/>
      <c r="CD31" s="243"/>
      <c r="CE31" s="245">
        <v>0</v>
      </c>
      <c r="CF31" s="245">
        <v>0</v>
      </c>
      <c r="CG31" s="245">
        <v>1</v>
      </c>
      <c r="CH31" s="246">
        <v>0</v>
      </c>
      <c r="CI31" s="219">
        <f t="shared" si="4"/>
        <v>0</v>
      </c>
      <c r="CJ31" s="245">
        <v>1</v>
      </c>
      <c r="CK31" s="246">
        <v>0</v>
      </c>
      <c r="CL31" s="163">
        <f t="shared" si="5"/>
        <v>0</v>
      </c>
      <c r="CM31" s="245">
        <v>1</v>
      </c>
      <c r="CN31" s="246">
        <v>0</v>
      </c>
      <c r="CO31" s="163">
        <f t="shared" si="6"/>
        <v>0</v>
      </c>
      <c r="CP31" s="245">
        <v>1</v>
      </c>
      <c r="CQ31" s="246">
        <v>0</v>
      </c>
      <c r="CR31" s="163">
        <f t="shared" si="7"/>
        <v>0</v>
      </c>
      <c r="CS31" s="207">
        <f t="shared" si="8"/>
        <v>0</v>
      </c>
      <c r="CT31" s="258"/>
      <c r="CU31" s="258"/>
      <c r="CV31" s="258"/>
      <c r="CW31" s="258"/>
      <c r="CX31" s="258"/>
      <c r="CY31" s="258"/>
      <c r="CZ31" s="258"/>
      <c r="DA31" s="258"/>
      <c r="DB31" s="258"/>
      <c r="DC31" s="258"/>
    </row>
    <row r="32" spans="2:107">
      <c r="B32" s="205">
        <f>ANACO!B28</f>
        <v>0</v>
      </c>
      <c r="C32" s="204" t="str">
        <f>ANACO!C28</f>
        <v>SERRAMENTI SERIE S</v>
      </c>
      <c r="D32" s="165">
        <f>ANACO!H28</f>
        <v>0</v>
      </c>
      <c r="E32" s="165"/>
      <c r="F32" s="203">
        <f>ANACO!G28</f>
        <v>0</v>
      </c>
      <c r="G32" s="203">
        <f>ANACO!I28</f>
        <v>0</v>
      </c>
      <c r="H32" s="166">
        <f>ANACO!BS28</f>
        <v>81.72</v>
      </c>
      <c r="I32" s="172">
        <f>ANACO!BT28</f>
        <v>0</v>
      </c>
      <c r="J32" s="161"/>
      <c r="K32" s="161">
        <f t="shared" si="0"/>
        <v>0</v>
      </c>
      <c r="L32" s="244">
        <v>0</v>
      </c>
      <c r="M32" s="244"/>
      <c r="N32" s="244"/>
      <c r="O32" s="244"/>
      <c r="P32" s="244"/>
      <c r="Q32" s="244"/>
      <c r="R32" s="244"/>
      <c r="S32" s="244"/>
      <c r="T32" s="244"/>
      <c r="U32" s="244"/>
      <c r="V32" s="244"/>
      <c r="W32" s="244"/>
      <c r="X32" s="244"/>
      <c r="Y32" s="244"/>
      <c r="Z32" s="244"/>
      <c r="AA32" s="244"/>
      <c r="AB32" s="244"/>
      <c r="AC32" s="244"/>
      <c r="AD32" s="244"/>
      <c r="AE32" s="244"/>
      <c r="AF32" s="244"/>
      <c r="AG32" s="244"/>
      <c r="AH32" s="244"/>
      <c r="AI32" s="244"/>
      <c r="AJ32" s="244"/>
      <c r="AK32" s="244"/>
      <c r="AL32" s="244"/>
      <c r="AM32" s="244"/>
      <c r="AN32" s="244"/>
      <c r="AO32" s="244"/>
      <c r="AP32" s="244"/>
      <c r="AQ32" s="244"/>
      <c r="AR32" s="244"/>
      <c r="AS32" s="244"/>
      <c r="AT32" s="244"/>
      <c r="AU32" s="244"/>
      <c r="AV32" s="161"/>
      <c r="AW32" s="161"/>
      <c r="AX32" s="243">
        <v>0</v>
      </c>
      <c r="AY32" s="161"/>
      <c r="AZ32" s="161"/>
      <c r="BA32" s="243">
        <v>0</v>
      </c>
      <c r="BB32" s="212">
        <f t="shared" si="1"/>
        <v>0</v>
      </c>
      <c r="BC32" s="256"/>
      <c r="BD32" s="162" t="e">
        <f t="shared" si="2"/>
        <v>#DIV/0!</v>
      </c>
      <c r="BE32" s="162" t="e">
        <f t="shared" si="3"/>
        <v>#DIV/0!</v>
      </c>
      <c r="BF32" s="243"/>
      <c r="BG32" s="243"/>
      <c r="BH32" s="243"/>
      <c r="BI32" s="257"/>
      <c r="BJ32" s="257"/>
      <c r="BK32" s="243"/>
      <c r="BL32" s="243"/>
      <c r="BM32" s="243"/>
      <c r="BN32" s="243"/>
      <c r="BO32" s="243"/>
      <c r="BP32" s="243"/>
      <c r="BQ32" s="243"/>
      <c r="BR32" s="243"/>
      <c r="BS32" s="243"/>
      <c r="BT32" s="243"/>
      <c r="BU32" s="243"/>
      <c r="BV32" s="243"/>
      <c r="BW32" s="243"/>
      <c r="BX32" s="243"/>
      <c r="BY32" s="243"/>
      <c r="BZ32" s="243"/>
      <c r="CA32" s="243"/>
      <c r="CB32" s="243"/>
      <c r="CC32" s="243"/>
      <c r="CD32" s="243"/>
      <c r="CE32" s="245">
        <v>0</v>
      </c>
      <c r="CF32" s="245">
        <v>0</v>
      </c>
      <c r="CG32" s="245">
        <v>1</v>
      </c>
      <c r="CH32" s="246">
        <v>0</v>
      </c>
      <c r="CI32" s="219" t="e">
        <f t="shared" si="4"/>
        <v>#DIV/0!</v>
      </c>
      <c r="CJ32" s="245">
        <v>1</v>
      </c>
      <c r="CK32" s="246">
        <v>0</v>
      </c>
      <c r="CL32" s="163" t="e">
        <f t="shared" si="5"/>
        <v>#DIV/0!</v>
      </c>
      <c r="CM32" s="245">
        <v>1</v>
      </c>
      <c r="CN32" s="246">
        <v>0</v>
      </c>
      <c r="CO32" s="163" t="e">
        <f t="shared" si="6"/>
        <v>#DIV/0!</v>
      </c>
      <c r="CP32" s="245">
        <v>1</v>
      </c>
      <c r="CQ32" s="246">
        <v>0</v>
      </c>
      <c r="CR32" s="163" t="e">
        <f t="shared" si="7"/>
        <v>#DIV/0!</v>
      </c>
      <c r="CS32" s="207" t="e">
        <f t="shared" si="8"/>
        <v>#DIV/0!</v>
      </c>
      <c r="CT32" s="258"/>
      <c r="CU32" s="258"/>
      <c r="CV32" s="258"/>
      <c r="CW32" s="258"/>
      <c r="CX32" s="258"/>
      <c r="CY32" s="258"/>
      <c r="CZ32" s="258"/>
      <c r="DA32" s="258"/>
      <c r="DB32" s="258"/>
      <c r="DC32" s="258"/>
    </row>
    <row r="33" spans="1:173">
      <c r="B33" s="205" t="str">
        <f>ANACO!B29</f>
        <v>S1a</v>
      </c>
      <c r="C33" s="204" t="str">
        <f>ANACO!C29</f>
        <v>Serramento in acciaio con volta circolare fissa specchiatura inferiore con porta a doppio battente apertura esterna, sopraluce rettangolare fisso e apribile vasistas di ventilazione ad apertura meccanizzata. 
Controtelaio composto da tubi rettangolari ancorato alla struttura principale mediante adeguate zanche annegate nel muro o viti di fissaggio, il telaio deve essere correttamente isolato e zincato per proteggerlo dalla corrosione. 
Vetro: 66.2 COOL-LITE 70-33#2 INDURITI / 20mm (aria-argon 90%) / 55.2 int. INDURITI
Comprese lamiere di raccordo, memebrane e isolanti.</v>
      </c>
      <c r="D33" s="165">
        <f>ANACO!H29</f>
        <v>1</v>
      </c>
      <c r="E33" s="165"/>
      <c r="F33" s="203">
        <f>ANACO!G29</f>
        <v>17.7</v>
      </c>
      <c r="G33" s="203">
        <f>ANACO!I29</f>
        <v>17.7</v>
      </c>
      <c r="H33" s="166">
        <f>ANACO!BS29</f>
        <v>31940.779560000003</v>
      </c>
      <c r="I33" s="172">
        <f>ANACO!BT29</f>
        <v>31940.779560000003</v>
      </c>
      <c r="J33" s="161"/>
      <c r="K33" s="161">
        <f t="shared" si="0"/>
        <v>0</v>
      </c>
      <c r="L33" s="244">
        <v>0</v>
      </c>
      <c r="M33" s="244"/>
      <c r="N33" s="244"/>
      <c r="O33" s="244"/>
      <c r="P33" s="244"/>
      <c r="Q33" s="244"/>
      <c r="R33" s="244"/>
      <c r="S33" s="244"/>
      <c r="T33" s="244"/>
      <c r="U33" s="244"/>
      <c r="V33" s="244"/>
      <c r="W33" s="244"/>
      <c r="X33" s="244"/>
      <c r="Y33" s="244"/>
      <c r="Z33" s="244"/>
      <c r="AA33" s="244"/>
      <c r="AB33" s="244"/>
      <c r="AC33" s="244"/>
      <c r="AD33" s="244"/>
      <c r="AE33" s="244"/>
      <c r="AF33" s="244"/>
      <c r="AG33" s="244"/>
      <c r="AH33" s="244"/>
      <c r="AI33" s="244"/>
      <c r="AJ33" s="244"/>
      <c r="AK33" s="244"/>
      <c r="AL33" s="244"/>
      <c r="AM33" s="244"/>
      <c r="AN33" s="244"/>
      <c r="AO33" s="244"/>
      <c r="AP33" s="244"/>
      <c r="AQ33" s="244"/>
      <c r="AR33" s="244"/>
      <c r="AS33" s="244"/>
      <c r="AT33" s="244"/>
      <c r="AU33" s="244"/>
      <c r="AV33" s="161"/>
      <c r="AW33" s="161"/>
      <c r="AX33" s="243">
        <v>0</v>
      </c>
      <c r="AY33" s="161"/>
      <c r="AZ33" s="161"/>
      <c r="BA33" s="243">
        <v>0</v>
      </c>
      <c r="BB33" s="212">
        <f t="shared" si="1"/>
        <v>0</v>
      </c>
      <c r="BC33" s="256"/>
      <c r="BD33" s="162">
        <f t="shared" si="2"/>
        <v>1804.5638169491529</v>
      </c>
      <c r="BE33" s="162">
        <f t="shared" si="3"/>
        <v>0</v>
      </c>
      <c r="BF33" s="243"/>
      <c r="BG33" s="243"/>
      <c r="BH33" s="243"/>
      <c r="BI33" s="257"/>
      <c r="BJ33" s="257"/>
      <c r="BK33" s="243"/>
      <c r="BL33" s="243"/>
      <c r="BM33" s="243"/>
      <c r="BN33" s="243"/>
      <c r="BO33" s="243"/>
      <c r="BP33" s="243"/>
      <c r="BQ33" s="243"/>
      <c r="BR33" s="243"/>
      <c r="BS33" s="243"/>
      <c r="BT33" s="243"/>
      <c r="BU33" s="243"/>
      <c r="BV33" s="243"/>
      <c r="BW33" s="243"/>
      <c r="BX33" s="243"/>
      <c r="BY33" s="243"/>
      <c r="BZ33" s="243"/>
      <c r="CA33" s="243"/>
      <c r="CB33" s="243"/>
      <c r="CC33" s="243"/>
      <c r="CD33" s="243"/>
      <c r="CE33" s="245">
        <v>0</v>
      </c>
      <c r="CF33" s="245">
        <v>0</v>
      </c>
      <c r="CG33" s="245">
        <v>1</v>
      </c>
      <c r="CH33" s="246">
        <v>0</v>
      </c>
      <c r="CI33" s="219">
        <f t="shared" si="4"/>
        <v>0</v>
      </c>
      <c r="CJ33" s="245">
        <v>1</v>
      </c>
      <c r="CK33" s="246">
        <v>0</v>
      </c>
      <c r="CL33" s="163">
        <f t="shared" si="5"/>
        <v>0</v>
      </c>
      <c r="CM33" s="245">
        <v>1</v>
      </c>
      <c r="CN33" s="246">
        <v>0</v>
      </c>
      <c r="CO33" s="163">
        <f t="shared" si="6"/>
        <v>0</v>
      </c>
      <c r="CP33" s="245">
        <v>1</v>
      </c>
      <c r="CQ33" s="246">
        <v>0</v>
      </c>
      <c r="CR33" s="163">
        <f t="shared" si="7"/>
        <v>0</v>
      </c>
      <c r="CS33" s="207">
        <f t="shared" si="8"/>
        <v>0</v>
      </c>
      <c r="CT33" s="258"/>
      <c r="CU33" s="258"/>
      <c r="CV33" s="258"/>
      <c r="CW33" s="258"/>
      <c r="CX33" s="258"/>
      <c r="CY33" s="258"/>
      <c r="CZ33" s="258"/>
      <c r="DA33" s="258"/>
      <c r="DB33" s="258"/>
      <c r="DC33" s="258"/>
    </row>
    <row r="34" spans="1:173">
      <c r="B34" s="205" t="str">
        <f>ANACO!B30</f>
        <v>S1b</v>
      </c>
      <c r="C34" s="204" t="str">
        <f>ANACO!C30</f>
        <v>Serramento in acciaio con volta circolare fissa specchiatura inferiore con porta a doppio battente apertura esterna, sopraluci rettangolari fissi.
Controtelaio composto da tubi rettangolari ancorato alla struttura principale mediante adeguate zanche annegate nel muro o viti di fissaggio, il telaio deve essere correttamente isolato e zincato per proteggerlo dalla corrosione. 
Vetro: 66.2 COOL-LITE 70-33#2 INDURITI / 20mm (aria-argon 90%) / 55.2 int. INDURITI
Comprese lamiere di raccordo, memebrane e isolanti.</v>
      </c>
      <c r="D34" s="165">
        <f>ANACO!H30</f>
        <v>2</v>
      </c>
      <c r="E34" s="165"/>
      <c r="F34" s="203">
        <f>ANACO!G30</f>
        <v>17.7</v>
      </c>
      <c r="G34" s="203">
        <f>ANACO!I30</f>
        <v>35.4</v>
      </c>
      <c r="H34" s="166">
        <f>ANACO!BS30</f>
        <v>31940.779560000003</v>
      </c>
      <c r="I34" s="172">
        <f>ANACO!BT30</f>
        <v>63881.559120000005</v>
      </c>
      <c r="J34" s="161"/>
      <c r="K34" s="161">
        <f t="shared" si="0"/>
        <v>0</v>
      </c>
      <c r="L34" s="244">
        <v>0</v>
      </c>
      <c r="M34" s="244"/>
      <c r="N34" s="244"/>
      <c r="O34" s="244"/>
      <c r="P34" s="244"/>
      <c r="Q34" s="244"/>
      <c r="R34" s="244"/>
      <c r="S34" s="244"/>
      <c r="T34" s="244"/>
      <c r="U34" s="244"/>
      <c r="V34" s="244"/>
      <c r="W34" s="244"/>
      <c r="X34" s="244"/>
      <c r="Y34" s="244"/>
      <c r="Z34" s="244"/>
      <c r="AA34" s="244"/>
      <c r="AB34" s="244"/>
      <c r="AC34" s="244"/>
      <c r="AD34" s="244"/>
      <c r="AE34" s="244"/>
      <c r="AF34" s="244"/>
      <c r="AG34" s="244"/>
      <c r="AH34" s="244"/>
      <c r="AI34" s="244"/>
      <c r="AJ34" s="244"/>
      <c r="AK34" s="244"/>
      <c r="AL34" s="244"/>
      <c r="AM34" s="244"/>
      <c r="AN34" s="244"/>
      <c r="AO34" s="244"/>
      <c r="AP34" s="244"/>
      <c r="AQ34" s="244"/>
      <c r="AR34" s="244"/>
      <c r="AS34" s="244"/>
      <c r="AT34" s="244"/>
      <c r="AU34" s="244"/>
      <c r="AV34" s="161"/>
      <c r="AW34" s="161"/>
      <c r="AX34" s="243">
        <v>0</v>
      </c>
      <c r="AY34" s="161"/>
      <c r="AZ34" s="161"/>
      <c r="BA34" s="243">
        <v>0</v>
      </c>
      <c r="BB34" s="212">
        <f t="shared" si="1"/>
        <v>0</v>
      </c>
      <c r="BC34" s="256"/>
      <c r="BD34" s="162">
        <f t="shared" si="2"/>
        <v>1804.5638169491529</v>
      </c>
      <c r="BE34" s="162">
        <f t="shared" si="3"/>
        <v>0</v>
      </c>
      <c r="BF34" s="243"/>
      <c r="BG34" s="243"/>
      <c r="BH34" s="243"/>
      <c r="BI34" s="257"/>
      <c r="BJ34" s="257"/>
      <c r="BK34" s="243"/>
      <c r="BL34" s="243"/>
      <c r="BM34" s="243"/>
      <c r="BN34" s="243"/>
      <c r="BO34" s="243"/>
      <c r="BP34" s="243"/>
      <c r="BQ34" s="243"/>
      <c r="BR34" s="243"/>
      <c r="BS34" s="243"/>
      <c r="BT34" s="243"/>
      <c r="BU34" s="243"/>
      <c r="BV34" s="243"/>
      <c r="BW34" s="243"/>
      <c r="BX34" s="243"/>
      <c r="BY34" s="243"/>
      <c r="BZ34" s="243"/>
      <c r="CA34" s="243"/>
      <c r="CB34" s="243"/>
      <c r="CC34" s="243"/>
      <c r="CD34" s="243"/>
      <c r="CE34" s="245">
        <v>0</v>
      </c>
      <c r="CF34" s="245">
        <v>0</v>
      </c>
      <c r="CG34" s="245">
        <v>1</v>
      </c>
      <c r="CH34" s="246">
        <v>0</v>
      </c>
      <c r="CI34" s="219">
        <f t="shared" si="4"/>
        <v>0</v>
      </c>
      <c r="CJ34" s="245">
        <v>1</v>
      </c>
      <c r="CK34" s="246">
        <v>0</v>
      </c>
      <c r="CL34" s="163">
        <f t="shared" si="5"/>
        <v>0</v>
      </c>
      <c r="CM34" s="245">
        <v>1</v>
      </c>
      <c r="CN34" s="246">
        <v>0</v>
      </c>
      <c r="CO34" s="163">
        <f t="shared" si="6"/>
        <v>0</v>
      </c>
      <c r="CP34" s="245">
        <v>1</v>
      </c>
      <c r="CQ34" s="246">
        <v>0</v>
      </c>
      <c r="CR34" s="163">
        <f t="shared" si="7"/>
        <v>0</v>
      </c>
      <c r="CS34" s="207">
        <f t="shared" si="8"/>
        <v>0</v>
      </c>
      <c r="CT34" s="258"/>
      <c r="CU34" s="258"/>
      <c r="CV34" s="258"/>
      <c r="CW34" s="258"/>
      <c r="CX34" s="258"/>
      <c r="CY34" s="258"/>
      <c r="CZ34" s="258"/>
      <c r="DA34" s="258"/>
      <c r="DB34" s="258"/>
      <c r="DC34" s="258"/>
    </row>
    <row r="35" spans="1:173">
      <c r="B35" s="205" t="str">
        <f>ANACO!B31</f>
        <v>S1c</v>
      </c>
      <c r="C35" s="204" t="str">
        <f>ANACO!C31</f>
        <v>Serramento in acciaio con volta circolare fissa specchiatura inferiore con porta US a doppio battente apertura esterna con pushbar, sopraluci rettangolari fissi.
Controtelaio composto da tubi rettangolari ancorato alla struttura principale mediante adeguate zanche annegate nel muro o viti di fissaggio, il telaio deve essere correttamente isolato e zincato per proteggerlo dalla corrosione. 
Vetro: 66.2 COOL-LITE 70-33#2 INDURITI / 20mm (aria-argon 90%) / 55.2 int. INDURITI
Comprese lamiere di raccordo, memebrane e isolanti.</v>
      </c>
      <c r="D35" s="165">
        <f>ANACO!H31</f>
        <v>1</v>
      </c>
      <c r="E35" s="165"/>
      <c r="F35" s="203">
        <f>ANACO!G31</f>
        <v>17.7</v>
      </c>
      <c r="G35" s="203">
        <f>ANACO!I31</f>
        <v>17.7</v>
      </c>
      <c r="H35" s="166">
        <f>ANACO!BS31</f>
        <v>31940.779560000003</v>
      </c>
      <c r="I35" s="172">
        <f>ANACO!BT31</f>
        <v>31940.779560000003</v>
      </c>
      <c r="J35" s="161"/>
      <c r="K35" s="161">
        <f t="shared" si="0"/>
        <v>0</v>
      </c>
      <c r="L35" s="244">
        <v>0</v>
      </c>
      <c r="M35" s="244"/>
      <c r="N35" s="244"/>
      <c r="O35" s="244"/>
      <c r="P35" s="244"/>
      <c r="Q35" s="244"/>
      <c r="R35" s="244"/>
      <c r="S35" s="244"/>
      <c r="T35" s="244"/>
      <c r="U35" s="244"/>
      <c r="V35" s="244"/>
      <c r="W35" s="244"/>
      <c r="X35" s="244"/>
      <c r="Y35" s="244"/>
      <c r="Z35" s="244"/>
      <c r="AA35" s="244"/>
      <c r="AB35" s="244"/>
      <c r="AC35" s="244"/>
      <c r="AD35" s="244"/>
      <c r="AE35" s="244"/>
      <c r="AF35" s="244"/>
      <c r="AG35" s="244"/>
      <c r="AH35" s="244"/>
      <c r="AI35" s="244"/>
      <c r="AJ35" s="244"/>
      <c r="AK35" s="244"/>
      <c r="AL35" s="244"/>
      <c r="AM35" s="244"/>
      <c r="AN35" s="244"/>
      <c r="AO35" s="244"/>
      <c r="AP35" s="244"/>
      <c r="AQ35" s="244"/>
      <c r="AR35" s="244"/>
      <c r="AS35" s="244"/>
      <c r="AT35" s="244"/>
      <c r="AU35" s="244"/>
      <c r="AV35" s="161"/>
      <c r="AW35" s="161"/>
      <c r="AX35" s="243">
        <v>0</v>
      </c>
      <c r="AY35" s="161"/>
      <c r="AZ35" s="161"/>
      <c r="BA35" s="243">
        <v>0</v>
      </c>
      <c r="BB35" s="212">
        <f t="shared" si="1"/>
        <v>0</v>
      </c>
      <c r="BC35" s="256"/>
      <c r="BD35" s="162">
        <f t="shared" si="2"/>
        <v>1804.5638169491529</v>
      </c>
      <c r="BE35" s="162">
        <f t="shared" si="3"/>
        <v>0</v>
      </c>
      <c r="BF35" s="243"/>
      <c r="BG35" s="243"/>
      <c r="BH35" s="243"/>
      <c r="BI35" s="257"/>
      <c r="BJ35" s="257"/>
      <c r="BK35" s="243"/>
      <c r="BL35" s="243"/>
      <c r="BM35" s="243"/>
      <c r="BN35" s="243"/>
      <c r="BO35" s="243"/>
      <c r="BP35" s="243"/>
      <c r="BQ35" s="243"/>
      <c r="BR35" s="243"/>
      <c r="BS35" s="243"/>
      <c r="BT35" s="243"/>
      <c r="BU35" s="243"/>
      <c r="BV35" s="243"/>
      <c r="BW35" s="243"/>
      <c r="BX35" s="243"/>
      <c r="BY35" s="243"/>
      <c r="BZ35" s="243"/>
      <c r="CA35" s="243"/>
      <c r="CB35" s="243"/>
      <c r="CC35" s="243"/>
      <c r="CD35" s="243"/>
      <c r="CE35" s="245">
        <v>0</v>
      </c>
      <c r="CF35" s="245">
        <v>0</v>
      </c>
      <c r="CG35" s="245">
        <v>1</v>
      </c>
      <c r="CH35" s="246">
        <v>0</v>
      </c>
      <c r="CI35" s="219">
        <f t="shared" si="4"/>
        <v>0</v>
      </c>
      <c r="CJ35" s="245">
        <v>1</v>
      </c>
      <c r="CK35" s="246">
        <v>0</v>
      </c>
      <c r="CL35" s="163">
        <f t="shared" si="5"/>
        <v>0</v>
      </c>
      <c r="CM35" s="245">
        <v>1</v>
      </c>
      <c r="CN35" s="246">
        <v>0</v>
      </c>
      <c r="CO35" s="163">
        <f t="shared" si="6"/>
        <v>0</v>
      </c>
      <c r="CP35" s="245">
        <v>1</v>
      </c>
      <c r="CQ35" s="246">
        <v>0</v>
      </c>
      <c r="CR35" s="163">
        <f t="shared" si="7"/>
        <v>0</v>
      </c>
      <c r="CS35" s="207">
        <f t="shared" si="8"/>
        <v>0</v>
      </c>
      <c r="CT35" s="258"/>
      <c r="CU35" s="258"/>
      <c r="CV35" s="258"/>
      <c r="CW35" s="258"/>
      <c r="CX35" s="258"/>
      <c r="CY35" s="258"/>
      <c r="CZ35" s="258"/>
      <c r="DA35" s="258"/>
      <c r="DB35" s="258"/>
      <c r="DC35" s="258"/>
    </row>
    <row r="36" spans="1:173">
      <c r="B36" s="205" t="str">
        <f>ANACO!B32</f>
        <v>S2a</v>
      </c>
      <c r="C36" s="204" t="str">
        <f>ANACO!C32</f>
        <v>Serramento in acciaio con volta circolare fissa specchiatura inferiore con vetri fissi, sopraluce rettangolare fisso e apribile vasistas di ventilazione apertura meccanizzata.
Controtelaio composto da tubi rettangolari ancorato alla struttura principale mediante adeguate zanche annegate nel muro o viti di fissaggio, il telaio deve essere correttamente isolato e zincato per proteggerlo dalla corrosione. 
Vetro: 66.2 COOL-LITE 70-33#2 INDURITI / 20mm (aria-argon 90%) / 55.2 int. INDURITI
Comprese lamiere di raccordo, memebrane e isolanti.</v>
      </c>
      <c r="D36" s="165">
        <f>ANACO!H32</f>
        <v>3</v>
      </c>
      <c r="E36" s="165"/>
      <c r="F36" s="203">
        <f>ANACO!G32</f>
        <v>17.7</v>
      </c>
      <c r="G36" s="203">
        <f>ANACO!I32</f>
        <v>53.099999999999994</v>
      </c>
      <c r="H36" s="166">
        <f>ANACO!BS32</f>
        <v>31239.349560000002</v>
      </c>
      <c r="I36" s="172">
        <f>ANACO!BT32</f>
        <v>93718.048680000036</v>
      </c>
      <c r="J36" s="161"/>
      <c r="K36" s="161">
        <f t="shared" si="0"/>
        <v>0</v>
      </c>
      <c r="L36" s="244">
        <v>0</v>
      </c>
      <c r="M36" s="244"/>
      <c r="N36" s="244"/>
      <c r="O36" s="244"/>
      <c r="P36" s="244"/>
      <c r="Q36" s="244"/>
      <c r="R36" s="244"/>
      <c r="S36" s="244"/>
      <c r="T36" s="244"/>
      <c r="U36" s="244"/>
      <c r="V36" s="244"/>
      <c r="W36" s="244"/>
      <c r="X36" s="244"/>
      <c r="Y36" s="244"/>
      <c r="Z36" s="244"/>
      <c r="AA36" s="244"/>
      <c r="AB36" s="244"/>
      <c r="AC36" s="244"/>
      <c r="AD36" s="244"/>
      <c r="AE36" s="244"/>
      <c r="AF36" s="244"/>
      <c r="AG36" s="244"/>
      <c r="AH36" s="244"/>
      <c r="AI36" s="244"/>
      <c r="AJ36" s="244"/>
      <c r="AK36" s="244"/>
      <c r="AL36" s="244"/>
      <c r="AM36" s="244"/>
      <c r="AN36" s="244"/>
      <c r="AO36" s="244"/>
      <c r="AP36" s="244"/>
      <c r="AQ36" s="244"/>
      <c r="AR36" s="244"/>
      <c r="AS36" s="244"/>
      <c r="AT36" s="244"/>
      <c r="AU36" s="244"/>
      <c r="AV36" s="161"/>
      <c r="AW36" s="161"/>
      <c r="AX36" s="243">
        <v>0</v>
      </c>
      <c r="AY36" s="161"/>
      <c r="AZ36" s="161"/>
      <c r="BA36" s="243">
        <v>0</v>
      </c>
      <c r="BB36" s="212">
        <f t="shared" si="1"/>
        <v>0</v>
      </c>
      <c r="BC36" s="256"/>
      <c r="BD36" s="162">
        <f t="shared" si="2"/>
        <v>1764.9350033898306</v>
      </c>
      <c r="BE36" s="162">
        <f t="shared" si="3"/>
        <v>0</v>
      </c>
      <c r="BF36" s="243"/>
      <c r="BG36" s="243"/>
      <c r="BH36" s="243"/>
      <c r="BI36" s="257"/>
      <c r="BJ36" s="257"/>
      <c r="BK36" s="243"/>
      <c r="BL36" s="243"/>
      <c r="BM36" s="243"/>
      <c r="BN36" s="243"/>
      <c r="BO36" s="243"/>
      <c r="BP36" s="243"/>
      <c r="BQ36" s="243"/>
      <c r="BR36" s="243"/>
      <c r="BS36" s="243"/>
      <c r="BT36" s="243"/>
      <c r="BU36" s="243"/>
      <c r="BV36" s="243"/>
      <c r="BW36" s="243"/>
      <c r="BX36" s="243"/>
      <c r="BY36" s="243"/>
      <c r="BZ36" s="243"/>
      <c r="CA36" s="243"/>
      <c r="CB36" s="243"/>
      <c r="CC36" s="243"/>
      <c r="CD36" s="243"/>
      <c r="CE36" s="245">
        <v>0</v>
      </c>
      <c r="CF36" s="245">
        <v>0</v>
      </c>
      <c r="CG36" s="245">
        <v>1</v>
      </c>
      <c r="CH36" s="246">
        <v>0</v>
      </c>
      <c r="CI36" s="219">
        <f t="shared" si="4"/>
        <v>0</v>
      </c>
      <c r="CJ36" s="245">
        <v>1</v>
      </c>
      <c r="CK36" s="246">
        <v>0</v>
      </c>
      <c r="CL36" s="163">
        <f t="shared" si="5"/>
        <v>0</v>
      </c>
      <c r="CM36" s="245">
        <v>1</v>
      </c>
      <c r="CN36" s="246">
        <v>0</v>
      </c>
      <c r="CO36" s="163">
        <f t="shared" si="6"/>
        <v>0</v>
      </c>
      <c r="CP36" s="245">
        <v>1</v>
      </c>
      <c r="CQ36" s="246">
        <v>0</v>
      </c>
      <c r="CR36" s="163">
        <f t="shared" si="7"/>
        <v>0</v>
      </c>
      <c r="CS36" s="207">
        <f t="shared" si="8"/>
        <v>0</v>
      </c>
      <c r="CT36" s="258"/>
      <c r="CU36" s="258"/>
      <c r="CV36" s="258"/>
      <c r="CW36" s="258"/>
      <c r="CX36" s="258"/>
      <c r="CY36" s="258"/>
      <c r="CZ36" s="258"/>
      <c r="DA36" s="258"/>
      <c r="DB36" s="258"/>
      <c r="DC36" s="258"/>
    </row>
    <row r="37" spans="1:173">
      <c r="B37" s="205" t="str">
        <f>ANACO!B33</f>
        <v>S2b</v>
      </c>
      <c r="C37" s="204" t="str">
        <f>ANACO!C33</f>
        <v>Serramento in acciaio con volta circolare fissa specchiatura inferiore con vetri fissi, sopraluce rettangolari fissi.
Controtelaio composto da tubi rettangolari ancorato alla struttura principale mediante adeguate zanche annegate nel muro o viti di fissaggio, il telaio deve essere correttamente isolato e zincato per proteggerlo dalla corrosione. 
Vetro: 66.2 COOL-LITE 70-33#2 INDURITI / 20mm (aria-argon 90%) / 55.2 int. INDURITI
Comprese lamiere di raccordo, memebrane e isolanti.</v>
      </c>
      <c r="D37" s="165">
        <f>ANACO!H33</f>
        <v>4</v>
      </c>
      <c r="E37" s="165"/>
      <c r="F37" s="203">
        <f>ANACO!G33</f>
        <v>17.7</v>
      </c>
      <c r="G37" s="203">
        <f>ANACO!I33</f>
        <v>70.8</v>
      </c>
      <c r="H37" s="166">
        <f>ANACO!BS33</f>
        <v>31239.349560000002</v>
      </c>
      <c r="I37" s="172">
        <f>ANACO!BT33</f>
        <v>124957.39824000001</v>
      </c>
      <c r="J37" s="161"/>
      <c r="K37" s="161">
        <f t="shared" si="0"/>
        <v>0</v>
      </c>
      <c r="L37" s="244">
        <v>0</v>
      </c>
      <c r="M37" s="244"/>
      <c r="N37" s="244"/>
      <c r="O37" s="244"/>
      <c r="P37" s="244"/>
      <c r="Q37" s="244"/>
      <c r="R37" s="244"/>
      <c r="S37" s="244"/>
      <c r="T37" s="244"/>
      <c r="U37" s="244"/>
      <c r="V37" s="244"/>
      <c r="W37" s="244"/>
      <c r="X37" s="244"/>
      <c r="Y37" s="244"/>
      <c r="Z37" s="244"/>
      <c r="AA37" s="244"/>
      <c r="AB37" s="244"/>
      <c r="AC37" s="244"/>
      <c r="AD37" s="244"/>
      <c r="AE37" s="244"/>
      <c r="AF37" s="244"/>
      <c r="AG37" s="244"/>
      <c r="AH37" s="244"/>
      <c r="AI37" s="244"/>
      <c r="AJ37" s="244"/>
      <c r="AK37" s="244"/>
      <c r="AL37" s="244"/>
      <c r="AM37" s="244"/>
      <c r="AN37" s="244"/>
      <c r="AO37" s="244"/>
      <c r="AP37" s="244"/>
      <c r="AQ37" s="244"/>
      <c r="AR37" s="244"/>
      <c r="AS37" s="244"/>
      <c r="AT37" s="244"/>
      <c r="AU37" s="244"/>
      <c r="AV37" s="161"/>
      <c r="AW37" s="161"/>
      <c r="AX37" s="243">
        <v>0</v>
      </c>
      <c r="AY37" s="161"/>
      <c r="AZ37" s="161"/>
      <c r="BA37" s="243">
        <v>0</v>
      </c>
      <c r="BB37" s="212">
        <f t="shared" si="1"/>
        <v>0</v>
      </c>
      <c r="BC37" s="256"/>
      <c r="BD37" s="162">
        <f t="shared" si="2"/>
        <v>1764.9350033898306</v>
      </c>
      <c r="BE37" s="162">
        <f t="shared" si="3"/>
        <v>0</v>
      </c>
      <c r="BF37" s="243"/>
      <c r="BG37" s="243"/>
      <c r="BH37" s="243"/>
      <c r="BI37" s="257"/>
      <c r="BJ37" s="257"/>
      <c r="BK37" s="243"/>
      <c r="BL37" s="243"/>
      <c r="BM37" s="243"/>
      <c r="BN37" s="243"/>
      <c r="BO37" s="243"/>
      <c r="BP37" s="243"/>
      <c r="BQ37" s="243"/>
      <c r="BR37" s="243"/>
      <c r="BS37" s="243"/>
      <c r="BT37" s="243"/>
      <c r="BU37" s="243"/>
      <c r="BV37" s="243"/>
      <c r="BW37" s="243"/>
      <c r="BX37" s="243"/>
      <c r="BY37" s="243"/>
      <c r="BZ37" s="243"/>
      <c r="CA37" s="243"/>
      <c r="CB37" s="243"/>
      <c r="CC37" s="243"/>
      <c r="CD37" s="243"/>
      <c r="CE37" s="245">
        <v>0</v>
      </c>
      <c r="CF37" s="245">
        <v>0</v>
      </c>
      <c r="CG37" s="245">
        <v>1</v>
      </c>
      <c r="CH37" s="246">
        <v>0</v>
      </c>
      <c r="CI37" s="219">
        <f t="shared" si="4"/>
        <v>0</v>
      </c>
      <c r="CJ37" s="245">
        <v>1</v>
      </c>
      <c r="CK37" s="246">
        <v>0</v>
      </c>
      <c r="CL37" s="163">
        <f t="shared" si="5"/>
        <v>0</v>
      </c>
      <c r="CM37" s="245">
        <v>1</v>
      </c>
      <c r="CN37" s="246">
        <v>0</v>
      </c>
      <c r="CO37" s="163">
        <f t="shared" si="6"/>
        <v>0</v>
      </c>
      <c r="CP37" s="245">
        <v>1</v>
      </c>
      <c r="CQ37" s="246">
        <v>0</v>
      </c>
      <c r="CR37" s="163">
        <f t="shared" si="7"/>
        <v>0</v>
      </c>
      <c r="CS37" s="207">
        <f t="shared" si="8"/>
        <v>0</v>
      </c>
      <c r="CT37" s="258"/>
      <c r="CU37" s="258"/>
      <c r="CV37" s="258"/>
      <c r="CW37" s="258"/>
      <c r="CX37" s="258"/>
      <c r="CY37" s="258"/>
      <c r="CZ37" s="258"/>
      <c r="DA37" s="258"/>
      <c r="DB37" s="258"/>
      <c r="DC37" s="258"/>
    </row>
    <row r="38" spans="1:173">
      <c r="B38" s="205" t="str">
        <f>ANACO!B34</f>
        <v>S2c</v>
      </c>
      <c r="C38" s="204" t="str">
        <f>ANACO!C34</f>
        <v>Serramento in acciaio con volta circolare fissa specchiatura inferiore con vetri fissi, sopraluce rettangolare fisso e apribile vasistas di ventilazione apertura meccanizzata.
Controtelaio composto da tubi rettangolari ancorato alla struttura principale mediante adeguate zanche annegate nel muro o viti di fissaggio, il telaio deve essere correttamente isolato e zincato per proteggerlo dalla corrosione. 
Vetro: 66.2 COOL-LITE 70-33#2 INDURITI / 20mm (aria-argon 90%) / 55.2 int. INDURITI
Comprese lamiere di raccordo, memebrane e isolanti.</v>
      </c>
      <c r="D38" s="165">
        <f>ANACO!H34</f>
        <v>1</v>
      </c>
      <c r="E38" s="165"/>
      <c r="F38" s="203">
        <f>ANACO!G34</f>
        <v>17.7</v>
      </c>
      <c r="G38" s="203">
        <f>ANACO!I34</f>
        <v>17.7</v>
      </c>
      <c r="H38" s="166">
        <f>ANACO!BS34</f>
        <v>31239.349560000002</v>
      </c>
      <c r="I38" s="172">
        <f>ANACO!BT34</f>
        <v>31239.349560000002</v>
      </c>
      <c r="J38" s="161"/>
      <c r="K38" s="161">
        <f t="shared" si="0"/>
        <v>0</v>
      </c>
      <c r="L38" s="244">
        <v>0</v>
      </c>
      <c r="M38" s="244"/>
      <c r="N38" s="244"/>
      <c r="O38" s="244"/>
      <c r="P38" s="244"/>
      <c r="Q38" s="244"/>
      <c r="R38" s="244"/>
      <c r="S38" s="244"/>
      <c r="T38" s="244"/>
      <c r="U38" s="244"/>
      <c r="V38" s="244"/>
      <c r="W38" s="244"/>
      <c r="X38" s="244"/>
      <c r="Y38" s="244"/>
      <c r="Z38" s="244"/>
      <c r="AA38" s="244"/>
      <c r="AB38" s="244"/>
      <c r="AC38" s="244"/>
      <c r="AD38" s="244"/>
      <c r="AE38" s="244"/>
      <c r="AF38" s="244"/>
      <c r="AG38" s="244"/>
      <c r="AH38" s="244"/>
      <c r="AI38" s="244"/>
      <c r="AJ38" s="244"/>
      <c r="AK38" s="244"/>
      <c r="AL38" s="244"/>
      <c r="AM38" s="244"/>
      <c r="AN38" s="244"/>
      <c r="AO38" s="244"/>
      <c r="AP38" s="244"/>
      <c r="AQ38" s="244"/>
      <c r="AR38" s="244"/>
      <c r="AS38" s="244"/>
      <c r="AT38" s="244"/>
      <c r="AU38" s="244"/>
      <c r="AV38" s="161"/>
      <c r="AW38" s="161"/>
      <c r="AX38" s="243">
        <v>0</v>
      </c>
      <c r="AY38" s="161"/>
      <c r="AZ38" s="161"/>
      <c r="BA38" s="243">
        <v>0</v>
      </c>
      <c r="BB38" s="212">
        <f t="shared" si="1"/>
        <v>0</v>
      </c>
      <c r="BC38" s="256"/>
      <c r="BD38" s="162">
        <f t="shared" si="2"/>
        <v>1764.9350033898306</v>
      </c>
      <c r="BE38" s="162">
        <f t="shared" si="3"/>
        <v>0</v>
      </c>
      <c r="BF38" s="243"/>
      <c r="BG38" s="243"/>
      <c r="BH38" s="243"/>
      <c r="BI38" s="257"/>
      <c r="BJ38" s="257"/>
      <c r="BK38" s="243"/>
      <c r="BL38" s="243"/>
      <c r="BM38" s="243"/>
      <c r="BN38" s="243"/>
      <c r="BO38" s="243"/>
      <c r="BP38" s="243"/>
      <c r="BQ38" s="243"/>
      <c r="BR38" s="243"/>
      <c r="BS38" s="243"/>
      <c r="BT38" s="243"/>
      <c r="BU38" s="243"/>
      <c r="BV38" s="243"/>
      <c r="BW38" s="243"/>
      <c r="BX38" s="243"/>
      <c r="BY38" s="243"/>
      <c r="BZ38" s="243"/>
      <c r="CA38" s="243"/>
      <c r="CB38" s="243"/>
      <c r="CC38" s="243"/>
      <c r="CD38" s="243"/>
      <c r="CE38" s="245">
        <v>0</v>
      </c>
      <c r="CF38" s="245">
        <v>0</v>
      </c>
      <c r="CG38" s="245">
        <v>1</v>
      </c>
      <c r="CH38" s="246">
        <v>0</v>
      </c>
      <c r="CI38" s="219">
        <f t="shared" si="4"/>
        <v>0</v>
      </c>
      <c r="CJ38" s="245">
        <v>1</v>
      </c>
      <c r="CK38" s="246">
        <v>0</v>
      </c>
      <c r="CL38" s="163">
        <f t="shared" si="5"/>
        <v>0</v>
      </c>
      <c r="CM38" s="245">
        <v>1</v>
      </c>
      <c r="CN38" s="246">
        <v>0</v>
      </c>
      <c r="CO38" s="163">
        <f t="shared" si="6"/>
        <v>0</v>
      </c>
      <c r="CP38" s="245">
        <v>1</v>
      </c>
      <c r="CQ38" s="246">
        <v>0</v>
      </c>
      <c r="CR38" s="163">
        <f t="shared" si="7"/>
        <v>0</v>
      </c>
      <c r="CS38" s="207">
        <f t="shared" si="8"/>
        <v>0</v>
      </c>
      <c r="CT38" s="258"/>
      <c r="CU38" s="258"/>
      <c r="CV38" s="258"/>
      <c r="CW38" s="258"/>
      <c r="CX38" s="258"/>
      <c r="CY38" s="258"/>
      <c r="CZ38" s="258"/>
      <c r="DA38" s="258"/>
      <c r="DB38" s="258"/>
      <c r="DC38" s="258"/>
    </row>
    <row r="39" spans="1:173">
      <c r="B39" s="205" t="str">
        <f>ANACO!B35</f>
        <v>S3</v>
      </c>
      <c r="C39" s="204" t="str">
        <f>ANACO!C35</f>
        <v>Serramento in acciaio con volta circolare fissa, specchiatura inferiore con porta scorrevole ad anta e fissi laterali, sopraluce rettangolare fisso e apribile vasistas di ventilazione apertura meccanizzata.
Controtelaio composto da tubi rettangolari ancorato alla struttura principale mediante adeguate zanche annegate nel muro o viti di fissaggio, il telaio deve essere correttamente isolato e zincato per proteggerlo dalla corrosione. 
Vetro: 66.2 COOL-LITE 70-33#2 INDURITI / 20mm (aria-argon 90%) / 55.2 int. INDURITI
Comprese lamiere di raccordo, memebrane e isolanti.</v>
      </c>
      <c r="D39" s="165">
        <f>ANACO!H35</f>
        <v>2</v>
      </c>
      <c r="E39" s="165"/>
      <c r="F39" s="203">
        <f>ANACO!G35</f>
        <v>17.7</v>
      </c>
      <c r="G39" s="203">
        <f>ANACO!I35</f>
        <v>35.4</v>
      </c>
      <c r="H39" s="166">
        <f>ANACO!BS35</f>
        <v>36551.149559999998</v>
      </c>
      <c r="I39" s="172">
        <f>ANACO!BT35</f>
        <v>73102.299119999996</v>
      </c>
      <c r="J39" s="161"/>
      <c r="K39" s="161">
        <f t="shared" si="0"/>
        <v>0</v>
      </c>
      <c r="L39" s="244">
        <v>0</v>
      </c>
      <c r="M39" s="244"/>
      <c r="N39" s="244"/>
      <c r="O39" s="244"/>
      <c r="P39" s="244"/>
      <c r="Q39" s="244"/>
      <c r="R39" s="244"/>
      <c r="S39" s="244"/>
      <c r="T39" s="244"/>
      <c r="U39" s="244"/>
      <c r="V39" s="244"/>
      <c r="W39" s="244"/>
      <c r="X39" s="244"/>
      <c r="Y39" s="244"/>
      <c r="Z39" s="244"/>
      <c r="AA39" s="244"/>
      <c r="AB39" s="244"/>
      <c r="AC39" s="244"/>
      <c r="AD39" s="244"/>
      <c r="AE39" s="244"/>
      <c r="AF39" s="244"/>
      <c r="AG39" s="244"/>
      <c r="AH39" s="244"/>
      <c r="AI39" s="244"/>
      <c r="AJ39" s="244"/>
      <c r="AK39" s="244"/>
      <c r="AL39" s="244"/>
      <c r="AM39" s="244"/>
      <c r="AN39" s="244"/>
      <c r="AO39" s="244"/>
      <c r="AP39" s="244"/>
      <c r="AQ39" s="244"/>
      <c r="AR39" s="244"/>
      <c r="AS39" s="244"/>
      <c r="AT39" s="244"/>
      <c r="AU39" s="244"/>
      <c r="AV39" s="161"/>
      <c r="AW39" s="161"/>
      <c r="AX39" s="243">
        <v>0</v>
      </c>
      <c r="AY39" s="161"/>
      <c r="AZ39" s="161"/>
      <c r="BA39" s="243">
        <v>0</v>
      </c>
      <c r="BB39" s="212">
        <f t="shared" si="1"/>
        <v>0</v>
      </c>
      <c r="BC39" s="256"/>
      <c r="BD39" s="162">
        <f t="shared" si="2"/>
        <v>2065.0366983050849</v>
      </c>
      <c r="BE39" s="162">
        <f t="shared" si="3"/>
        <v>0</v>
      </c>
      <c r="BF39" s="243"/>
      <c r="BG39" s="243"/>
      <c r="BH39" s="243"/>
      <c r="BI39" s="257"/>
      <c r="BJ39" s="257"/>
      <c r="BK39" s="243"/>
      <c r="BL39" s="243"/>
      <c r="BM39" s="243"/>
      <c r="BN39" s="243"/>
      <c r="BO39" s="243"/>
      <c r="BP39" s="243"/>
      <c r="BQ39" s="243"/>
      <c r="BR39" s="243"/>
      <c r="BS39" s="243"/>
      <c r="BT39" s="243"/>
      <c r="BU39" s="243"/>
      <c r="BV39" s="243"/>
      <c r="BW39" s="243"/>
      <c r="BX39" s="243"/>
      <c r="BY39" s="243"/>
      <c r="BZ39" s="243"/>
      <c r="CA39" s="243"/>
      <c r="CB39" s="243"/>
      <c r="CC39" s="243"/>
      <c r="CD39" s="243"/>
      <c r="CE39" s="245">
        <v>0</v>
      </c>
      <c r="CF39" s="245">
        <v>0</v>
      </c>
      <c r="CG39" s="245">
        <v>1</v>
      </c>
      <c r="CH39" s="246">
        <v>0</v>
      </c>
      <c r="CI39" s="219">
        <f t="shared" si="4"/>
        <v>0</v>
      </c>
      <c r="CJ39" s="245">
        <v>1</v>
      </c>
      <c r="CK39" s="246">
        <v>0</v>
      </c>
      <c r="CL39" s="163">
        <f t="shared" si="5"/>
        <v>0</v>
      </c>
      <c r="CM39" s="245">
        <v>1</v>
      </c>
      <c r="CN39" s="246">
        <v>0</v>
      </c>
      <c r="CO39" s="163">
        <f t="shared" si="6"/>
        <v>0</v>
      </c>
      <c r="CP39" s="245">
        <v>1</v>
      </c>
      <c r="CQ39" s="246">
        <v>0</v>
      </c>
      <c r="CR39" s="163">
        <f t="shared" si="7"/>
        <v>0</v>
      </c>
      <c r="CS39" s="207">
        <f t="shared" si="8"/>
        <v>0</v>
      </c>
      <c r="CT39" s="258"/>
      <c r="CU39" s="258"/>
      <c r="CV39" s="258"/>
      <c r="CW39" s="258"/>
      <c r="CX39" s="258"/>
      <c r="CY39" s="258"/>
      <c r="CZ39" s="258"/>
      <c r="DA39" s="258"/>
      <c r="DB39" s="258"/>
      <c r="DC39" s="258"/>
    </row>
    <row r="40" spans="1:173">
      <c r="B40" s="205" t="str">
        <f>ANACO!B36</f>
        <v>S4</v>
      </c>
      <c r="C40" s="204" t="str">
        <f>ANACO!C36</f>
        <v>Serramento in acciaio con volta circolare apribile a vasistas specchiatura inferiore con porta a doppio battente apertura esterna, sopraluce rettangolare fisso
Controtelaio composto da tubi rettangolari ancorato alla struttura principale mediante adeguate zanche annegate nel muro o viti di fissaggio, il telaio deve essere correttamente isolato e zincato per proteggerlo dalla corrosione. 
Vetro: 66.2 COOL-LITE 70-33#2 INDURITI / 20mm (aria-argon 90%) / 55.2 int. INDURITI
Comprese lamiere di raccordo, memebrane e isolanti.</v>
      </c>
      <c r="D40" s="165">
        <f>ANACO!H36</f>
        <v>2</v>
      </c>
      <c r="E40" s="165"/>
      <c r="F40" s="203">
        <f>ANACO!G36</f>
        <v>8.5500000000000007</v>
      </c>
      <c r="G40" s="203">
        <f>ANACO!I36</f>
        <v>17.100000000000001</v>
      </c>
      <c r="H40" s="166">
        <f>ANACO!BS36</f>
        <v>16983.554340000002</v>
      </c>
      <c r="I40" s="172">
        <f>ANACO!BT36</f>
        <v>33967.108680000005</v>
      </c>
      <c r="J40" s="161"/>
      <c r="K40" s="161">
        <f t="shared" si="0"/>
        <v>0</v>
      </c>
      <c r="L40" s="244">
        <v>0</v>
      </c>
      <c r="M40" s="244"/>
      <c r="N40" s="244"/>
      <c r="O40" s="244"/>
      <c r="P40" s="244"/>
      <c r="Q40" s="244"/>
      <c r="R40" s="244"/>
      <c r="S40" s="244"/>
      <c r="T40" s="244"/>
      <c r="U40" s="244"/>
      <c r="V40" s="244"/>
      <c r="W40" s="244"/>
      <c r="X40" s="244"/>
      <c r="Y40" s="244"/>
      <c r="Z40" s="244"/>
      <c r="AA40" s="244"/>
      <c r="AB40" s="244"/>
      <c r="AC40" s="244"/>
      <c r="AD40" s="244"/>
      <c r="AE40" s="244"/>
      <c r="AF40" s="244"/>
      <c r="AG40" s="244"/>
      <c r="AH40" s="244"/>
      <c r="AI40" s="244"/>
      <c r="AJ40" s="244"/>
      <c r="AK40" s="244"/>
      <c r="AL40" s="244"/>
      <c r="AM40" s="244"/>
      <c r="AN40" s="244"/>
      <c r="AO40" s="244"/>
      <c r="AP40" s="244"/>
      <c r="AQ40" s="244"/>
      <c r="AR40" s="244"/>
      <c r="AS40" s="244"/>
      <c r="AT40" s="244"/>
      <c r="AU40" s="244"/>
      <c r="AV40" s="161"/>
      <c r="AW40" s="161"/>
      <c r="AX40" s="243">
        <v>0</v>
      </c>
      <c r="AY40" s="161"/>
      <c r="AZ40" s="161"/>
      <c r="BA40" s="243">
        <v>0</v>
      </c>
      <c r="BB40" s="212">
        <f t="shared" si="1"/>
        <v>0</v>
      </c>
      <c r="BC40" s="256"/>
      <c r="BD40" s="162">
        <f t="shared" si="2"/>
        <v>1986.3806245614037</v>
      </c>
      <c r="BE40" s="162">
        <f t="shared" si="3"/>
        <v>0</v>
      </c>
      <c r="BF40" s="243"/>
      <c r="BG40" s="243"/>
      <c r="BH40" s="243"/>
      <c r="BI40" s="257"/>
      <c r="BJ40" s="257"/>
      <c r="BK40" s="243"/>
      <c r="BL40" s="243"/>
      <c r="BM40" s="243"/>
      <c r="BN40" s="243"/>
      <c r="BO40" s="243"/>
      <c r="BP40" s="243"/>
      <c r="BQ40" s="243"/>
      <c r="BR40" s="243"/>
      <c r="BS40" s="243"/>
      <c r="BT40" s="243"/>
      <c r="BU40" s="243"/>
      <c r="BV40" s="243"/>
      <c r="BW40" s="243"/>
      <c r="BX40" s="243"/>
      <c r="BY40" s="243"/>
      <c r="BZ40" s="243"/>
      <c r="CA40" s="243"/>
      <c r="CB40" s="243"/>
      <c r="CC40" s="243"/>
      <c r="CD40" s="243"/>
      <c r="CE40" s="245">
        <v>0</v>
      </c>
      <c r="CF40" s="245">
        <v>0</v>
      </c>
      <c r="CG40" s="245">
        <v>1</v>
      </c>
      <c r="CH40" s="246">
        <v>0</v>
      </c>
      <c r="CI40" s="219">
        <f t="shared" si="4"/>
        <v>0</v>
      </c>
      <c r="CJ40" s="245">
        <v>1</v>
      </c>
      <c r="CK40" s="246">
        <v>0</v>
      </c>
      <c r="CL40" s="163">
        <f t="shared" si="5"/>
        <v>0</v>
      </c>
      <c r="CM40" s="245">
        <v>1</v>
      </c>
      <c r="CN40" s="246">
        <v>0</v>
      </c>
      <c r="CO40" s="163">
        <f t="shared" si="6"/>
        <v>0</v>
      </c>
      <c r="CP40" s="245">
        <v>1</v>
      </c>
      <c r="CQ40" s="246">
        <v>0</v>
      </c>
      <c r="CR40" s="163">
        <f t="shared" si="7"/>
        <v>0</v>
      </c>
      <c r="CS40" s="207">
        <f t="shared" si="8"/>
        <v>0</v>
      </c>
      <c r="CT40" s="258"/>
      <c r="CU40" s="258"/>
      <c r="CV40" s="258"/>
      <c r="CW40" s="258"/>
      <c r="CX40" s="258"/>
      <c r="CY40" s="258"/>
      <c r="CZ40" s="258"/>
      <c r="DA40" s="258"/>
      <c r="DB40" s="258"/>
      <c r="DC40" s="258"/>
    </row>
    <row r="41" spans="1:173" s="182" customFormat="1">
      <c r="A41" s="222"/>
      <c r="B41" s="205" t="str">
        <f>ANACO!B37</f>
        <v>S4a - EI60</v>
      </c>
      <c r="C41" s="204" t="str">
        <f>ANACO!C37</f>
        <v>Serramento in acciaio con volta circolare apribile a vasistas meccanizzato e automatico specchiatura inferiore con porta a doppio battente apertura esterna, sopraluce rettangolare fisso.
SOSTITUITO CON ALLUMINIO 
Reynaers ConceptSystem 77-FP EI 60 (CS 77-FPEI60) 
Controtelaio composto da tubi rettangolari ancorato alla struttura principale mediante adeguate zanche annegate nel muro o viti di fissaggio, il telaio deve essere correttamente isolato e zincato per proteggerlo dalla corrosione.  
Vetro: 66.2 COOL-LITE 70-33#2 / 14mm (aria-argon 90%) / 27 CF60-3.
Comprese lamiere di raccordo, memebrane e isolanti.</v>
      </c>
      <c r="D41" s="165">
        <f>ANACO!H37</f>
        <v>1</v>
      </c>
      <c r="E41" s="165"/>
      <c r="F41" s="203">
        <f>ANACO!G37</f>
        <v>8.5500000000000007</v>
      </c>
      <c r="G41" s="203">
        <f>ANACO!I37</f>
        <v>8.5500000000000007</v>
      </c>
      <c r="H41" s="166">
        <f>ANACO!BS37</f>
        <v>20724.532499999998</v>
      </c>
      <c r="I41" s="172">
        <f>ANACO!BT37</f>
        <v>20724.532499999998</v>
      </c>
      <c r="J41" s="161"/>
      <c r="K41" s="161">
        <f t="shared" si="0"/>
        <v>0</v>
      </c>
      <c r="L41" s="244">
        <v>0</v>
      </c>
      <c r="M41" s="244"/>
      <c r="N41" s="244"/>
      <c r="O41" s="244"/>
      <c r="P41" s="244"/>
      <c r="Q41" s="244"/>
      <c r="R41" s="244"/>
      <c r="S41" s="244"/>
      <c r="T41" s="244"/>
      <c r="U41" s="244"/>
      <c r="V41" s="244"/>
      <c r="W41" s="244"/>
      <c r="X41" s="244"/>
      <c r="Y41" s="244"/>
      <c r="Z41" s="244"/>
      <c r="AA41" s="244"/>
      <c r="AB41" s="244"/>
      <c r="AC41" s="244"/>
      <c r="AD41" s="244"/>
      <c r="AE41" s="244"/>
      <c r="AF41" s="244"/>
      <c r="AG41" s="244"/>
      <c r="AH41" s="244"/>
      <c r="AI41" s="244"/>
      <c r="AJ41" s="244"/>
      <c r="AK41" s="244"/>
      <c r="AL41" s="244"/>
      <c r="AM41" s="244"/>
      <c r="AN41" s="244"/>
      <c r="AO41" s="244"/>
      <c r="AP41" s="244"/>
      <c r="AQ41" s="244"/>
      <c r="AR41" s="244"/>
      <c r="AS41" s="244"/>
      <c r="AT41" s="244"/>
      <c r="AU41" s="244"/>
      <c r="AV41" s="161"/>
      <c r="AW41" s="161"/>
      <c r="AX41" s="243">
        <v>0</v>
      </c>
      <c r="AY41" s="161"/>
      <c r="AZ41" s="161"/>
      <c r="BA41" s="243">
        <v>0</v>
      </c>
      <c r="BB41" s="212">
        <f t="shared" si="1"/>
        <v>0</v>
      </c>
      <c r="BC41" s="256"/>
      <c r="BD41" s="162">
        <f t="shared" si="2"/>
        <v>2423.9219298245607</v>
      </c>
      <c r="BE41" s="162">
        <f t="shared" si="3"/>
        <v>0</v>
      </c>
      <c r="BF41" s="243"/>
      <c r="BG41" s="243"/>
      <c r="BH41" s="243"/>
      <c r="BI41" s="257"/>
      <c r="BJ41" s="257"/>
      <c r="BK41" s="243"/>
      <c r="BL41" s="243"/>
      <c r="BM41" s="243"/>
      <c r="BN41" s="243"/>
      <c r="BO41" s="243"/>
      <c r="BP41" s="243"/>
      <c r="BQ41" s="243"/>
      <c r="BR41" s="243"/>
      <c r="BS41" s="243"/>
      <c r="BT41" s="243"/>
      <c r="BU41" s="243"/>
      <c r="BV41" s="243"/>
      <c r="BW41" s="243"/>
      <c r="BX41" s="243"/>
      <c r="BY41" s="243"/>
      <c r="BZ41" s="243"/>
      <c r="CA41" s="243"/>
      <c r="CB41" s="243"/>
      <c r="CC41" s="243"/>
      <c r="CD41" s="243"/>
      <c r="CE41" s="245">
        <v>0</v>
      </c>
      <c r="CF41" s="245">
        <v>0</v>
      </c>
      <c r="CG41" s="245">
        <v>1</v>
      </c>
      <c r="CH41" s="246">
        <v>0</v>
      </c>
      <c r="CI41" s="219">
        <f t="shared" si="4"/>
        <v>0</v>
      </c>
      <c r="CJ41" s="245">
        <v>1</v>
      </c>
      <c r="CK41" s="246">
        <v>0</v>
      </c>
      <c r="CL41" s="163">
        <f t="shared" si="5"/>
        <v>0</v>
      </c>
      <c r="CM41" s="245">
        <v>1</v>
      </c>
      <c r="CN41" s="246">
        <v>0</v>
      </c>
      <c r="CO41" s="163">
        <f t="shared" si="6"/>
        <v>0</v>
      </c>
      <c r="CP41" s="245">
        <v>1</v>
      </c>
      <c r="CQ41" s="246">
        <v>0</v>
      </c>
      <c r="CR41" s="163">
        <f t="shared" si="7"/>
        <v>0</v>
      </c>
      <c r="CS41" s="207">
        <f t="shared" si="8"/>
        <v>0</v>
      </c>
      <c r="CT41" s="258"/>
      <c r="CU41" s="258"/>
      <c r="CV41" s="258"/>
      <c r="CW41" s="258"/>
      <c r="CX41" s="258"/>
      <c r="CY41" s="258"/>
      <c r="CZ41" s="258"/>
      <c r="DA41" s="258"/>
      <c r="DB41" s="258"/>
      <c r="DC41" s="258"/>
      <c r="DD41" s="156"/>
      <c r="DE41" s="156"/>
      <c r="DF41" s="156"/>
      <c r="DG41" s="156"/>
      <c r="DH41" s="156"/>
      <c r="DI41" s="156"/>
      <c r="DJ41" s="156"/>
      <c r="DK41" s="156"/>
      <c r="DL41" s="156"/>
      <c r="DM41" s="156"/>
      <c r="DN41" s="156"/>
      <c r="DO41" s="156"/>
      <c r="DP41" s="156"/>
      <c r="DQ41" s="156"/>
      <c r="DR41" s="156"/>
      <c r="DS41" s="156"/>
      <c r="DT41" s="156"/>
      <c r="DU41" s="156"/>
      <c r="DV41" s="156"/>
      <c r="DW41" s="156"/>
      <c r="DX41" s="156"/>
      <c r="DY41" s="156"/>
      <c r="DZ41" s="156"/>
      <c r="EA41" s="156"/>
      <c r="EB41" s="156"/>
      <c r="EC41" s="156"/>
      <c r="ED41" s="156"/>
      <c r="EE41" s="156"/>
      <c r="EF41" s="156"/>
      <c r="EG41" s="156"/>
      <c r="EH41" s="156"/>
      <c r="EI41" s="156"/>
      <c r="EJ41" s="156"/>
      <c r="EK41" s="156"/>
      <c r="EL41" s="156"/>
      <c r="EM41" s="156"/>
      <c r="EN41" s="156"/>
      <c r="EO41" s="156"/>
      <c r="EP41" s="156"/>
      <c r="EQ41" s="156"/>
      <c r="ER41" s="156"/>
      <c r="ES41" s="156"/>
      <c r="ET41" s="156"/>
      <c r="EU41" s="156"/>
      <c r="EV41" s="156"/>
      <c r="EW41" s="156"/>
      <c r="EX41" s="156"/>
      <c r="EY41" s="156"/>
      <c r="EZ41" s="156"/>
      <c r="FA41" s="156"/>
      <c r="FB41" s="156"/>
      <c r="FC41" s="156"/>
      <c r="FD41" s="156"/>
      <c r="FE41" s="156"/>
      <c r="FF41" s="156"/>
      <c r="FG41" s="156"/>
      <c r="FH41" s="156"/>
      <c r="FI41" s="156"/>
      <c r="FJ41" s="156"/>
      <c r="FK41" s="156"/>
      <c r="FL41" s="156"/>
      <c r="FM41" s="156"/>
      <c r="FN41" s="156"/>
      <c r="FO41" s="156"/>
      <c r="FP41" s="156"/>
      <c r="FQ41" s="156"/>
    </row>
    <row r="42" spans="1:173">
      <c r="B42" s="205" t="str">
        <f>ANACO!B38</f>
        <v>S5</v>
      </c>
      <c r="C42" s="204" t="str">
        <f>ANACO!C38</f>
        <v>Serramento in acciaio rettangolare con porta inferiore a doppia anta apertura esterna; tre specchiature sopraluce: inferiore apribile a battente apertura esterna, centrale rettangolare opaca fissa, superiore a vasistas apertura interna. SOSTITUITO CON SERRAMENTO IN ALLUMINIO COMPOSTO DA PIU ELEMENTI ACCOPPIATI Reynaers SlimLine 38 (SL 38) 
Controtelaio composto da tubi rettangolari ancorato alla struttura principale mediante adeguate zanche annegate nel muro o viti di fissaggio, il telaio deve essere correttamente isolato e zincato per proteggerlo dalla corrosione. 
Vetro: 66.2 COOL-LITE 70-33#2 INDURITI / 20mm (aria-argon 90%) / 55.2 int. INDURITI
Comprese lamiere di raccordo, memebrane e isolanti.</v>
      </c>
      <c r="D42" s="165">
        <f>ANACO!H38</f>
        <v>1</v>
      </c>
      <c r="E42" s="165"/>
      <c r="F42" s="203">
        <f>ANACO!G38</f>
        <v>10.54</v>
      </c>
      <c r="G42" s="203">
        <f>ANACO!I38</f>
        <v>10.54</v>
      </c>
      <c r="H42" s="166">
        <f>ANACO!BS38</f>
        <v>14567.897519999999</v>
      </c>
      <c r="I42" s="172">
        <f>ANACO!BT38</f>
        <v>14567.897519999999</v>
      </c>
      <c r="J42" s="161"/>
      <c r="K42" s="161">
        <f t="shared" si="0"/>
        <v>0</v>
      </c>
      <c r="L42" s="244">
        <v>0</v>
      </c>
      <c r="M42" s="244"/>
      <c r="N42" s="244"/>
      <c r="O42" s="244"/>
      <c r="P42" s="244"/>
      <c r="Q42" s="244"/>
      <c r="R42" s="244"/>
      <c r="S42" s="244"/>
      <c r="T42" s="244"/>
      <c r="U42" s="244"/>
      <c r="V42" s="244"/>
      <c r="W42" s="244"/>
      <c r="X42" s="244"/>
      <c r="Y42" s="244"/>
      <c r="Z42" s="244"/>
      <c r="AA42" s="244"/>
      <c r="AB42" s="244"/>
      <c r="AC42" s="244"/>
      <c r="AD42" s="244"/>
      <c r="AE42" s="244"/>
      <c r="AF42" s="244"/>
      <c r="AG42" s="244"/>
      <c r="AH42" s="244"/>
      <c r="AI42" s="244"/>
      <c r="AJ42" s="244"/>
      <c r="AK42" s="244"/>
      <c r="AL42" s="244"/>
      <c r="AM42" s="244"/>
      <c r="AN42" s="244"/>
      <c r="AO42" s="244"/>
      <c r="AP42" s="244"/>
      <c r="AQ42" s="244"/>
      <c r="AR42" s="244"/>
      <c r="AS42" s="244"/>
      <c r="AT42" s="244"/>
      <c r="AU42" s="244"/>
      <c r="AV42" s="161"/>
      <c r="AW42" s="161"/>
      <c r="AX42" s="243">
        <v>0</v>
      </c>
      <c r="AY42" s="161"/>
      <c r="AZ42" s="161"/>
      <c r="BA42" s="243">
        <v>0</v>
      </c>
      <c r="BB42" s="212">
        <f t="shared" si="1"/>
        <v>0</v>
      </c>
      <c r="BC42" s="256"/>
      <c r="BD42" s="162">
        <f t="shared" si="2"/>
        <v>1382.1534648956356</v>
      </c>
      <c r="BE42" s="162">
        <f t="shared" si="3"/>
        <v>0</v>
      </c>
      <c r="BF42" s="243"/>
      <c r="BG42" s="243"/>
      <c r="BH42" s="243"/>
      <c r="BI42" s="257"/>
      <c r="BJ42" s="257"/>
      <c r="BK42" s="243"/>
      <c r="BL42" s="243"/>
      <c r="BM42" s="243"/>
      <c r="BN42" s="243"/>
      <c r="BO42" s="243"/>
      <c r="BP42" s="243"/>
      <c r="BQ42" s="243"/>
      <c r="BR42" s="243"/>
      <c r="BS42" s="243"/>
      <c r="BT42" s="243"/>
      <c r="BU42" s="243"/>
      <c r="BV42" s="243"/>
      <c r="BW42" s="243"/>
      <c r="BX42" s="243"/>
      <c r="BY42" s="243"/>
      <c r="BZ42" s="243"/>
      <c r="CA42" s="243"/>
      <c r="CB42" s="243"/>
      <c r="CC42" s="243"/>
      <c r="CD42" s="243"/>
      <c r="CE42" s="245">
        <v>0</v>
      </c>
      <c r="CF42" s="245">
        <v>0</v>
      </c>
      <c r="CG42" s="245">
        <v>1</v>
      </c>
      <c r="CH42" s="246">
        <v>0</v>
      </c>
      <c r="CI42" s="219">
        <f t="shared" si="4"/>
        <v>0</v>
      </c>
      <c r="CJ42" s="245">
        <v>1</v>
      </c>
      <c r="CK42" s="246">
        <v>0</v>
      </c>
      <c r="CL42" s="163">
        <f t="shared" si="5"/>
        <v>0</v>
      </c>
      <c r="CM42" s="245">
        <v>1</v>
      </c>
      <c r="CN42" s="246">
        <v>0</v>
      </c>
      <c r="CO42" s="163">
        <f t="shared" si="6"/>
        <v>0</v>
      </c>
      <c r="CP42" s="245">
        <v>1</v>
      </c>
      <c r="CQ42" s="246">
        <v>0</v>
      </c>
      <c r="CR42" s="163">
        <f t="shared" si="7"/>
        <v>0</v>
      </c>
      <c r="CS42" s="207">
        <f t="shared" si="8"/>
        <v>0</v>
      </c>
      <c r="CT42" s="258"/>
      <c r="CU42" s="258"/>
      <c r="CV42" s="258"/>
      <c r="CW42" s="258"/>
      <c r="CX42" s="258"/>
      <c r="CY42" s="258"/>
      <c r="CZ42" s="258"/>
      <c r="DA42" s="258"/>
      <c r="DB42" s="258"/>
      <c r="DC42" s="258"/>
    </row>
    <row r="43" spans="1:173">
      <c r="B43" s="205" t="str">
        <f>ANACO!B39</f>
        <v>S5a</v>
      </c>
      <c r="C43" s="204" t="str">
        <f>ANACO!C39</f>
        <v>Serramento in acciaio rettangolare con porta inferiore a doppia anta apertura esterna; con tre specchiature sopraluce: inferiore apribile a battente apertura esterna, centrale rettangolare opaca fissa, superiore a vasistas apertura interna.SOSTITUITO CON SERRAMENTO IN ALLUMINIO COMPOSTO DA PIU ELEMENTI ACCOPPIATI Reynaers SlimLine 38 (SL 38)
Controtelaio composto da tubi rettangolari ancorato alla struttura principale mediante adeguate zanche annegate nel muro o viti di fissaggio, il telaio deve essere correttamente isolato e zincato per proteggerlo dalla corrosione. 
Vetro: 66.2 COOL-LITE 70-33#2 INDURITI / 20mm (aria-argon 90%) / 55.2 int. INDURITI
Comprese lamiere di raccordo, memebrane e isolanti.</v>
      </c>
      <c r="D43" s="165">
        <f>ANACO!H39</f>
        <v>1</v>
      </c>
      <c r="E43" s="165"/>
      <c r="F43" s="203">
        <f>ANACO!G39</f>
        <v>10.54</v>
      </c>
      <c r="G43" s="203">
        <f>ANACO!I39</f>
        <v>10.54</v>
      </c>
      <c r="H43" s="166">
        <f>ANACO!BS39</f>
        <v>14567.897519999999</v>
      </c>
      <c r="I43" s="172">
        <f>ANACO!BT39</f>
        <v>14567.897519999999</v>
      </c>
      <c r="J43" s="161"/>
      <c r="K43" s="161">
        <f t="shared" si="0"/>
        <v>0</v>
      </c>
      <c r="L43" s="244">
        <v>0</v>
      </c>
      <c r="M43" s="244"/>
      <c r="N43" s="244"/>
      <c r="O43" s="244"/>
      <c r="P43" s="244"/>
      <c r="Q43" s="244"/>
      <c r="R43" s="244"/>
      <c r="S43" s="244"/>
      <c r="T43" s="244"/>
      <c r="U43" s="244"/>
      <c r="V43" s="244"/>
      <c r="W43" s="244"/>
      <c r="X43" s="244"/>
      <c r="Y43" s="244"/>
      <c r="Z43" s="244"/>
      <c r="AA43" s="244"/>
      <c r="AB43" s="244"/>
      <c r="AC43" s="244"/>
      <c r="AD43" s="244"/>
      <c r="AE43" s="244"/>
      <c r="AF43" s="244"/>
      <c r="AG43" s="244"/>
      <c r="AH43" s="244"/>
      <c r="AI43" s="244"/>
      <c r="AJ43" s="244"/>
      <c r="AK43" s="244"/>
      <c r="AL43" s="244"/>
      <c r="AM43" s="244"/>
      <c r="AN43" s="244"/>
      <c r="AO43" s="244"/>
      <c r="AP43" s="244"/>
      <c r="AQ43" s="244"/>
      <c r="AR43" s="244"/>
      <c r="AS43" s="244"/>
      <c r="AT43" s="244"/>
      <c r="AU43" s="244"/>
      <c r="AV43" s="161"/>
      <c r="AW43" s="161"/>
      <c r="AX43" s="243">
        <v>0</v>
      </c>
      <c r="AY43" s="161"/>
      <c r="AZ43" s="161"/>
      <c r="BA43" s="243">
        <v>0</v>
      </c>
      <c r="BB43" s="212">
        <f t="shared" si="1"/>
        <v>0</v>
      </c>
      <c r="BC43" s="256"/>
      <c r="BD43" s="162">
        <f t="shared" si="2"/>
        <v>1382.1534648956356</v>
      </c>
      <c r="BE43" s="162">
        <f t="shared" si="3"/>
        <v>0</v>
      </c>
      <c r="BF43" s="243"/>
      <c r="BG43" s="243"/>
      <c r="BH43" s="243"/>
      <c r="BI43" s="257"/>
      <c r="BJ43" s="257"/>
      <c r="BK43" s="243"/>
      <c r="BL43" s="243"/>
      <c r="BM43" s="243"/>
      <c r="BN43" s="243"/>
      <c r="BO43" s="243"/>
      <c r="BP43" s="243"/>
      <c r="BQ43" s="243"/>
      <c r="BR43" s="243"/>
      <c r="BS43" s="243"/>
      <c r="BT43" s="243"/>
      <c r="BU43" s="243"/>
      <c r="BV43" s="243"/>
      <c r="BW43" s="243"/>
      <c r="BX43" s="243"/>
      <c r="BY43" s="243"/>
      <c r="BZ43" s="243"/>
      <c r="CA43" s="243"/>
      <c r="CB43" s="243"/>
      <c r="CC43" s="243"/>
      <c r="CD43" s="243"/>
      <c r="CE43" s="245">
        <v>0</v>
      </c>
      <c r="CF43" s="245">
        <v>0</v>
      </c>
      <c r="CG43" s="245">
        <v>1</v>
      </c>
      <c r="CH43" s="246">
        <v>0</v>
      </c>
      <c r="CI43" s="219">
        <f t="shared" si="4"/>
        <v>0</v>
      </c>
      <c r="CJ43" s="245">
        <v>1</v>
      </c>
      <c r="CK43" s="246">
        <v>0</v>
      </c>
      <c r="CL43" s="163">
        <f t="shared" si="5"/>
        <v>0</v>
      </c>
      <c r="CM43" s="245">
        <v>1</v>
      </c>
      <c r="CN43" s="246">
        <v>0</v>
      </c>
      <c r="CO43" s="163">
        <f t="shared" si="6"/>
        <v>0</v>
      </c>
      <c r="CP43" s="245">
        <v>1</v>
      </c>
      <c r="CQ43" s="246">
        <v>0</v>
      </c>
      <c r="CR43" s="163">
        <f t="shared" si="7"/>
        <v>0</v>
      </c>
      <c r="CS43" s="207">
        <f t="shared" si="8"/>
        <v>0</v>
      </c>
      <c r="CT43" s="258"/>
      <c r="CU43" s="258"/>
      <c r="CV43" s="258"/>
      <c r="CW43" s="258"/>
      <c r="CX43" s="258"/>
      <c r="CY43" s="258"/>
      <c r="CZ43" s="258"/>
      <c r="DA43" s="258"/>
      <c r="DB43" s="258"/>
      <c r="DC43" s="258"/>
    </row>
    <row r="44" spans="1:173">
      <c r="B44" s="205" t="str">
        <f>ANACO!B40</f>
        <v>S6</v>
      </c>
      <c r="C44" s="204" t="str">
        <f>ANACO!C40</f>
        <v>Serramento in acciaio rettangolare con porta inferiore a doppia anta apertura interna; tre specchiature sopraluce: inferiore apribile a vasistas apertura interna, centrale rettangolare opaca fissa, superiore a vasistas apertura interna.SOSTITUITO CON SERRAMENTO IN ALLUMINIO COMPOSTO DA PIU ELEMENTI ACCOPPIATI Reynaers SlimLine 38 (SL 38)
Controtelaio composto da tubi rettangolari ancorato alla struttura principale mediante adeguate zanche annegate nel muro o viti di fissaggio, il telaio deve essere correttamente isolato e zincato per proteggerlo dalla corrosione. 
Vetro: 66.2 COOL-LITE 70-33#2 INDURITI / 20mm (aria-argon 90%) / 55.2 int. INDURITI
Comprese lamiere di raccordo, memebrane e isolanti.</v>
      </c>
      <c r="D44" s="165">
        <f>ANACO!H40</f>
        <v>2</v>
      </c>
      <c r="E44" s="165"/>
      <c r="F44" s="203">
        <f>ANACO!G40</f>
        <v>10.54</v>
      </c>
      <c r="G44" s="203">
        <f>ANACO!I40</f>
        <v>21.08</v>
      </c>
      <c r="H44" s="166">
        <f>ANACO!BS40</f>
        <v>14555.639519999999</v>
      </c>
      <c r="I44" s="172">
        <f>ANACO!BT40</f>
        <v>29111.279039999998</v>
      </c>
      <c r="J44" s="161"/>
      <c r="K44" s="161">
        <f t="shared" si="0"/>
        <v>0</v>
      </c>
      <c r="L44" s="244">
        <v>0</v>
      </c>
      <c r="M44" s="244"/>
      <c r="N44" s="244"/>
      <c r="O44" s="244"/>
      <c r="P44" s="244"/>
      <c r="Q44" s="244"/>
      <c r="R44" s="244"/>
      <c r="S44" s="244"/>
      <c r="T44" s="244"/>
      <c r="U44" s="244"/>
      <c r="V44" s="244"/>
      <c r="W44" s="244"/>
      <c r="X44" s="244"/>
      <c r="Y44" s="244"/>
      <c r="Z44" s="244"/>
      <c r="AA44" s="244"/>
      <c r="AB44" s="244"/>
      <c r="AC44" s="244"/>
      <c r="AD44" s="244"/>
      <c r="AE44" s="244"/>
      <c r="AF44" s="244"/>
      <c r="AG44" s="244"/>
      <c r="AH44" s="244"/>
      <c r="AI44" s="244"/>
      <c r="AJ44" s="244"/>
      <c r="AK44" s="244"/>
      <c r="AL44" s="244"/>
      <c r="AM44" s="244"/>
      <c r="AN44" s="244"/>
      <c r="AO44" s="244"/>
      <c r="AP44" s="244"/>
      <c r="AQ44" s="244"/>
      <c r="AR44" s="244"/>
      <c r="AS44" s="244"/>
      <c r="AT44" s="244"/>
      <c r="AU44" s="244"/>
      <c r="AV44" s="161"/>
      <c r="AW44" s="161"/>
      <c r="AX44" s="243">
        <v>0</v>
      </c>
      <c r="AY44" s="161"/>
      <c r="AZ44" s="161"/>
      <c r="BA44" s="243">
        <v>0</v>
      </c>
      <c r="BB44" s="212">
        <f t="shared" si="1"/>
        <v>0</v>
      </c>
      <c r="BC44" s="256"/>
      <c r="BD44" s="162">
        <f t="shared" si="2"/>
        <v>1380.9904667931689</v>
      </c>
      <c r="BE44" s="162">
        <f t="shared" si="3"/>
        <v>0</v>
      </c>
      <c r="BF44" s="243"/>
      <c r="BG44" s="243"/>
      <c r="BH44" s="243"/>
      <c r="BI44" s="257"/>
      <c r="BJ44" s="257"/>
      <c r="BK44" s="243"/>
      <c r="BL44" s="243"/>
      <c r="BM44" s="243"/>
      <c r="BN44" s="243"/>
      <c r="BO44" s="243"/>
      <c r="BP44" s="243"/>
      <c r="BQ44" s="243"/>
      <c r="BR44" s="243"/>
      <c r="BS44" s="243"/>
      <c r="BT44" s="243"/>
      <c r="BU44" s="243"/>
      <c r="BV44" s="243"/>
      <c r="BW44" s="243"/>
      <c r="BX44" s="243"/>
      <c r="BY44" s="243"/>
      <c r="BZ44" s="243"/>
      <c r="CA44" s="243"/>
      <c r="CB44" s="243"/>
      <c r="CC44" s="243"/>
      <c r="CD44" s="243"/>
      <c r="CE44" s="245">
        <v>0</v>
      </c>
      <c r="CF44" s="245">
        <v>0</v>
      </c>
      <c r="CG44" s="245">
        <v>1</v>
      </c>
      <c r="CH44" s="246">
        <v>0</v>
      </c>
      <c r="CI44" s="219">
        <f t="shared" si="4"/>
        <v>0</v>
      </c>
      <c r="CJ44" s="245">
        <v>1</v>
      </c>
      <c r="CK44" s="246">
        <v>0</v>
      </c>
      <c r="CL44" s="163">
        <f t="shared" si="5"/>
        <v>0</v>
      </c>
      <c r="CM44" s="245">
        <v>1</v>
      </c>
      <c r="CN44" s="246">
        <v>0</v>
      </c>
      <c r="CO44" s="163">
        <f t="shared" si="6"/>
        <v>0</v>
      </c>
      <c r="CP44" s="245">
        <v>1</v>
      </c>
      <c r="CQ44" s="246">
        <v>0</v>
      </c>
      <c r="CR44" s="163">
        <f t="shared" si="7"/>
        <v>0</v>
      </c>
      <c r="CS44" s="207">
        <f t="shared" si="8"/>
        <v>0</v>
      </c>
      <c r="CT44" s="258"/>
      <c r="CU44" s="258"/>
      <c r="CV44" s="258"/>
      <c r="CW44" s="258"/>
      <c r="CX44" s="258"/>
      <c r="CY44" s="258"/>
      <c r="CZ44" s="258"/>
      <c r="DA44" s="258"/>
      <c r="DB44" s="258"/>
      <c r="DC44" s="258"/>
    </row>
    <row r="45" spans="1:173">
      <c r="B45" s="205" t="str">
        <f>ANACO!B41</f>
        <v>S6a</v>
      </c>
      <c r="C45" s="204" t="str">
        <f>ANACO!C41</f>
        <v>Serramento in acciaio rettangolare con porta inferiore a doppia anta apertura interna; con tre specchiature sopraluce: inferiore apribile a battente apertura esterna, centrale rettangolare opaca fissa, superiore a vasistas apertura interna.SOSTITUITO CON SERRAMENTO IN ALLUMINIO COMPOSTO DA PIU ELEMENTI ACCOPPIATI Reynaers SlimLine 38 (SL 38)
Controtelaio composto da tubi rettangolari ancorato alla struttura principale mediante adeguate zanche annegate nel muro o viti di fissaggio, il telaio deve essere correttamente isolato e zincato per proteggerlo dalla corrosione. 
Vetro: 66.2 COOL-LITE 70-33#2 INDURITI / 20mm (aria-argon 90%) / 55.2 int. INDURITI
Comprese lamiere di raccordo, memebrane e isolanti.</v>
      </c>
      <c r="D45" s="165">
        <f>ANACO!H41</f>
        <v>4</v>
      </c>
      <c r="E45" s="165"/>
      <c r="F45" s="203">
        <f>ANACO!G41</f>
        <v>10.54</v>
      </c>
      <c r="G45" s="203">
        <f>ANACO!I41</f>
        <v>42.16</v>
      </c>
      <c r="H45" s="166">
        <f>ANACO!BS41</f>
        <v>14567.897519999999</v>
      </c>
      <c r="I45" s="172">
        <f>ANACO!BT41</f>
        <v>58271.590079999994</v>
      </c>
      <c r="J45" s="161"/>
      <c r="K45" s="161">
        <f t="shared" si="0"/>
        <v>0</v>
      </c>
      <c r="L45" s="244">
        <v>0</v>
      </c>
      <c r="M45" s="244"/>
      <c r="N45" s="244"/>
      <c r="O45" s="244"/>
      <c r="P45" s="244"/>
      <c r="Q45" s="244"/>
      <c r="R45" s="244"/>
      <c r="S45" s="244"/>
      <c r="T45" s="244"/>
      <c r="U45" s="244"/>
      <c r="V45" s="244"/>
      <c r="W45" s="244"/>
      <c r="X45" s="244"/>
      <c r="Y45" s="244"/>
      <c r="Z45" s="244"/>
      <c r="AA45" s="244"/>
      <c r="AB45" s="244"/>
      <c r="AC45" s="244"/>
      <c r="AD45" s="244"/>
      <c r="AE45" s="244"/>
      <c r="AF45" s="244"/>
      <c r="AG45" s="244"/>
      <c r="AH45" s="244"/>
      <c r="AI45" s="244"/>
      <c r="AJ45" s="244"/>
      <c r="AK45" s="244"/>
      <c r="AL45" s="244"/>
      <c r="AM45" s="244"/>
      <c r="AN45" s="244"/>
      <c r="AO45" s="244"/>
      <c r="AP45" s="244"/>
      <c r="AQ45" s="244"/>
      <c r="AR45" s="244"/>
      <c r="AS45" s="244"/>
      <c r="AT45" s="244"/>
      <c r="AU45" s="244"/>
      <c r="AV45" s="161"/>
      <c r="AW45" s="161"/>
      <c r="AX45" s="243">
        <v>0</v>
      </c>
      <c r="AY45" s="161"/>
      <c r="AZ45" s="161"/>
      <c r="BA45" s="243">
        <v>0</v>
      </c>
      <c r="BB45" s="212">
        <f t="shared" si="1"/>
        <v>0</v>
      </c>
      <c r="BC45" s="256"/>
      <c r="BD45" s="162">
        <f t="shared" si="2"/>
        <v>1382.1534648956356</v>
      </c>
      <c r="BE45" s="162">
        <f t="shared" si="3"/>
        <v>0</v>
      </c>
      <c r="BF45" s="243"/>
      <c r="BG45" s="243"/>
      <c r="BH45" s="243"/>
      <c r="BI45" s="257"/>
      <c r="BJ45" s="257"/>
      <c r="BK45" s="243"/>
      <c r="BL45" s="243"/>
      <c r="BM45" s="243"/>
      <c r="BN45" s="243"/>
      <c r="BO45" s="243"/>
      <c r="BP45" s="243"/>
      <c r="BQ45" s="243"/>
      <c r="BR45" s="243"/>
      <c r="BS45" s="243"/>
      <c r="BT45" s="243"/>
      <c r="BU45" s="243"/>
      <c r="BV45" s="243"/>
      <c r="BW45" s="243"/>
      <c r="BX45" s="243"/>
      <c r="BY45" s="243"/>
      <c r="BZ45" s="243"/>
      <c r="CA45" s="243"/>
      <c r="CB45" s="243"/>
      <c r="CC45" s="243"/>
      <c r="CD45" s="243"/>
      <c r="CE45" s="245">
        <v>0</v>
      </c>
      <c r="CF45" s="245">
        <v>0</v>
      </c>
      <c r="CG45" s="245">
        <v>1</v>
      </c>
      <c r="CH45" s="246">
        <v>0</v>
      </c>
      <c r="CI45" s="219">
        <f t="shared" si="4"/>
        <v>0</v>
      </c>
      <c r="CJ45" s="245">
        <v>1</v>
      </c>
      <c r="CK45" s="246">
        <v>0</v>
      </c>
      <c r="CL45" s="163">
        <f t="shared" si="5"/>
        <v>0</v>
      </c>
      <c r="CM45" s="245">
        <v>1</v>
      </c>
      <c r="CN45" s="246">
        <v>0</v>
      </c>
      <c r="CO45" s="163">
        <f t="shared" si="6"/>
        <v>0</v>
      </c>
      <c r="CP45" s="245">
        <v>1</v>
      </c>
      <c r="CQ45" s="246">
        <v>0</v>
      </c>
      <c r="CR45" s="163">
        <f t="shared" si="7"/>
        <v>0</v>
      </c>
      <c r="CS45" s="207">
        <f t="shared" si="8"/>
        <v>0</v>
      </c>
      <c r="CT45" s="258"/>
      <c r="CU45" s="258"/>
      <c r="CV45" s="258"/>
      <c r="CW45" s="258"/>
      <c r="CX45" s="258"/>
      <c r="CY45" s="258"/>
      <c r="CZ45" s="258"/>
      <c r="DA45" s="258"/>
      <c r="DB45" s="258"/>
      <c r="DC45" s="258"/>
    </row>
    <row r="46" spans="1:173">
      <c r="B46" s="205" t="str">
        <f>ANACO!B42</f>
        <v>S7</v>
      </c>
      <c r="C46" s="204" t="str">
        <f>ANACO!C42</f>
        <v>Serramento in acciaio rettangolare con porta inferiore a doppia anta apertura esterna US con pushbar; tre specchiature sopraluce: inferiore apribile a battente e apertura esterna, centrale rettangolare opaca fissa, superiore a vasistas apertura interna.SOSTITUITO CON SERRAMENTO IN ALLUMINIO COMPOSTO DA PIU ELEMENTI ACCOPPIATI Reynaers SlimLine 38 (SL 38)
Controtelaio composto da tubi rettangolari ancorato alla struttura principale mediante adeguate zanche annegate nel muro o viti di fissaggio, il telaio deve essere correttamente isolato e zincato per proteggerlo dalla corrosione. 
Vetro: 66.2 COOL-LITE 70-33#2 INDURITI / 20mm (aria-argon 90%) / 55.2 int. INDURITI
Comprese lamiere di raccordo, memebrane e isolanti.</v>
      </c>
      <c r="D46" s="165">
        <f>ANACO!H42</f>
        <v>1</v>
      </c>
      <c r="E46" s="165"/>
      <c r="F46" s="203">
        <f>ANACO!G42</f>
        <v>10.54</v>
      </c>
      <c r="G46" s="203">
        <f>ANACO!I42</f>
        <v>10.54</v>
      </c>
      <c r="H46" s="166">
        <f>ANACO!BS42</f>
        <v>20442.061872000002</v>
      </c>
      <c r="I46" s="172">
        <f>ANACO!BT42</f>
        <v>20442.061872000002</v>
      </c>
      <c r="J46" s="161"/>
      <c r="K46" s="161">
        <f t="shared" si="0"/>
        <v>0</v>
      </c>
      <c r="L46" s="244">
        <v>0</v>
      </c>
      <c r="M46" s="244"/>
      <c r="N46" s="244"/>
      <c r="O46" s="244"/>
      <c r="P46" s="244"/>
      <c r="Q46" s="244"/>
      <c r="R46" s="244"/>
      <c r="S46" s="244"/>
      <c r="T46" s="244"/>
      <c r="U46" s="244"/>
      <c r="V46" s="244"/>
      <c r="W46" s="244"/>
      <c r="X46" s="244"/>
      <c r="Y46" s="244"/>
      <c r="Z46" s="244"/>
      <c r="AA46" s="244"/>
      <c r="AB46" s="244"/>
      <c r="AC46" s="244"/>
      <c r="AD46" s="244"/>
      <c r="AE46" s="244"/>
      <c r="AF46" s="244"/>
      <c r="AG46" s="244"/>
      <c r="AH46" s="244"/>
      <c r="AI46" s="244"/>
      <c r="AJ46" s="244"/>
      <c r="AK46" s="244"/>
      <c r="AL46" s="244"/>
      <c r="AM46" s="244"/>
      <c r="AN46" s="244"/>
      <c r="AO46" s="244"/>
      <c r="AP46" s="244"/>
      <c r="AQ46" s="244"/>
      <c r="AR46" s="244"/>
      <c r="AS46" s="244"/>
      <c r="AT46" s="244"/>
      <c r="AU46" s="244"/>
      <c r="AV46" s="161"/>
      <c r="AW46" s="161"/>
      <c r="AX46" s="243">
        <v>0</v>
      </c>
      <c r="AY46" s="161"/>
      <c r="AZ46" s="161"/>
      <c r="BA46" s="243">
        <v>0</v>
      </c>
      <c r="BB46" s="212">
        <f t="shared" si="1"/>
        <v>0</v>
      </c>
      <c r="BC46" s="256"/>
      <c r="BD46" s="162">
        <f t="shared" si="2"/>
        <v>1939.4745609108163</v>
      </c>
      <c r="BE46" s="162">
        <f t="shared" si="3"/>
        <v>0</v>
      </c>
      <c r="BF46" s="243"/>
      <c r="BG46" s="243"/>
      <c r="BH46" s="243"/>
      <c r="BI46" s="257"/>
      <c r="BJ46" s="257"/>
      <c r="BK46" s="243"/>
      <c r="BL46" s="243"/>
      <c r="BM46" s="243"/>
      <c r="BN46" s="243"/>
      <c r="BO46" s="243"/>
      <c r="BP46" s="243"/>
      <c r="BQ46" s="243"/>
      <c r="BR46" s="243"/>
      <c r="BS46" s="243"/>
      <c r="BT46" s="243"/>
      <c r="BU46" s="243"/>
      <c r="BV46" s="243"/>
      <c r="BW46" s="243"/>
      <c r="BX46" s="243"/>
      <c r="BY46" s="243"/>
      <c r="BZ46" s="243"/>
      <c r="CA46" s="243"/>
      <c r="CB46" s="243"/>
      <c r="CC46" s="243"/>
      <c r="CD46" s="243"/>
      <c r="CE46" s="245">
        <v>0</v>
      </c>
      <c r="CF46" s="245">
        <v>0</v>
      </c>
      <c r="CG46" s="245">
        <v>1</v>
      </c>
      <c r="CH46" s="246">
        <v>0</v>
      </c>
      <c r="CI46" s="219">
        <f t="shared" si="4"/>
        <v>0</v>
      </c>
      <c r="CJ46" s="245">
        <v>1</v>
      </c>
      <c r="CK46" s="246">
        <v>0</v>
      </c>
      <c r="CL46" s="163">
        <f t="shared" si="5"/>
        <v>0</v>
      </c>
      <c r="CM46" s="245">
        <v>1</v>
      </c>
      <c r="CN46" s="246">
        <v>0</v>
      </c>
      <c r="CO46" s="163">
        <f t="shared" si="6"/>
        <v>0</v>
      </c>
      <c r="CP46" s="245">
        <v>1</v>
      </c>
      <c r="CQ46" s="246">
        <v>0</v>
      </c>
      <c r="CR46" s="163">
        <f t="shared" si="7"/>
        <v>0</v>
      </c>
      <c r="CS46" s="207">
        <f t="shared" si="8"/>
        <v>0</v>
      </c>
      <c r="CT46" s="258"/>
      <c r="CU46" s="258"/>
      <c r="CV46" s="258"/>
      <c r="CW46" s="258"/>
      <c r="CX46" s="258"/>
      <c r="CY46" s="258"/>
      <c r="CZ46" s="258"/>
      <c r="DA46" s="258"/>
      <c r="DB46" s="258"/>
      <c r="DC46" s="258"/>
    </row>
    <row r="47" spans="1:173">
      <c r="B47" s="205" t="str">
        <f>ANACO!B43</f>
        <v>S7a</v>
      </c>
      <c r="C47" s="204" t="str">
        <f>ANACO!C43</f>
        <v>Serramento in acciaio rettangolare con porta inferiore a doppia anta apertura esterna US con pushbar; tre specchiature sopraluce: inferiore apribile a battente e apertura esterna, centrale rettangolare opaca fissa, superiore a vasistas apertura interna.SOSTITUITO CON SERRAMENTO IN ALLUMINIO COMPOSTO DA PIU ELEMENTI ACCOPPIATI Reynaers SlimLine 38 (SL 38)
Controtelaio composto da tubi rettangolari ancorato alla struttura principale mediante adeguate zanche annegate nel muro o viti di fissaggio, il telaio deve essere correttamente isolato e zincato per proteggerlo dalla corrosione. 
Vetro: 66.2 COOL-LITE 70-33#2 INDURITI / 20mm (aria-argon 90%) / 55.2 int. INDURITI
Comprese lamiere di raccordo, memebrane e isolanti.</v>
      </c>
      <c r="D47" s="165">
        <f>ANACO!H43</f>
        <v>1</v>
      </c>
      <c r="E47" s="165"/>
      <c r="F47" s="203">
        <f>ANACO!G43</f>
        <v>10.54</v>
      </c>
      <c r="G47" s="203">
        <f>ANACO!I43</f>
        <v>10.54</v>
      </c>
      <c r="H47" s="166">
        <f>ANACO!BS43</f>
        <v>20442.061872000002</v>
      </c>
      <c r="I47" s="172">
        <f>ANACO!BT43</f>
        <v>20442.061872000002</v>
      </c>
      <c r="J47" s="161"/>
      <c r="K47" s="161">
        <f t="shared" si="0"/>
        <v>0</v>
      </c>
      <c r="L47" s="244">
        <v>0</v>
      </c>
      <c r="M47" s="244"/>
      <c r="N47" s="244"/>
      <c r="O47" s="244"/>
      <c r="P47" s="244"/>
      <c r="Q47" s="244"/>
      <c r="R47" s="244"/>
      <c r="S47" s="244"/>
      <c r="T47" s="244"/>
      <c r="U47" s="244"/>
      <c r="V47" s="244"/>
      <c r="W47" s="244"/>
      <c r="X47" s="244"/>
      <c r="Y47" s="244"/>
      <c r="Z47" s="244"/>
      <c r="AA47" s="244"/>
      <c r="AB47" s="244"/>
      <c r="AC47" s="244"/>
      <c r="AD47" s="244"/>
      <c r="AE47" s="244"/>
      <c r="AF47" s="244"/>
      <c r="AG47" s="244"/>
      <c r="AH47" s="244"/>
      <c r="AI47" s="244"/>
      <c r="AJ47" s="244"/>
      <c r="AK47" s="244"/>
      <c r="AL47" s="244"/>
      <c r="AM47" s="244"/>
      <c r="AN47" s="244"/>
      <c r="AO47" s="244"/>
      <c r="AP47" s="244"/>
      <c r="AQ47" s="244"/>
      <c r="AR47" s="244"/>
      <c r="AS47" s="244"/>
      <c r="AT47" s="244"/>
      <c r="AU47" s="244"/>
      <c r="AV47" s="161"/>
      <c r="AW47" s="161"/>
      <c r="AX47" s="243">
        <v>0</v>
      </c>
      <c r="AY47" s="161"/>
      <c r="AZ47" s="161"/>
      <c r="BA47" s="243">
        <v>0</v>
      </c>
      <c r="BB47" s="212">
        <f t="shared" si="1"/>
        <v>0</v>
      </c>
      <c r="BC47" s="256"/>
      <c r="BD47" s="162">
        <f t="shared" si="2"/>
        <v>1939.4745609108163</v>
      </c>
      <c r="BE47" s="162">
        <f t="shared" si="3"/>
        <v>0</v>
      </c>
      <c r="BF47" s="243"/>
      <c r="BG47" s="243"/>
      <c r="BH47" s="243"/>
      <c r="BI47" s="257"/>
      <c r="BJ47" s="257"/>
      <c r="BK47" s="243"/>
      <c r="BL47" s="243"/>
      <c r="BM47" s="243"/>
      <c r="BN47" s="243"/>
      <c r="BO47" s="243"/>
      <c r="BP47" s="243"/>
      <c r="BQ47" s="243"/>
      <c r="BR47" s="243"/>
      <c r="BS47" s="243"/>
      <c r="BT47" s="243"/>
      <c r="BU47" s="243"/>
      <c r="BV47" s="243"/>
      <c r="BW47" s="243"/>
      <c r="BX47" s="243"/>
      <c r="BY47" s="243"/>
      <c r="BZ47" s="243"/>
      <c r="CA47" s="243"/>
      <c r="CB47" s="243"/>
      <c r="CC47" s="243"/>
      <c r="CD47" s="243"/>
      <c r="CE47" s="245">
        <v>0</v>
      </c>
      <c r="CF47" s="245">
        <v>0</v>
      </c>
      <c r="CG47" s="245">
        <v>1</v>
      </c>
      <c r="CH47" s="246">
        <v>0</v>
      </c>
      <c r="CI47" s="219">
        <f t="shared" si="4"/>
        <v>0</v>
      </c>
      <c r="CJ47" s="245">
        <v>1</v>
      </c>
      <c r="CK47" s="246">
        <v>0</v>
      </c>
      <c r="CL47" s="163">
        <f t="shared" si="5"/>
        <v>0</v>
      </c>
      <c r="CM47" s="245">
        <v>1</v>
      </c>
      <c r="CN47" s="246">
        <v>0</v>
      </c>
      <c r="CO47" s="163">
        <f t="shared" si="6"/>
        <v>0</v>
      </c>
      <c r="CP47" s="245">
        <v>1</v>
      </c>
      <c r="CQ47" s="246">
        <v>0</v>
      </c>
      <c r="CR47" s="163">
        <f t="shared" si="7"/>
        <v>0</v>
      </c>
      <c r="CS47" s="207">
        <f t="shared" si="8"/>
        <v>0</v>
      </c>
      <c r="CT47" s="258"/>
      <c r="CU47" s="258"/>
      <c r="CV47" s="258"/>
      <c r="CW47" s="258"/>
      <c r="CX47" s="258"/>
      <c r="CY47" s="258"/>
      <c r="CZ47" s="258"/>
      <c r="DA47" s="258"/>
      <c r="DB47" s="258"/>
      <c r="DC47" s="258"/>
    </row>
    <row r="48" spans="1:173" s="168" customFormat="1">
      <c r="A48" s="156"/>
      <c r="B48" s="205" t="str">
        <f>ANACO!B44</f>
        <v>S7b</v>
      </c>
      <c r="C48" s="204" t="str">
        <f>ANACO!C44</f>
        <v>Serramento in acciaio rettangolare con porta inferiore a doppia anta apertura esterna US con pushbar; tre specchiature sopraluce:; inferiore apribile a battente e apertura esterna, centrale rettangolare opaca fissa, superiore a battente e apertura esterna.SOSTITUITO CON SERRAMENTO IN ALLUMINIO COMPOSTO DA PIU ELEMENTI ACCOPPIATI Reynaers SlimLine 38 (SL 38)
Controtelaio composto da tubi rettangolari ancorato alla struttura principale mediante adeguate zanche annegate nel muro o viti di fissaggio, il telaio deve essere correttamente isolato e zincato per proteggerlo dalla corrosione. 
Vetro: 66.2 COOL-LITE 70-33#2 INDURITI / 20mm (aria-argon 90%) / 55.2 int. INDURITI
Comprese lamiere di raccordo, memebrane e isolanti.</v>
      </c>
      <c r="D48" s="165">
        <f>ANACO!H44</f>
        <v>1</v>
      </c>
      <c r="E48" s="165"/>
      <c r="F48" s="203">
        <f>ANACO!G44</f>
        <v>10.54</v>
      </c>
      <c r="G48" s="203">
        <f>ANACO!I44</f>
        <v>10.54</v>
      </c>
      <c r="H48" s="166">
        <f>ANACO!BS44</f>
        <v>20455.681872000001</v>
      </c>
      <c r="I48" s="172">
        <f>ANACO!BT44</f>
        <v>20455.681872000001</v>
      </c>
      <c r="J48" s="161"/>
      <c r="K48" s="161">
        <f t="shared" si="0"/>
        <v>0</v>
      </c>
      <c r="L48" s="244">
        <v>0</v>
      </c>
      <c r="M48" s="244"/>
      <c r="N48" s="244"/>
      <c r="O48" s="244"/>
      <c r="P48" s="244"/>
      <c r="Q48" s="244"/>
      <c r="R48" s="244"/>
      <c r="S48" s="244"/>
      <c r="T48" s="244"/>
      <c r="U48" s="244"/>
      <c r="V48" s="244"/>
      <c r="W48" s="244"/>
      <c r="X48" s="244"/>
      <c r="Y48" s="244"/>
      <c r="Z48" s="244"/>
      <c r="AA48" s="244"/>
      <c r="AB48" s="244"/>
      <c r="AC48" s="244"/>
      <c r="AD48" s="244"/>
      <c r="AE48" s="244"/>
      <c r="AF48" s="244"/>
      <c r="AG48" s="244"/>
      <c r="AH48" s="244"/>
      <c r="AI48" s="244"/>
      <c r="AJ48" s="244"/>
      <c r="AK48" s="244"/>
      <c r="AL48" s="244"/>
      <c r="AM48" s="244"/>
      <c r="AN48" s="244"/>
      <c r="AO48" s="244"/>
      <c r="AP48" s="244"/>
      <c r="AQ48" s="244"/>
      <c r="AR48" s="244"/>
      <c r="AS48" s="244"/>
      <c r="AT48" s="244"/>
      <c r="AU48" s="244"/>
      <c r="AV48" s="161"/>
      <c r="AW48" s="161"/>
      <c r="AX48" s="243">
        <v>0</v>
      </c>
      <c r="AY48" s="161"/>
      <c r="AZ48" s="161"/>
      <c r="BA48" s="243">
        <v>0</v>
      </c>
      <c r="BB48" s="212">
        <f t="shared" si="1"/>
        <v>0</v>
      </c>
      <c r="BC48" s="256"/>
      <c r="BD48" s="162">
        <f t="shared" si="2"/>
        <v>1940.7667810246683</v>
      </c>
      <c r="BE48" s="162">
        <f t="shared" si="3"/>
        <v>0</v>
      </c>
      <c r="BF48" s="243"/>
      <c r="BG48" s="243"/>
      <c r="BH48" s="243"/>
      <c r="BI48" s="257"/>
      <c r="BJ48" s="257"/>
      <c r="BK48" s="243"/>
      <c r="BL48" s="243"/>
      <c r="BM48" s="243"/>
      <c r="BN48" s="243"/>
      <c r="BO48" s="243"/>
      <c r="BP48" s="243"/>
      <c r="BQ48" s="243"/>
      <c r="BR48" s="243"/>
      <c r="BS48" s="243"/>
      <c r="BT48" s="243"/>
      <c r="BU48" s="243"/>
      <c r="BV48" s="243"/>
      <c r="BW48" s="243"/>
      <c r="BX48" s="243"/>
      <c r="BY48" s="243"/>
      <c r="BZ48" s="243"/>
      <c r="CA48" s="243"/>
      <c r="CB48" s="243"/>
      <c r="CC48" s="243"/>
      <c r="CD48" s="243"/>
      <c r="CE48" s="245">
        <v>0</v>
      </c>
      <c r="CF48" s="245">
        <v>0</v>
      </c>
      <c r="CG48" s="245">
        <v>1</v>
      </c>
      <c r="CH48" s="246">
        <v>0</v>
      </c>
      <c r="CI48" s="219">
        <f t="shared" si="4"/>
        <v>0</v>
      </c>
      <c r="CJ48" s="245">
        <v>1</v>
      </c>
      <c r="CK48" s="246">
        <v>0</v>
      </c>
      <c r="CL48" s="163">
        <f t="shared" si="5"/>
        <v>0</v>
      </c>
      <c r="CM48" s="245">
        <v>1</v>
      </c>
      <c r="CN48" s="246">
        <v>0</v>
      </c>
      <c r="CO48" s="163">
        <f t="shared" si="6"/>
        <v>0</v>
      </c>
      <c r="CP48" s="245">
        <v>1</v>
      </c>
      <c r="CQ48" s="246">
        <v>0</v>
      </c>
      <c r="CR48" s="163">
        <f t="shared" si="7"/>
        <v>0</v>
      </c>
      <c r="CS48" s="207">
        <f t="shared" si="8"/>
        <v>0</v>
      </c>
      <c r="CT48" s="258"/>
      <c r="CU48" s="258"/>
      <c r="CV48" s="258"/>
      <c r="CW48" s="258"/>
      <c r="CX48" s="258"/>
      <c r="CY48" s="258"/>
      <c r="CZ48" s="258"/>
      <c r="DA48" s="258"/>
      <c r="DB48" s="258"/>
      <c r="DC48" s="258"/>
      <c r="DD48" s="156"/>
      <c r="DE48" s="156"/>
      <c r="DF48" s="156"/>
      <c r="DG48" s="156"/>
      <c r="DH48" s="156"/>
      <c r="DI48" s="156"/>
      <c r="DJ48" s="156"/>
      <c r="DK48" s="156"/>
      <c r="DL48" s="156"/>
      <c r="DM48" s="156"/>
      <c r="DN48" s="156"/>
      <c r="DO48" s="156"/>
      <c r="DP48" s="156"/>
      <c r="DQ48" s="156"/>
      <c r="DR48" s="156"/>
      <c r="DS48" s="156"/>
      <c r="DT48" s="156"/>
      <c r="DU48" s="156"/>
      <c r="DV48" s="156"/>
      <c r="DW48" s="156"/>
      <c r="DX48" s="156"/>
      <c r="DY48" s="156"/>
      <c r="DZ48" s="156"/>
      <c r="EA48" s="156"/>
      <c r="EB48" s="156"/>
      <c r="EC48" s="156"/>
      <c r="ED48" s="156"/>
      <c r="EE48" s="156"/>
      <c r="EF48" s="156"/>
      <c r="EG48" s="156"/>
      <c r="EH48" s="156"/>
      <c r="EI48" s="156"/>
      <c r="EJ48" s="156"/>
      <c r="EK48" s="156"/>
      <c r="EL48" s="156"/>
      <c r="EM48" s="156"/>
      <c r="EN48" s="156"/>
      <c r="EO48" s="156"/>
      <c r="EP48" s="156"/>
      <c r="EQ48" s="156"/>
      <c r="ER48" s="156"/>
      <c r="ES48" s="156"/>
      <c r="ET48" s="156"/>
      <c r="EU48" s="156"/>
      <c r="EV48" s="156"/>
      <c r="EW48" s="156"/>
      <c r="EX48" s="156"/>
      <c r="EY48" s="156"/>
      <c r="EZ48" s="156"/>
      <c r="FA48" s="156"/>
      <c r="FB48" s="156"/>
      <c r="FC48" s="156"/>
      <c r="FD48" s="156"/>
      <c r="FE48" s="156"/>
      <c r="FF48" s="156"/>
      <c r="FG48" s="156"/>
      <c r="FH48" s="156"/>
      <c r="FI48" s="156"/>
      <c r="FJ48" s="156"/>
      <c r="FK48" s="156"/>
      <c r="FL48" s="156"/>
      <c r="FM48" s="156"/>
      <c r="FN48" s="156"/>
      <c r="FO48" s="156"/>
      <c r="FP48" s="156"/>
      <c r="FQ48" s="156"/>
    </row>
    <row r="49" spans="1:173" s="168" customFormat="1">
      <c r="A49" s="156"/>
      <c r="B49" s="205" t="str">
        <f>ANACO!B45</f>
        <v>S8</v>
      </c>
      <c r="C49" s="204" t="str">
        <f>ANACO!C45</f>
        <v>Serramento in acciaio rettangolare con porta inferiore a doppia anta apertura esterna; tre specchiature sopraluce:; inferiore apribile a battente e apertura esterna, centrale rettangolare opaca fissa, superiore a battente e apertura esterna.SOSTITUITO CON SERRAMENTO IN ALLUMINIO COMPOSTO DA PIU ELEMENTI ACCOPPIATI Reynaers SlimLine 38 (SL 38)
Controtelaio composto da tubi rettangolari ancorato alla struttura principale mediante adeguate zanche annegate nel muro o viti di fissaggio, il telaio deve essere correttamente isolato e zincato per proteggerlo dalla corrosione. 
Vetro: 66.2 COOL-LITE 70-33#2 INDURITI / 20mm (aria-argon 90%) / 55.2 int. INDURITI
Comprese lamiere di raccordo, memebrane e isolanti.</v>
      </c>
      <c r="D49" s="165">
        <f>ANACO!H45</f>
        <v>4</v>
      </c>
      <c r="E49" s="165"/>
      <c r="F49" s="203">
        <f>ANACO!G45</f>
        <v>10.54</v>
      </c>
      <c r="G49" s="203">
        <f>ANACO!I45</f>
        <v>42.16</v>
      </c>
      <c r="H49" s="166">
        <f>ANACO!BS45</f>
        <v>19496.833871999999</v>
      </c>
      <c r="I49" s="172">
        <f>ANACO!BT45</f>
        <v>77987.335487999997</v>
      </c>
      <c r="J49" s="161"/>
      <c r="K49" s="161">
        <f t="shared" si="0"/>
        <v>0</v>
      </c>
      <c r="L49" s="244">
        <v>0</v>
      </c>
      <c r="M49" s="244"/>
      <c r="N49" s="244"/>
      <c r="O49" s="244"/>
      <c r="P49" s="244"/>
      <c r="Q49" s="244"/>
      <c r="R49" s="244"/>
      <c r="S49" s="244"/>
      <c r="T49" s="244"/>
      <c r="U49" s="244"/>
      <c r="V49" s="244"/>
      <c r="W49" s="244"/>
      <c r="X49" s="244"/>
      <c r="Y49" s="244"/>
      <c r="Z49" s="244"/>
      <c r="AA49" s="244"/>
      <c r="AB49" s="244"/>
      <c r="AC49" s="244"/>
      <c r="AD49" s="244"/>
      <c r="AE49" s="244"/>
      <c r="AF49" s="244"/>
      <c r="AG49" s="244"/>
      <c r="AH49" s="244"/>
      <c r="AI49" s="244"/>
      <c r="AJ49" s="244"/>
      <c r="AK49" s="244"/>
      <c r="AL49" s="244"/>
      <c r="AM49" s="244"/>
      <c r="AN49" s="244"/>
      <c r="AO49" s="244"/>
      <c r="AP49" s="244"/>
      <c r="AQ49" s="244"/>
      <c r="AR49" s="244"/>
      <c r="AS49" s="244"/>
      <c r="AT49" s="244"/>
      <c r="AU49" s="244"/>
      <c r="AV49" s="161"/>
      <c r="AW49" s="161"/>
      <c r="AX49" s="243">
        <v>0</v>
      </c>
      <c r="AY49" s="161"/>
      <c r="AZ49" s="161"/>
      <c r="BA49" s="243">
        <v>0</v>
      </c>
      <c r="BB49" s="212">
        <f t="shared" si="1"/>
        <v>0</v>
      </c>
      <c r="BC49" s="256"/>
      <c r="BD49" s="162">
        <f t="shared" si="2"/>
        <v>1849.7944850094877</v>
      </c>
      <c r="BE49" s="162">
        <f t="shared" si="3"/>
        <v>0</v>
      </c>
      <c r="BF49" s="243"/>
      <c r="BG49" s="243"/>
      <c r="BH49" s="243"/>
      <c r="BI49" s="257"/>
      <c r="BJ49" s="257"/>
      <c r="BK49" s="243"/>
      <c r="BL49" s="243"/>
      <c r="BM49" s="243"/>
      <c r="BN49" s="243"/>
      <c r="BO49" s="243"/>
      <c r="BP49" s="243"/>
      <c r="BQ49" s="243"/>
      <c r="BR49" s="243"/>
      <c r="BS49" s="243"/>
      <c r="BT49" s="243"/>
      <c r="BU49" s="243"/>
      <c r="BV49" s="243"/>
      <c r="BW49" s="243"/>
      <c r="BX49" s="243"/>
      <c r="BY49" s="243"/>
      <c r="BZ49" s="243"/>
      <c r="CA49" s="243"/>
      <c r="CB49" s="243"/>
      <c r="CC49" s="243"/>
      <c r="CD49" s="243"/>
      <c r="CE49" s="245">
        <v>0</v>
      </c>
      <c r="CF49" s="245">
        <v>0</v>
      </c>
      <c r="CG49" s="245">
        <v>1</v>
      </c>
      <c r="CH49" s="246">
        <v>0</v>
      </c>
      <c r="CI49" s="219">
        <f t="shared" si="4"/>
        <v>0</v>
      </c>
      <c r="CJ49" s="245">
        <v>1</v>
      </c>
      <c r="CK49" s="246">
        <v>0</v>
      </c>
      <c r="CL49" s="163">
        <f t="shared" si="5"/>
        <v>0</v>
      </c>
      <c r="CM49" s="245">
        <v>1</v>
      </c>
      <c r="CN49" s="246">
        <v>0</v>
      </c>
      <c r="CO49" s="163">
        <f t="shared" si="6"/>
        <v>0</v>
      </c>
      <c r="CP49" s="245">
        <v>1</v>
      </c>
      <c r="CQ49" s="246">
        <v>0</v>
      </c>
      <c r="CR49" s="163">
        <f t="shared" si="7"/>
        <v>0</v>
      </c>
      <c r="CS49" s="207">
        <f t="shared" si="8"/>
        <v>0</v>
      </c>
      <c r="CT49" s="258"/>
      <c r="CU49" s="258"/>
      <c r="CV49" s="258"/>
      <c r="CW49" s="258"/>
      <c r="CX49" s="258"/>
      <c r="CY49" s="258"/>
      <c r="CZ49" s="258"/>
      <c r="DA49" s="258"/>
      <c r="DB49" s="258"/>
      <c r="DC49" s="258"/>
      <c r="DD49" s="156"/>
      <c r="DE49" s="156"/>
      <c r="DF49" s="156"/>
      <c r="DG49" s="156"/>
      <c r="DH49" s="156"/>
      <c r="DI49" s="156"/>
      <c r="DJ49" s="156"/>
      <c r="DK49" s="156"/>
      <c r="DL49" s="156"/>
      <c r="DM49" s="156"/>
      <c r="DN49" s="156"/>
      <c r="DO49" s="156"/>
      <c r="DP49" s="156"/>
      <c r="DQ49" s="156"/>
      <c r="DR49" s="156"/>
      <c r="DS49" s="156"/>
      <c r="DT49" s="156"/>
      <c r="DU49" s="156"/>
      <c r="DV49" s="156"/>
      <c r="DW49" s="156"/>
      <c r="DX49" s="156"/>
      <c r="DY49" s="156"/>
      <c r="DZ49" s="156"/>
      <c r="EA49" s="156"/>
      <c r="EB49" s="156"/>
      <c r="EC49" s="156"/>
      <c r="ED49" s="156"/>
      <c r="EE49" s="156"/>
      <c r="EF49" s="156"/>
      <c r="EG49" s="156"/>
      <c r="EH49" s="156"/>
      <c r="EI49" s="156"/>
      <c r="EJ49" s="156"/>
      <c r="EK49" s="156"/>
      <c r="EL49" s="156"/>
      <c r="EM49" s="156"/>
      <c r="EN49" s="156"/>
      <c r="EO49" s="156"/>
      <c r="EP49" s="156"/>
      <c r="EQ49" s="156"/>
      <c r="ER49" s="156"/>
      <c r="ES49" s="156"/>
      <c r="ET49" s="156"/>
      <c r="EU49" s="156"/>
      <c r="EV49" s="156"/>
      <c r="EW49" s="156"/>
      <c r="EX49" s="156"/>
      <c r="EY49" s="156"/>
      <c r="EZ49" s="156"/>
      <c r="FA49" s="156"/>
      <c r="FB49" s="156"/>
      <c r="FC49" s="156"/>
      <c r="FD49" s="156"/>
      <c r="FE49" s="156"/>
      <c r="FF49" s="156"/>
      <c r="FG49" s="156"/>
      <c r="FH49" s="156"/>
      <c r="FI49" s="156"/>
      <c r="FJ49" s="156"/>
      <c r="FK49" s="156"/>
      <c r="FL49" s="156"/>
      <c r="FM49" s="156"/>
      <c r="FN49" s="156"/>
      <c r="FO49" s="156"/>
      <c r="FP49" s="156"/>
      <c r="FQ49" s="156"/>
    </row>
    <row r="50" spans="1:173">
      <c r="B50" s="205" t="str">
        <f>ANACO!B46</f>
        <v>S9</v>
      </c>
      <c r="C50" s="204" t="str">
        <f>ANACO!C46</f>
        <v>Serramento in acciaio con volta circolare fissa specchiatura inferiore con vetri fissi, sopraluce rettangolare fisso e apribile vasistas di ventilazione apertura meccanizzata.
Controtelaio composto da tubi rettangolari ancorato alla struttura principale mediante adeguate zanche annegate nel muro o viti di fissaggio, il telaio deve essere correttamente isolato e zincato per proteggerlo dalla corrosione. 
Vetro: 66.2 COOL-LITE 70-33#2 INDURITI / 20mm (aria-argon 90%) / 55.2 int. INDURITI
Comprese lamiere di raccordo, memebrane e isolanti.</v>
      </c>
      <c r="D50" s="165">
        <f>ANACO!H46</f>
        <v>2</v>
      </c>
      <c r="E50" s="165"/>
      <c r="F50" s="203">
        <f>ANACO!G46</f>
        <v>17.7</v>
      </c>
      <c r="G50" s="203">
        <f>ANACO!I46</f>
        <v>35.4</v>
      </c>
      <c r="H50" s="166">
        <f>ANACO!BS46</f>
        <v>31239.349560000002</v>
      </c>
      <c r="I50" s="172">
        <f>ANACO!BT46</f>
        <v>62478.699120000005</v>
      </c>
      <c r="J50" s="161"/>
      <c r="K50" s="161">
        <f t="shared" si="0"/>
        <v>0</v>
      </c>
      <c r="L50" s="244">
        <v>0</v>
      </c>
      <c r="M50" s="244"/>
      <c r="N50" s="244"/>
      <c r="O50" s="244"/>
      <c r="P50" s="244"/>
      <c r="Q50" s="244"/>
      <c r="R50" s="244"/>
      <c r="S50" s="244"/>
      <c r="T50" s="244"/>
      <c r="U50" s="244"/>
      <c r="V50" s="244"/>
      <c r="W50" s="244"/>
      <c r="X50" s="244"/>
      <c r="Y50" s="244"/>
      <c r="Z50" s="244"/>
      <c r="AA50" s="244"/>
      <c r="AB50" s="244"/>
      <c r="AC50" s="244"/>
      <c r="AD50" s="244"/>
      <c r="AE50" s="244"/>
      <c r="AF50" s="244"/>
      <c r="AG50" s="244"/>
      <c r="AH50" s="244"/>
      <c r="AI50" s="244"/>
      <c r="AJ50" s="244"/>
      <c r="AK50" s="244"/>
      <c r="AL50" s="244"/>
      <c r="AM50" s="244"/>
      <c r="AN50" s="244"/>
      <c r="AO50" s="244"/>
      <c r="AP50" s="244"/>
      <c r="AQ50" s="244"/>
      <c r="AR50" s="244"/>
      <c r="AS50" s="244"/>
      <c r="AT50" s="244"/>
      <c r="AU50" s="244"/>
      <c r="AV50" s="161"/>
      <c r="AW50" s="161"/>
      <c r="AX50" s="243">
        <v>0</v>
      </c>
      <c r="AY50" s="161"/>
      <c r="AZ50" s="161"/>
      <c r="BA50" s="243">
        <v>0</v>
      </c>
      <c r="BB50" s="212">
        <f t="shared" si="1"/>
        <v>0</v>
      </c>
      <c r="BC50" s="256"/>
      <c r="BD50" s="162">
        <f t="shared" si="2"/>
        <v>1764.9350033898306</v>
      </c>
      <c r="BE50" s="162">
        <f t="shared" si="3"/>
        <v>0</v>
      </c>
      <c r="BF50" s="243"/>
      <c r="BG50" s="243"/>
      <c r="BH50" s="243"/>
      <c r="BI50" s="257"/>
      <c r="BJ50" s="257"/>
      <c r="BK50" s="243"/>
      <c r="BL50" s="243"/>
      <c r="BM50" s="243"/>
      <c r="BN50" s="243"/>
      <c r="BO50" s="243"/>
      <c r="BP50" s="243"/>
      <c r="BQ50" s="243"/>
      <c r="BR50" s="243"/>
      <c r="BS50" s="243"/>
      <c r="BT50" s="243"/>
      <c r="BU50" s="243"/>
      <c r="BV50" s="243"/>
      <c r="BW50" s="243"/>
      <c r="BX50" s="243"/>
      <c r="BY50" s="243"/>
      <c r="BZ50" s="243"/>
      <c r="CA50" s="243"/>
      <c r="CB50" s="243"/>
      <c r="CC50" s="243"/>
      <c r="CD50" s="243"/>
      <c r="CE50" s="245">
        <v>0</v>
      </c>
      <c r="CF50" s="245">
        <v>0</v>
      </c>
      <c r="CG50" s="245">
        <v>1</v>
      </c>
      <c r="CH50" s="246">
        <v>0</v>
      </c>
      <c r="CI50" s="219">
        <f t="shared" si="4"/>
        <v>0</v>
      </c>
      <c r="CJ50" s="245">
        <v>1</v>
      </c>
      <c r="CK50" s="246">
        <v>0</v>
      </c>
      <c r="CL50" s="163">
        <f t="shared" si="5"/>
        <v>0</v>
      </c>
      <c r="CM50" s="245">
        <v>1</v>
      </c>
      <c r="CN50" s="246">
        <v>0</v>
      </c>
      <c r="CO50" s="163">
        <f t="shared" si="6"/>
        <v>0</v>
      </c>
      <c r="CP50" s="245">
        <v>1</v>
      </c>
      <c r="CQ50" s="246">
        <v>0</v>
      </c>
      <c r="CR50" s="163">
        <f t="shared" si="7"/>
        <v>0</v>
      </c>
      <c r="CS50" s="207">
        <f t="shared" si="8"/>
        <v>0</v>
      </c>
      <c r="CT50" s="258"/>
      <c r="CU50" s="258"/>
      <c r="CV50" s="258"/>
      <c r="CW50" s="258"/>
      <c r="CX50" s="258"/>
      <c r="CY50" s="258"/>
      <c r="CZ50" s="258"/>
      <c r="DA50" s="258"/>
      <c r="DB50" s="258"/>
      <c r="DC50" s="258"/>
    </row>
    <row r="51" spans="1:173">
      <c r="B51" s="205" t="str">
        <f>ANACO!B47</f>
        <v>FW</v>
      </c>
      <c r="C51" s="204" t="str">
        <f>ANACO!C47</f>
        <v>CONNECTION - SISTEMA FACCIATA MONTANTI E TRAVERSI CON CARTELLA :
Reynaers ConceptWall 50/60 (CW50-CW60) 
Reynaers SlimLine 38 (SL 38) 
Reynaers ConceptWall Outward Opening GB
Secondo documento di gara
Compresi: partizione EI60 FISSA Reynaers ConceptWall 50-FP (CW 50-FP) 
Vetro: 66.2 COOL-LITE 70-33#2 INDURITI / 20mm (aria-argon 90%) / 55.2 int. INDURITI
Comprese lamiere di finitura estern sv. 500mm ,  isolanti e staffe.</v>
      </c>
      <c r="D51" s="165">
        <f>ANACO!H47</f>
        <v>1</v>
      </c>
      <c r="E51" s="165"/>
      <c r="F51" s="203">
        <f>ANACO!G47</f>
        <v>1</v>
      </c>
      <c r="G51" s="203">
        <f>ANACO!I47</f>
        <v>1</v>
      </c>
      <c r="H51" s="166">
        <f>ANACO!BS47</f>
        <v>129390</v>
      </c>
      <c r="I51" s="172">
        <f>ANACO!BT47</f>
        <v>129390</v>
      </c>
      <c r="J51" s="161"/>
      <c r="K51" s="161">
        <f t="shared" si="0"/>
        <v>0</v>
      </c>
      <c r="L51" s="244">
        <v>0</v>
      </c>
      <c r="M51" s="244"/>
      <c r="N51" s="244"/>
      <c r="O51" s="244"/>
      <c r="P51" s="244"/>
      <c r="Q51" s="244"/>
      <c r="R51" s="244"/>
      <c r="S51" s="244"/>
      <c r="T51" s="244"/>
      <c r="U51" s="244"/>
      <c r="V51" s="244"/>
      <c r="W51" s="244"/>
      <c r="X51" s="244"/>
      <c r="Y51" s="244"/>
      <c r="Z51" s="244"/>
      <c r="AA51" s="244"/>
      <c r="AB51" s="244"/>
      <c r="AC51" s="244"/>
      <c r="AD51" s="244"/>
      <c r="AE51" s="244"/>
      <c r="AF51" s="244"/>
      <c r="AG51" s="244"/>
      <c r="AH51" s="244"/>
      <c r="AI51" s="244"/>
      <c r="AJ51" s="244"/>
      <c r="AK51" s="244"/>
      <c r="AL51" s="244"/>
      <c r="AM51" s="244"/>
      <c r="AN51" s="244"/>
      <c r="AO51" s="244"/>
      <c r="AP51" s="244"/>
      <c r="AQ51" s="244"/>
      <c r="AR51" s="244"/>
      <c r="AS51" s="244"/>
      <c r="AT51" s="244"/>
      <c r="AU51" s="244"/>
      <c r="AV51" s="161"/>
      <c r="AW51" s="161"/>
      <c r="AX51" s="243">
        <v>0</v>
      </c>
      <c r="AY51" s="161"/>
      <c r="AZ51" s="161"/>
      <c r="BA51" s="243">
        <v>0</v>
      </c>
      <c r="BB51" s="212">
        <f t="shared" si="1"/>
        <v>0</v>
      </c>
      <c r="BC51" s="256"/>
      <c r="BD51" s="162">
        <f t="shared" si="2"/>
        <v>129390</v>
      </c>
      <c r="BE51" s="162">
        <f t="shared" si="3"/>
        <v>0</v>
      </c>
      <c r="BF51" s="243"/>
      <c r="BG51" s="243"/>
      <c r="BH51" s="243"/>
      <c r="BI51" s="257"/>
      <c r="BJ51" s="257"/>
      <c r="BK51" s="243"/>
      <c r="BL51" s="243"/>
      <c r="BM51" s="243"/>
      <c r="BN51" s="243"/>
      <c r="BO51" s="243"/>
      <c r="BP51" s="243"/>
      <c r="BQ51" s="243"/>
      <c r="BR51" s="243"/>
      <c r="BS51" s="243"/>
      <c r="BT51" s="243"/>
      <c r="BU51" s="243"/>
      <c r="BV51" s="243"/>
      <c r="BW51" s="243"/>
      <c r="BX51" s="243"/>
      <c r="BY51" s="243"/>
      <c r="BZ51" s="243"/>
      <c r="CA51" s="243"/>
      <c r="CB51" s="243"/>
      <c r="CC51" s="243"/>
      <c r="CD51" s="243"/>
      <c r="CE51" s="245">
        <v>0</v>
      </c>
      <c r="CF51" s="245">
        <v>0</v>
      </c>
      <c r="CG51" s="245">
        <v>1</v>
      </c>
      <c r="CH51" s="246">
        <v>0</v>
      </c>
      <c r="CI51" s="219">
        <f t="shared" si="4"/>
        <v>0</v>
      </c>
      <c r="CJ51" s="245">
        <v>1</v>
      </c>
      <c r="CK51" s="246">
        <v>0</v>
      </c>
      <c r="CL51" s="163">
        <f t="shared" si="5"/>
        <v>0</v>
      </c>
      <c r="CM51" s="245">
        <v>1</v>
      </c>
      <c r="CN51" s="246">
        <v>0</v>
      </c>
      <c r="CO51" s="163">
        <f t="shared" si="6"/>
        <v>0</v>
      </c>
      <c r="CP51" s="245">
        <v>1</v>
      </c>
      <c r="CQ51" s="246">
        <v>0</v>
      </c>
      <c r="CR51" s="163">
        <f t="shared" si="7"/>
        <v>0</v>
      </c>
      <c r="CS51" s="207">
        <f t="shared" si="8"/>
        <v>0</v>
      </c>
      <c r="CT51" s="258"/>
      <c r="CU51" s="258"/>
      <c r="CV51" s="258"/>
      <c r="CW51" s="258"/>
      <c r="CX51" s="258"/>
      <c r="CY51" s="258"/>
      <c r="CZ51" s="258"/>
      <c r="DA51" s="258"/>
      <c r="DB51" s="258"/>
      <c r="DC51" s="258"/>
    </row>
    <row r="52" spans="1:173">
      <c r="B52" s="205">
        <f>ANACO!B48</f>
        <v>0</v>
      </c>
      <c r="C52" s="204">
        <f>ANACO!C48</f>
        <v>0</v>
      </c>
      <c r="D52" s="165">
        <f>ANACO!H48</f>
        <v>0</v>
      </c>
      <c r="E52" s="165"/>
      <c r="F52" s="203">
        <f>ANACO!G48</f>
        <v>0</v>
      </c>
      <c r="G52" s="203">
        <f>ANACO!I48</f>
        <v>0</v>
      </c>
      <c r="H52" s="166">
        <f>ANACO!BS48</f>
        <v>0</v>
      </c>
      <c r="I52" s="172">
        <f>ANACO!BT48</f>
        <v>0</v>
      </c>
      <c r="J52" s="161"/>
      <c r="K52" s="161">
        <f t="shared" si="0"/>
        <v>0</v>
      </c>
      <c r="L52" s="244">
        <v>0</v>
      </c>
      <c r="M52" s="244"/>
      <c r="N52" s="244"/>
      <c r="O52" s="244"/>
      <c r="P52" s="244"/>
      <c r="Q52" s="244"/>
      <c r="R52" s="244"/>
      <c r="S52" s="244"/>
      <c r="T52" s="244"/>
      <c r="U52" s="244"/>
      <c r="V52" s="244"/>
      <c r="W52" s="244"/>
      <c r="X52" s="244"/>
      <c r="Y52" s="244"/>
      <c r="Z52" s="244"/>
      <c r="AA52" s="244"/>
      <c r="AB52" s="244"/>
      <c r="AC52" s="244"/>
      <c r="AD52" s="244"/>
      <c r="AE52" s="244"/>
      <c r="AF52" s="244"/>
      <c r="AG52" s="244"/>
      <c r="AH52" s="244"/>
      <c r="AI52" s="244"/>
      <c r="AJ52" s="244"/>
      <c r="AK52" s="244"/>
      <c r="AL52" s="244"/>
      <c r="AM52" s="244"/>
      <c r="AN52" s="244"/>
      <c r="AO52" s="244"/>
      <c r="AP52" s="244"/>
      <c r="AQ52" s="244"/>
      <c r="AR52" s="244"/>
      <c r="AS52" s="244"/>
      <c r="AT52" s="244"/>
      <c r="AU52" s="244"/>
      <c r="AV52" s="161"/>
      <c r="AW52" s="161"/>
      <c r="AX52" s="243">
        <v>0</v>
      </c>
      <c r="AY52" s="161"/>
      <c r="AZ52" s="161"/>
      <c r="BA52" s="243">
        <v>0</v>
      </c>
      <c r="BB52" s="212">
        <f t="shared" si="1"/>
        <v>0</v>
      </c>
      <c r="BC52" s="256"/>
      <c r="BD52" s="162" t="e">
        <f t="shared" si="2"/>
        <v>#DIV/0!</v>
      </c>
      <c r="BE52" s="162" t="e">
        <f t="shared" si="3"/>
        <v>#DIV/0!</v>
      </c>
      <c r="BF52" s="243"/>
      <c r="BG52" s="243"/>
      <c r="BH52" s="243"/>
      <c r="BI52" s="257"/>
      <c r="BJ52" s="257"/>
      <c r="BK52" s="243"/>
      <c r="BL52" s="243"/>
      <c r="BM52" s="243"/>
      <c r="BN52" s="243"/>
      <c r="BO52" s="243"/>
      <c r="BP52" s="243"/>
      <c r="BQ52" s="243"/>
      <c r="BR52" s="243"/>
      <c r="BS52" s="243"/>
      <c r="BT52" s="243"/>
      <c r="BU52" s="243"/>
      <c r="BV52" s="243"/>
      <c r="BW52" s="243"/>
      <c r="BX52" s="243"/>
      <c r="BY52" s="243"/>
      <c r="BZ52" s="243"/>
      <c r="CA52" s="243"/>
      <c r="CB52" s="243"/>
      <c r="CC52" s="243"/>
      <c r="CD52" s="243"/>
      <c r="CE52" s="245">
        <v>0</v>
      </c>
      <c r="CF52" s="245">
        <v>0</v>
      </c>
      <c r="CG52" s="245">
        <v>1</v>
      </c>
      <c r="CH52" s="246">
        <v>0</v>
      </c>
      <c r="CI52" s="219" t="e">
        <f t="shared" si="4"/>
        <v>#DIV/0!</v>
      </c>
      <c r="CJ52" s="245">
        <v>1</v>
      </c>
      <c r="CK52" s="246">
        <v>0</v>
      </c>
      <c r="CL52" s="163" t="e">
        <f t="shared" si="5"/>
        <v>#DIV/0!</v>
      </c>
      <c r="CM52" s="245">
        <v>1</v>
      </c>
      <c r="CN52" s="246">
        <v>0</v>
      </c>
      <c r="CO52" s="163" t="e">
        <f t="shared" si="6"/>
        <v>#DIV/0!</v>
      </c>
      <c r="CP52" s="245">
        <v>1</v>
      </c>
      <c r="CQ52" s="246">
        <v>0</v>
      </c>
      <c r="CR52" s="163" t="e">
        <f t="shared" si="7"/>
        <v>#DIV/0!</v>
      </c>
      <c r="CS52" s="207" t="e">
        <f t="shared" si="8"/>
        <v>#DIV/0!</v>
      </c>
      <c r="CT52" s="258"/>
      <c r="CU52" s="258"/>
      <c r="CV52" s="258"/>
      <c r="CW52" s="258"/>
      <c r="CX52" s="258"/>
      <c r="CY52" s="258"/>
      <c r="CZ52" s="258"/>
      <c r="DA52" s="258"/>
      <c r="DB52" s="258"/>
      <c r="DC52" s="258"/>
    </row>
    <row r="53" spans="1:173">
      <c r="B53" s="205">
        <f>ANACO!B49</f>
        <v>0</v>
      </c>
      <c r="C53" s="204">
        <f>ANACO!C49</f>
        <v>0</v>
      </c>
      <c r="D53" s="165">
        <f>ANACO!H49</f>
        <v>0</v>
      </c>
      <c r="E53" s="165"/>
      <c r="F53" s="203">
        <f>ANACO!G49</f>
        <v>0</v>
      </c>
      <c r="G53" s="203">
        <f>ANACO!I49</f>
        <v>0</v>
      </c>
      <c r="H53" s="166">
        <f>ANACO!BS49</f>
        <v>0</v>
      </c>
      <c r="I53" s="172">
        <f>ANACO!BT49</f>
        <v>0</v>
      </c>
      <c r="J53" s="161"/>
      <c r="K53" s="161">
        <f t="shared" si="0"/>
        <v>0</v>
      </c>
      <c r="L53" s="244">
        <v>0</v>
      </c>
      <c r="M53" s="244"/>
      <c r="N53" s="244"/>
      <c r="O53" s="244"/>
      <c r="P53" s="244"/>
      <c r="Q53" s="244"/>
      <c r="R53" s="244"/>
      <c r="S53" s="244"/>
      <c r="T53" s="244"/>
      <c r="U53" s="244"/>
      <c r="V53" s="244"/>
      <c r="W53" s="244"/>
      <c r="X53" s="244"/>
      <c r="Y53" s="244"/>
      <c r="Z53" s="244"/>
      <c r="AA53" s="244"/>
      <c r="AB53" s="244"/>
      <c r="AC53" s="244"/>
      <c r="AD53" s="244"/>
      <c r="AE53" s="244"/>
      <c r="AF53" s="244"/>
      <c r="AG53" s="244"/>
      <c r="AH53" s="244"/>
      <c r="AI53" s="244"/>
      <c r="AJ53" s="244"/>
      <c r="AK53" s="244"/>
      <c r="AL53" s="244"/>
      <c r="AM53" s="244"/>
      <c r="AN53" s="244"/>
      <c r="AO53" s="244"/>
      <c r="AP53" s="244"/>
      <c r="AQ53" s="244"/>
      <c r="AR53" s="244"/>
      <c r="AS53" s="244"/>
      <c r="AT53" s="244"/>
      <c r="AU53" s="244"/>
      <c r="AV53" s="161"/>
      <c r="AW53" s="161"/>
      <c r="AX53" s="243">
        <v>0</v>
      </c>
      <c r="AY53" s="161"/>
      <c r="AZ53" s="161"/>
      <c r="BA53" s="243">
        <v>0</v>
      </c>
      <c r="BB53" s="212">
        <f t="shared" si="1"/>
        <v>0</v>
      </c>
      <c r="BC53" s="256"/>
      <c r="BD53" s="162" t="e">
        <f t="shared" si="2"/>
        <v>#DIV/0!</v>
      </c>
      <c r="BE53" s="162" t="e">
        <f t="shared" si="3"/>
        <v>#DIV/0!</v>
      </c>
      <c r="BF53" s="243"/>
      <c r="BG53" s="243"/>
      <c r="BH53" s="243"/>
      <c r="BI53" s="257"/>
      <c r="BJ53" s="257"/>
      <c r="BK53" s="243"/>
      <c r="BL53" s="243"/>
      <c r="BM53" s="243"/>
      <c r="BN53" s="243"/>
      <c r="BO53" s="243"/>
      <c r="BP53" s="243"/>
      <c r="BQ53" s="243"/>
      <c r="BR53" s="243"/>
      <c r="BS53" s="243"/>
      <c r="BT53" s="243"/>
      <c r="BU53" s="243"/>
      <c r="BV53" s="243"/>
      <c r="BW53" s="243"/>
      <c r="BX53" s="243"/>
      <c r="BY53" s="243"/>
      <c r="BZ53" s="243"/>
      <c r="CA53" s="243"/>
      <c r="CB53" s="243"/>
      <c r="CC53" s="243"/>
      <c r="CD53" s="243"/>
      <c r="CE53" s="245">
        <v>0</v>
      </c>
      <c r="CF53" s="245">
        <v>0</v>
      </c>
      <c r="CG53" s="245">
        <v>1</v>
      </c>
      <c r="CH53" s="246">
        <v>0</v>
      </c>
      <c r="CI53" s="219" t="e">
        <f t="shared" si="4"/>
        <v>#DIV/0!</v>
      </c>
      <c r="CJ53" s="245">
        <v>1</v>
      </c>
      <c r="CK53" s="246">
        <v>0</v>
      </c>
      <c r="CL53" s="163" t="e">
        <f t="shared" si="5"/>
        <v>#DIV/0!</v>
      </c>
      <c r="CM53" s="245">
        <v>1</v>
      </c>
      <c r="CN53" s="246">
        <v>0</v>
      </c>
      <c r="CO53" s="163" t="e">
        <f t="shared" si="6"/>
        <v>#DIV/0!</v>
      </c>
      <c r="CP53" s="245">
        <v>1</v>
      </c>
      <c r="CQ53" s="246">
        <v>0</v>
      </c>
      <c r="CR53" s="163" t="e">
        <f t="shared" si="7"/>
        <v>#DIV/0!</v>
      </c>
      <c r="CS53" s="207" t="e">
        <f t="shared" si="8"/>
        <v>#DIV/0!</v>
      </c>
      <c r="CT53" s="258"/>
      <c r="CU53" s="258"/>
      <c r="CV53" s="258"/>
      <c r="CW53" s="258"/>
      <c r="CX53" s="258"/>
      <c r="CY53" s="258"/>
      <c r="CZ53" s="258"/>
      <c r="DA53" s="258"/>
      <c r="DB53" s="258"/>
      <c r="DC53" s="258"/>
    </row>
    <row r="54" spans="1:173" s="168" customFormat="1">
      <c r="A54" s="156"/>
      <c r="B54" s="205">
        <f>ANACO!B50</f>
        <v>0</v>
      </c>
      <c r="C54" s="204">
        <f>ANACO!C50</f>
        <v>0</v>
      </c>
      <c r="D54" s="165">
        <f>ANACO!H50</f>
        <v>0</v>
      </c>
      <c r="E54" s="165"/>
      <c r="F54" s="203">
        <f>ANACO!G50</f>
        <v>0</v>
      </c>
      <c r="G54" s="203">
        <f>ANACO!I50</f>
        <v>0</v>
      </c>
      <c r="H54" s="166">
        <f>ANACO!BS50</f>
        <v>0</v>
      </c>
      <c r="I54" s="172">
        <f>ANACO!BT50</f>
        <v>0</v>
      </c>
      <c r="J54" s="161"/>
      <c r="K54" s="161">
        <f t="shared" si="0"/>
        <v>0</v>
      </c>
      <c r="L54" s="244">
        <v>0</v>
      </c>
      <c r="M54" s="244"/>
      <c r="N54" s="244"/>
      <c r="O54" s="244"/>
      <c r="P54" s="244"/>
      <c r="Q54" s="244"/>
      <c r="R54" s="244"/>
      <c r="S54" s="244"/>
      <c r="T54" s="244"/>
      <c r="U54" s="244"/>
      <c r="V54" s="244"/>
      <c r="W54" s="244"/>
      <c r="X54" s="244"/>
      <c r="Y54" s="244"/>
      <c r="Z54" s="244"/>
      <c r="AA54" s="244"/>
      <c r="AB54" s="244"/>
      <c r="AC54" s="244"/>
      <c r="AD54" s="244"/>
      <c r="AE54" s="244"/>
      <c r="AF54" s="244"/>
      <c r="AG54" s="244"/>
      <c r="AH54" s="244"/>
      <c r="AI54" s="244"/>
      <c r="AJ54" s="244"/>
      <c r="AK54" s="244"/>
      <c r="AL54" s="244"/>
      <c r="AM54" s="244"/>
      <c r="AN54" s="244"/>
      <c r="AO54" s="244"/>
      <c r="AP54" s="244"/>
      <c r="AQ54" s="244"/>
      <c r="AR54" s="244"/>
      <c r="AS54" s="244"/>
      <c r="AT54" s="244"/>
      <c r="AU54" s="244"/>
      <c r="AV54" s="161"/>
      <c r="AW54" s="161"/>
      <c r="AX54" s="243">
        <v>0</v>
      </c>
      <c r="AY54" s="161"/>
      <c r="AZ54" s="161"/>
      <c r="BA54" s="243">
        <v>0</v>
      </c>
      <c r="BB54" s="212">
        <f t="shared" si="1"/>
        <v>0</v>
      </c>
      <c r="BC54" s="256"/>
      <c r="BD54" s="162" t="e">
        <f t="shared" si="2"/>
        <v>#DIV/0!</v>
      </c>
      <c r="BE54" s="162" t="e">
        <f t="shared" si="3"/>
        <v>#DIV/0!</v>
      </c>
      <c r="BF54" s="243"/>
      <c r="BG54" s="243"/>
      <c r="BH54" s="243"/>
      <c r="BI54" s="257"/>
      <c r="BJ54" s="257"/>
      <c r="BK54" s="243"/>
      <c r="BL54" s="243"/>
      <c r="BM54" s="243"/>
      <c r="BN54" s="243"/>
      <c r="BO54" s="243"/>
      <c r="BP54" s="243"/>
      <c r="BQ54" s="243"/>
      <c r="BR54" s="243"/>
      <c r="BS54" s="243"/>
      <c r="BT54" s="243"/>
      <c r="BU54" s="243"/>
      <c r="BV54" s="243"/>
      <c r="BW54" s="243"/>
      <c r="BX54" s="243"/>
      <c r="BY54" s="243"/>
      <c r="BZ54" s="243"/>
      <c r="CA54" s="243"/>
      <c r="CB54" s="243"/>
      <c r="CC54" s="243"/>
      <c r="CD54" s="243"/>
      <c r="CE54" s="245">
        <v>0</v>
      </c>
      <c r="CF54" s="245">
        <v>0</v>
      </c>
      <c r="CG54" s="245">
        <v>1</v>
      </c>
      <c r="CH54" s="246">
        <v>0</v>
      </c>
      <c r="CI54" s="219" t="e">
        <f t="shared" si="4"/>
        <v>#DIV/0!</v>
      </c>
      <c r="CJ54" s="245">
        <v>1</v>
      </c>
      <c r="CK54" s="246">
        <v>0</v>
      </c>
      <c r="CL54" s="163" t="e">
        <f t="shared" si="5"/>
        <v>#DIV/0!</v>
      </c>
      <c r="CM54" s="245">
        <v>1</v>
      </c>
      <c r="CN54" s="246">
        <v>0</v>
      </c>
      <c r="CO54" s="163" t="e">
        <f t="shared" si="6"/>
        <v>#DIV/0!</v>
      </c>
      <c r="CP54" s="245">
        <v>1</v>
      </c>
      <c r="CQ54" s="246">
        <v>0</v>
      </c>
      <c r="CR54" s="163" t="e">
        <f t="shared" si="7"/>
        <v>#DIV/0!</v>
      </c>
      <c r="CS54" s="207" t="e">
        <f t="shared" si="8"/>
        <v>#DIV/0!</v>
      </c>
      <c r="CT54" s="258"/>
      <c r="CU54" s="258"/>
      <c r="CV54" s="258"/>
      <c r="CW54" s="258"/>
      <c r="CX54" s="258"/>
      <c r="CY54" s="258"/>
      <c r="CZ54" s="258"/>
      <c r="DA54" s="258"/>
      <c r="DB54" s="258"/>
      <c r="DC54" s="258"/>
      <c r="DD54" s="156"/>
      <c r="DE54" s="156"/>
      <c r="DF54" s="156"/>
      <c r="DG54" s="156"/>
      <c r="DH54" s="156"/>
      <c r="DI54" s="156"/>
      <c r="DJ54" s="156"/>
      <c r="DK54" s="156"/>
      <c r="DL54" s="156"/>
      <c r="DM54" s="156"/>
      <c r="DN54" s="156"/>
      <c r="DO54" s="156"/>
      <c r="DP54" s="156"/>
      <c r="DQ54" s="156"/>
      <c r="DR54" s="156"/>
      <c r="DS54" s="156"/>
      <c r="DT54" s="156"/>
      <c r="DU54" s="156"/>
      <c r="DV54" s="156"/>
      <c r="DW54" s="156"/>
      <c r="DX54" s="156"/>
      <c r="DY54" s="156"/>
      <c r="DZ54" s="156"/>
      <c r="EA54" s="156"/>
      <c r="EB54" s="156"/>
      <c r="EC54" s="156"/>
      <c r="ED54" s="156"/>
      <c r="EE54" s="156"/>
      <c r="EF54" s="156"/>
      <c r="EG54" s="156"/>
      <c r="EH54" s="156"/>
      <c r="EI54" s="156"/>
      <c r="EJ54" s="156"/>
      <c r="EK54" s="156"/>
      <c r="EL54" s="156"/>
      <c r="EM54" s="156"/>
      <c r="EN54" s="156"/>
      <c r="EO54" s="156"/>
      <c r="EP54" s="156"/>
      <c r="EQ54" s="156"/>
      <c r="ER54" s="156"/>
      <c r="ES54" s="156"/>
      <c r="ET54" s="156"/>
      <c r="EU54" s="156"/>
      <c r="EV54" s="156"/>
      <c r="EW54" s="156"/>
      <c r="EX54" s="156"/>
      <c r="EY54" s="156"/>
      <c r="EZ54" s="156"/>
      <c r="FA54" s="156"/>
      <c r="FB54" s="156"/>
      <c r="FC54" s="156"/>
      <c r="FD54" s="156"/>
      <c r="FE54" s="156"/>
      <c r="FF54" s="156"/>
      <c r="FG54" s="156"/>
      <c r="FH54" s="156"/>
      <c r="FI54" s="156"/>
      <c r="FJ54" s="156"/>
      <c r="FK54" s="156"/>
      <c r="FL54" s="156"/>
      <c r="FM54" s="156"/>
      <c r="FN54" s="156"/>
      <c r="FO54" s="156"/>
      <c r="FP54" s="156"/>
      <c r="FQ54" s="156"/>
    </row>
    <row r="55" spans="1:173" s="168" customFormat="1">
      <c r="A55" s="156"/>
      <c r="B55" s="205">
        <f>ANACO!B51</f>
        <v>0</v>
      </c>
      <c r="C55" s="204">
        <f>ANACO!C51</f>
        <v>0</v>
      </c>
      <c r="D55" s="165">
        <f>ANACO!H51</f>
        <v>0</v>
      </c>
      <c r="E55" s="165"/>
      <c r="F55" s="203">
        <f>ANACO!G51</f>
        <v>0</v>
      </c>
      <c r="G55" s="203">
        <f>ANACO!I51</f>
        <v>0</v>
      </c>
      <c r="H55" s="166">
        <f>ANACO!BS51</f>
        <v>0</v>
      </c>
      <c r="I55" s="172">
        <f>ANACO!BT51</f>
        <v>0</v>
      </c>
      <c r="J55" s="161"/>
      <c r="K55" s="161">
        <f t="shared" si="0"/>
        <v>0</v>
      </c>
      <c r="L55" s="244">
        <v>0</v>
      </c>
      <c r="M55" s="244"/>
      <c r="N55" s="244"/>
      <c r="O55" s="244"/>
      <c r="P55" s="244"/>
      <c r="Q55" s="244"/>
      <c r="R55" s="244"/>
      <c r="S55" s="244"/>
      <c r="T55" s="244"/>
      <c r="U55" s="244"/>
      <c r="V55" s="244"/>
      <c r="W55" s="244"/>
      <c r="X55" s="244"/>
      <c r="Y55" s="244"/>
      <c r="Z55" s="244"/>
      <c r="AA55" s="244"/>
      <c r="AB55" s="244"/>
      <c r="AC55" s="244"/>
      <c r="AD55" s="244"/>
      <c r="AE55" s="244"/>
      <c r="AF55" s="244"/>
      <c r="AG55" s="244"/>
      <c r="AH55" s="244"/>
      <c r="AI55" s="244"/>
      <c r="AJ55" s="244"/>
      <c r="AK55" s="244"/>
      <c r="AL55" s="244"/>
      <c r="AM55" s="244"/>
      <c r="AN55" s="244"/>
      <c r="AO55" s="244"/>
      <c r="AP55" s="244"/>
      <c r="AQ55" s="244"/>
      <c r="AR55" s="244"/>
      <c r="AS55" s="244"/>
      <c r="AT55" s="244"/>
      <c r="AU55" s="244"/>
      <c r="AV55" s="161"/>
      <c r="AW55" s="161"/>
      <c r="AX55" s="243">
        <v>0</v>
      </c>
      <c r="AY55" s="161"/>
      <c r="AZ55" s="161"/>
      <c r="BA55" s="243">
        <v>0</v>
      </c>
      <c r="BB55" s="212">
        <f t="shared" si="1"/>
        <v>0</v>
      </c>
      <c r="BC55" s="256"/>
      <c r="BD55" s="162" t="e">
        <f t="shared" si="2"/>
        <v>#DIV/0!</v>
      </c>
      <c r="BE55" s="162" t="e">
        <f t="shared" si="3"/>
        <v>#DIV/0!</v>
      </c>
      <c r="BF55" s="243"/>
      <c r="BG55" s="243"/>
      <c r="BH55" s="243"/>
      <c r="BI55" s="257"/>
      <c r="BJ55" s="257"/>
      <c r="BK55" s="243"/>
      <c r="BL55" s="243"/>
      <c r="BM55" s="243"/>
      <c r="BN55" s="243"/>
      <c r="BO55" s="243"/>
      <c r="BP55" s="243"/>
      <c r="BQ55" s="243"/>
      <c r="BR55" s="243"/>
      <c r="BS55" s="243"/>
      <c r="BT55" s="243"/>
      <c r="BU55" s="243"/>
      <c r="BV55" s="243"/>
      <c r="BW55" s="243"/>
      <c r="BX55" s="243"/>
      <c r="BY55" s="243"/>
      <c r="BZ55" s="243"/>
      <c r="CA55" s="243"/>
      <c r="CB55" s="243"/>
      <c r="CC55" s="243"/>
      <c r="CD55" s="243"/>
      <c r="CE55" s="245">
        <v>0</v>
      </c>
      <c r="CF55" s="245">
        <v>0</v>
      </c>
      <c r="CG55" s="245">
        <v>1</v>
      </c>
      <c r="CH55" s="246">
        <v>0</v>
      </c>
      <c r="CI55" s="219" t="e">
        <f t="shared" si="4"/>
        <v>#DIV/0!</v>
      </c>
      <c r="CJ55" s="245">
        <v>1</v>
      </c>
      <c r="CK55" s="246">
        <v>0</v>
      </c>
      <c r="CL55" s="163" t="e">
        <f t="shared" si="5"/>
        <v>#DIV/0!</v>
      </c>
      <c r="CM55" s="245">
        <v>1</v>
      </c>
      <c r="CN55" s="246">
        <v>0</v>
      </c>
      <c r="CO55" s="163" t="e">
        <f t="shared" si="6"/>
        <v>#DIV/0!</v>
      </c>
      <c r="CP55" s="245">
        <v>1</v>
      </c>
      <c r="CQ55" s="246">
        <v>0</v>
      </c>
      <c r="CR55" s="163" t="e">
        <f t="shared" si="7"/>
        <v>#DIV/0!</v>
      </c>
      <c r="CS55" s="207" t="e">
        <f t="shared" si="8"/>
        <v>#DIV/0!</v>
      </c>
      <c r="CT55" s="258"/>
      <c r="CU55" s="258"/>
      <c r="CV55" s="258"/>
      <c r="CW55" s="258"/>
      <c r="CX55" s="258"/>
      <c r="CY55" s="258"/>
      <c r="CZ55" s="258"/>
      <c r="DA55" s="258"/>
      <c r="DB55" s="258"/>
      <c r="DC55" s="258"/>
      <c r="DD55" s="156"/>
      <c r="DE55" s="156"/>
      <c r="DF55" s="156"/>
      <c r="DG55" s="156"/>
      <c r="DH55" s="156"/>
      <c r="DI55" s="156"/>
      <c r="DJ55" s="156"/>
      <c r="DK55" s="156"/>
      <c r="DL55" s="156"/>
      <c r="DM55" s="156"/>
      <c r="DN55" s="156"/>
      <c r="DO55" s="156"/>
      <c r="DP55" s="156"/>
      <c r="DQ55" s="156"/>
      <c r="DR55" s="156"/>
      <c r="DS55" s="156"/>
      <c r="DT55" s="156"/>
      <c r="DU55" s="156"/>
      <c r="DV55" s="156"/>
      <c r="DW55" s="156"/>
      <c r="DX55" s="156"/>
      <c r="DY55" s="156"/>
      <c r="DZ55" s="156"/>
      <c r="EA55" s="156"/>
      <c r="EB55" s="156"/>
      <c r="EC55" s="156"/>
      <c r="ED55" s="156"/>
      <c r="EE55" s="156"/>
      <c r="EF55" s="156"/>
      <c r="EG55" s="156"/>
      <c r="EH55" s="156"/>
      <c r="EI55" s="156"/>
      <c r="EJ55" s="156"/>
      <c r="EK55" s="156"/>
      <c r="EL55" s="156"/>
      <c r="EM55" s="156"/>
      <c r="EN55" s="156"/>
      <c r="EO55" s="156"/>
      <c r="EP55" s="156"/>
      <c r="EQ55" s="156"/>
      <c r="ER55" s="156"/>
      <c r="ES55" s="156"/>
      <c r="ET55" s="156"/>
      <c r="EU55" s="156"/>
      <c r="EV55" s="156"/>
      <c r="EW55" s="156"/>
      <c r="EX55" s="156"/>
      <c r="EY55" s="156"/>
      <c r="EZ55" s="156"/>
      <c r="FA55" s="156"/>
      <c r="FB55" s="156"/>
      <c r="FC55" s="156"/>
      <c r="FD55" s="156"/>
      <c r="FE55" s="156"/>
      <c r="FF55" s="156"/>
      <c r="FG55" s="156"/>
      <c r="FH55" s="156"/>
      <c r="FI55" s="156"/>
      <c r="FJ55" s="156"/>
      <c r="FK55" s="156"/>
      <c r="FL55" s="156"/>
      <c r="FM55" s="156"/>
      <c r="FN55" s="156"/>
      <c r="FO55" s="156"/>
      <c r="FP55" s="156"/>
      <c r="FQ55" s="156"/>
    </row>
    <row r="56" spans="1:173" s="168" customFormat="1">
      <c r="A56" s="156"/>
      <c r="B56" s="205">
        <f>ANACO!B52</f>
        <v>0</v>
      </c>
      <c r="C56" s="204">
        <f>ANACO!C52</f>
        <v>0</v>
      </c>
      <c r="D56" s="165">
        <f>ANACO!H52</f>
        <v>0</v>
      </c>
      <c r="E56" s="165"/>
      <c r="F56" s="203">
        <f>ANACO!G52</f>
        <v>0</v>
      </c>
      <c r="G56" s="203">
        <f>ANACO!I52</f>
        <v>0</v>
      </c>
      <c r="H56" s="166">
        <f>ANACO!BS52</f>
        <v>0</v>
      </c>
      <c r="I56" s="172">
        <f>ANACO!BT52</f>
        <v>0</v>
      </c>
      <c r="J56" s="161"/>
      <c r="K56" s="161">
        <f t="shared" si="0"/>
        <v>0</v>
      </c>
      <c r="L56" s="244">
        <v>0</v>
      </c>
      <c r="M56" s="244"/>
      <c r="N56" s="244"/>
      <c r="O56" s="244"/>
      <c r="P56" s="244"/>
      <c r="Q56" s="244"/>
      <c r="R56" s="244"/>
      <c r="S56" s="244"/>
      <c r="T56" s="244"/>
      <c r="U56" s="244"/>
      <c r="V56" s="244"/>
      <c r="W56" s="244"/>
      <c r="X56" s="244"/>
      <c r="Y56" s="244"/>
      <c r="Z56" s="244"/>
      <c r="AA56" s="244"/>
      <c r="AB56" s="244"/>
      <c r="AC56" s="244"/>
      <c r="AD56" s="244"/>
      <c r="AE56" s="244"/>
      <c r="AF56" s="244"/>
      <c r="AG56" s="244"/>
      <c r="AH56" s="244"/>
      <c r="AI56" s="244"/>
      <c r="AJ56" s="244"/>
      <c r="AK56" s="244"/>
      <c r="AL56" s="244"/>
      <c r="AM56" s="244"/>
      <c r="AN56" s="244"/>
      <c r="AO56" s="244"/>
      <c r="AP56" s="244"/>
      <c r="AQ56" s="244"/>
      <c r="AR56" s="244"/>
      <c r="AS56" s="244"/>
      <c r="AT56" s="244"/>
      <c r="AU56" s="244"/>
      <c r="AV56" s="161"/>
      <c r="AW56" s="161"/>
      <c r="AX56" s="243">
        <v>0</v>
      </c>
      <c r="AY56" s="161"/>
      <c r="AZ56" s="161"/>
      <c r="BA56" s="243">
        <v>0</v>
      </c>
      <c r="BB56" s="212">
        <f t="shared" si="1"/>
        <v>0</v>
      </c>
      <c r="BC56" s="256"/>
      <c r="BD56" s="162" t="e">
        <f t="shared" si="2"/>
        <v>#DIV/0!</v>
      </c>
      <c r="BE56" s="162" t="e">
        <f t="shared" si="3"/>
        <v>#DIV/0!</v>
      </c>
      <c r="BF56" s="243"/>
      <c r="BG56" s="243"/>
      <c r="BH56" s="243"/>
      <c r="BI56" s="257"/>
      <c r="BJ56" s="257"/>
      <c r="BK56" s="243"/>
      <c r="BL56" s="243"/>
      <c r="BM56" s="243"/>
      <c r="BN56" s="243"/>
      <c r="BO56" s="243"/>
      <c r="BP56" s="243"/>
      <c r="BQ56" s="243"/>
      <c r="BR56" s="243"/>
      <c r="BS56" s="243"/>
      <c r="BT56" s="243"/>
      <c r="BU56" s="243"/>
      <c r="BV56" s="243"/>
      <c r="BW56" s="243"/>
      <c r="BX56" s="243"/>
      <c r="BY56" s="243"/>
      <c r="BZ56" s="243"/>
      <c r="CA56" s="243"/>
      <c r="CB56" s="243"/>
      <c r="CC56" s="243"/>
      <c r="CD56" s="243"/>
      <c r="CE56" s="245">
        <v>0</v>
      </c>
      <c r="CF56" s="245">
        <v>0</v>
      </c>
      <c r="CG56" s="245">
        <v>1</v>
      </c>
      <c r="CH56" s="246">
        <v>0</v>
      </c>
      <c r="CI56" s="219" t="e">
        <f t="shared" si="4"/>
        <v>#DIV/0!</v>
      </c>
      <c r="CJ56" s="245">
        <v>1</v>
      </c>
      <c r="CK56" s="246">
        <v>0</v>
      </c>
      <c r="CL56" s="163" t="e">
        <f t="shared" si="5"/>
        <v>#DIV/0!</v>
      </c>
      <c r="CM56" s="245">
        <v>1</v>
      </c>
      <c r="CN56" s="246">
        <v>0</v>
      </c>
      <c r="CO56" s="163" t="e">
        <f t="shared" si="6"/>
        <v>#DIV/0!</v>
      </c>
      <c r="CP56" s="245">
        <v>1</v>
      </c>
      <c r="CQ56" s="246">
        <v>0</v>
      </c>
      <c r="CR56" s="163" t="e">
        <f t="shared" si="7"/>
        <v>#DIV/0!</v>
      </c>
      <c r="CS56" s="207" t="e">
        <f t="shared" si="8"/>
        <v>#DIV/0!</v>
      </c>
      <c r="CT56" s="258"/>
      <c r="CU56" s="258"/>
      <c r="CV56" s="258"/>
      <c r="CW56" s="258"/>
      <c r="CX56" s="258"/>
      <c r="CY56" s="258"/>
      <c r="CZ56" s="258"/>
      <c r="DA56" s="258"/>
      <c r="DB56" s="258"/>
      <c r="DC56" s="258"/>
      <c r="DD56" s="156"/>
      <c r="DE56" s="156"/>
      <c r="DF56" s="156"/>
      <c r="DG56" s="156"/>
      <c r="DH56" s="156"/>
      <c r="DI56" s="156"/>
      <c r="DJ56" s="156"/>
      <c r="DK56" s="156"/>
      <c r="DL56" s="156"/>
      <c r="DM56" s="156"/>
      <c r="DN56" s="156"/>
      <c r="DO56" s="156"/>
      <c r="DP56" s="156"/>
      <c r="DQ56" s="156"/>
      <c r="DR56" s="156"/>
      <c r="DS56" s="156"/>
      <c r="DT56" s="156"/>
      <c r="DU56" s="156"/>
      <c r="DV56" s="156"/>
      <c r="DW56" s="156"/>
      <c r="DX56" s="156"/>
      <c r="DY56" s="156"/>
      <c r="DZ56" s="156"/>
      <c r="EA56" s="156"/>
      <c r="EB56" s="156"/>
      <c r="EC56" s="156"/>
      <c r="ED56" s="156"/>
      <c r="EE56" s="156"/>
      <c r="EF56" s="156"/>
      <c r="EG56" s="156"/>
      <c r="EH56" s="156"/>
      <c r="EI56" s="156"/>
      <c r="EJ56" s="156"/>
      <c r="EK56" s="156"/>
      <c r="EL56" s="156"/>
      <c r="EM56" s="156"/>
      <c r="EN56" s="156"/>
      <c r="EO56" s="156"/>
      <c r="EP56" s="156"/>
      <c r="EQ56" s="156"/>
      <c r="ER56" s="156"/>
      <c r="ES56" s="156"/>
      <c r="ET56" s="156"/>
      <c r="EU56" s="156"/>
      <c r="EV56" s="156"/>
      <c r="EW56" s="156"/>
      <c r="EX56" s="156"/>
      <c r="EY56" s="156"/>
      <c r="EZ56" s="156"/>
      <c r="FA56" s="156"/>
      <c r="FB56" s="156"/>
      <c r="FC56" s="156"/>
      <c r="FD56" s="156"/>
      <c r="FE56" s="156"/>
      <c r="FF56" s="156"/>
      <c r="FG56" s="156"/>
      <c r="FH56" s="156"/>
      <c r="FI56" s="156"/>
      <c r="FJ56" s="156"/>
      <c r="FK56" s="156"/>
      <c r="FL56" s="156"/>
      <c r="FM56" s="156"/>
      <c r="FN56" s="156"/>
      <c r="FO56" s="156"/>
      <c r="FP56" s="156"/>
      <c r="FQ56" s="156"/>
    </row>
    <row r="57" spans="1:173" s="168" customFormat="1">
      <c r="A57" s="156"/>
      <c r="B57" s="205">
        <f>ANACO!B53</f>
        <v>0</v>
      </c>
      <c r="C57" s="204">
        <f>ANACO!C53</f>
        <v>0</v>
      </c>
      <c r="D57" s="165">
        <f>ANACO!H53</f>
        <v>0</v>
      </c>
      <c r="E57" s="165"/>
      <c r="F57" s="203">
        <f>ANACO!G53</f>
        <v>0</v>
      </c>
      <c r="G57" s="203">
        <f>ANACO!I53</f>
        <v>0</v>
      </c>
      <c r="H57" s="166">
        <f>ANACO!BS53</f>
        <v>0</v>
      </c>
      <c r="I57" s="172">
        <f>ANACO!BT53</f>
        <v>0</v>
      </c>
      <c r="J57" s="161"/>
      <c r="K57" s="161">
        <f t="shared" si="0"/>
        <v>0</v>
      </c>
      <c r="L57" s="244">
        <v>0</v>
      </c>
      <c r="M57" s="244"/>
      <c r="N57" s="244"/>
      <c r="O57" s="244"/>
      <c r="P57" s="244"/>
      <c r="Q57" s="244"/>
      <c r="R57" s="244"/>
      <c r="S57" s="244"/>
      <c r="T57" s="244"/>
      <c r="U57" s="244"/>
      <c r="V57" s="244"/>
      <c r="W57" s="244"/>
      <c r="X57" s="244"/>
      <c r="Y57" s="244"/>
      <c r="Z57" s="244"/>
      <c r="AA57" s="244"/>
      <c r="AB57" s="244"/>
      <c r="AC57" s="244"/>
      <c r="AD57" s="244"/>
      <c r="AE57" s="244"/>
      <c r="AF57" s="244"/>
      <c r="AG57" s="244"/>
      <c r="AH57" s="244"/>
      <c r="AI57" s="244"/>
      <c r="AJ57" s="244"/>
      <c r="AK57" s="244"/>
      <c r="AL57" s="244"/>
      <c r="AM57" s="244"/>
      <c r="AN57" s="244"/>
      <c r="AO57" s="244"/>
      <c r="AP57" s="244"/>
      <c r="AQ57" s="244"/>
      <c r="AR57" s="244"/>
      <c r="AS57" s="244"/>
      <c r="AT57" s="244"/>
      <c r="AU57" s="244"/>
      <c r="AV57" s="161"/>
      <c r="AW57" s="161"/>
      <c r="AX57" s="243">
        <v>0</v>
      </c>
      <c r="AY57" s="161"/>
      <c r="AZ57" s="161"/>
      <c r="BA57" s="243">
        <v>0</v>
      </c>
      <c r="BB57" s="212">
        <f t="shared" si="1"/>
        <v>0</v>
      </c>
      <c r="BC57" s="256"/>
      <c r="BD57" s="162" t="e">
        <f t="shared" si="2"/>
        <v>#DIV/0!</v>
      </c>
      <c r="BE57" s="162" t="e">
        <f t="shared" si="3"/>
        <v>#DIV/0!</v>
      </c>
      <c r="BF57" s="243"/>
      <c r="BG57" s="243"/>
      <c r="BH57" s="243"/>
      <c r="BI57" s="257"/>
      <c r="BJ57" s="257"/>
      <c r="BK57" s="243"/>
      <c r="BL57" s="243"/>
      <c r="BM57" s="243"/>
      <c r="BN57" s="243"/>
      <c r="BO57" s="243"/>
      <c r="BP57" s="243"/>
      <c r="BQ57" s="243"/>
      <c r="BR57" s="243"/>
      <c r="BS57" s="243"/>
      <c r="BT57" s="243"/>
      <c r="BU57" s="243"/>
      <c r="BV57" s="243"/>
      <c r="BW57" s="243"/>
      <c r="BX57" s="243"/>
      <c r="BY57" s="243"/>
      <c r="BZ57" s="243"/>
      <c r="CA57" s="243"/>
      <c r="CB57" s="243"/>
      <c r="CC57" s="243"/>
      <c r="CD57" s="243"/>
      <c r="CE57" s="245">
        <v>0</v>
      </c>
      <c r="CF57" s="245">
        <v>0</v>
      </c>
      <c r="CG57" s="245">
        <v>1</v>
      </c>
      <c r="CH57" s="246">
        <v>0</v>
      </c>
      <c r="CI57" s="219" t="e">
        <f t="shared" si="4"/>
        <v>#DIV/0!</v>
      </c>
      <c r="CJ57" s="245">
        <v>1</v>
      </c>
      <c r="CK57" s="246">
        <v>0</v>
      </c>
      <c r="CL57" s="163" t="e">
        <f t="shared" si="5"/>
        <v>#DIV/0!</v>
      </c>
      <c r="CM57" s="245">
        <v>1</v>
      </c>
      <c r="CN57" s="246">
        <v>0</v>
      </c>
      <c r="CO57" s="163" t="e">
        <f t="shared" si="6"/>
        <v>#DIV/0!</v>
      </c>
      <c r="CP57" s="245">
        <v>1</v>
      </c>
      <c r="CQ57" s="246">
        <v>0</v>
      </c>
      <c r="CR57" s="163" t="e">
        <f t="shared" si="7"/>
        <v>#DIV/0!</v>
      </c>
      <c r="CS57" s="207" t="e">
        <f t="shared" si="8"/>
        <v>#DIV/0!</v>
      </c>
      <c r="CT57" s="258"/>
      <c r="CU57" s="258"/>
      <c r="CV57" s="258"/>
      <c r="CW57" s="258"/>
      <c r="CX57" s="258"/>
      <c r="CY57" s="258"/>
      <c r="CZ57" s="258"/>
      <c r="DA57" s="258"/>
      <c r="DB57" s="258"/>
      <c r="DC57" s="258"/>
      <c r="DD57" s="156"/>
      <c r="DE57" s="156"/>
      <c r="DF57" s="156"/>
      <c r="DG57" s="156"/>
      <c r="DH57" s="156"/>
      <c r="DI57" s="156"/>
      <c r="DJ57" s="156"/>
      <c r="DK57" s="156"/>
      <c r="DL57" s="156"/>
      <c r="DM57" s="156"/>
      <c r="DN57" s="156"/>
      <c r="DO57" s="156"/>
      <c r="DP57" s="156"/>
      <c r="DQ57" s="156"/>
      <c r="DR57" s="156"/>
      <c r="DS57" s="156"/>
      <c r="DT57" s="156"/>
      <c r="DU57" s="156"/>
      <c r="DV57" s="156"/>
      <c r="DW57" s="156"/>
      <c r="DX57" s="156"/>
      <c r="DY57" s="156"/>
      <c r="DZ57" s="156"/>
      <c r="EA57" s="156"/>
      <c r="EB57" s="156"/>
      <c r="EC57" s="156"/>
      <c r="ED57" s="156"/>
      <c r="EE57" s="156"/>
      <c r="EF57" s="156"/>
      <c r="EG57" s="156"/>
      <c r="EH57" s="156"/>
      <c r="EI57" s="156"/>
      <c r="EJ57" s="156"/>
      <c r="EK57" s="156"/>
      <c r="EL57" s="156"/>
      <c r="EM57" s="156"/>
      <c r="EN57" s="156"/>
      <c r="EO57" s="156"/>
      <c r="EP57" s="156"/>
      <c r="EQ57" s="156"/>
      <c r="ER57" s="156"/>
      <c r="ES57" s="156"/>
      <c r="ET57" s="156"/>
      <c r="EU57" s="156"/>
      <c r="EV57" s="156"/>
      <c r="EW57" s="156"/>
      <c r="EX57" s="156"/>
      <c r="EY57" s="156"/>
      <c r="EZ57" s="156"/>
      <c r="FA57" s="156"/>
      <c r="FB57" s="156"/>
      <c r="FC57" s="156"/>
      <c r="FD57" s="156"/>
      <c r="FE57" s="156"/>
      <c r="FF57" s="156"/>
      <c r="FG57" s="156"/>
      <c r="FH57" s="156"/>
      <c r="FI57" s="156"/>
      <c r="FJ57" s="156"/>
      <c r="FK57" s="156"/>
      <c r="FL57" s="156"/>
      <c r="FM57" s="156"/>
      <c r="FN57" s="156"/>
      <c r="FO57" s="156"/>
      <c r="FP57" s="156"/>
      <c r="FQ57" s="156"/>
    </row>
    <row r="58" spans="1:173">
      <c r="B58" s="205">
        <f>ANACO!B54</f>
        <v>0</v>
      </c>
      <c r="C58" s="204">
        <f>ANACO!C54</f>
        <v>0</v>
      </c>
      <c r="D58" s="165">
        <f>ANACO!H54</f>
        <v>0</v>
      </c>
      <c r="E58" s="165"/>
      <c r="F58" s="203">
        <f>ANACO!G54</f>
        <v>0</v>
      </c>
      <c r="G58" s="203">
        <f>ANACO!I54</f>
        <v>0</v>
      </c>
      <c r="H58" s="166">
        <f>ANACO!BS54</f>
        <v>0</v>
      </c>
      <c r="I58" s="172">
        <f>ANACO!BT54</f>
        <v>0</v>
      </c>
      <c r="J58" s="161"/>
      <c r="K58" s="161">
        <f t="shared" si="0"/>
        <v>0</v>
      </c>
      <c r="L58" s="244">
        <v>0</v>
      </c>
      <c r="M58" s="244"/>
      <c r="N58" s="244"/>
      <c r="O58" s="244"/>
      <c r="P58" s="244"/>
      <c r="Q58" s="244"/>
      <c r="R58" s="244"/>
      <c r="S58" s="244"/>
      <c r="T58" s="244"/>
      <c r="U58" s="244"/>
      <c r="V58" s="244"/>
      <c r="W58" s="244"/>
      <c r="X58" s="244"/>
      <c r="Y58" s="244"/>
      <c r="Z58" s="244"/>
      <c r="AA58" s="244"/>
      <c r="AB58" s="244"/>
      <c r="AC58" s="244"/>
      <c r="AD58" s="244"/>
      <c r="AE58" s="244"/>
      <c r="AF58" s="244"/>
      <c r="AG58" s="244"/>
      <c r="AH58" s="244"/>
      <c r="AI58" s="244"/>
      <c r="AJ58" s="244"/>
      <c r="AK58" s="244"/>
      <c r="AL58" s="244"/>
      <c r="AM58" s="244"/>
      <c r="AN58" s="244"/>
      <c r="AO58" s="244"/>
      <c r="AP58" s="244"/>
      <c r="AQ58" s="244"/>
      <c r="AR58" s="244"/>
      <c r="AS58" s="244"/>
      <c r="AT58" s="244"/>
      <c r="AU58" s="244"/>
      <c r="AV58" s="161"/>
      <c r="AW58" s="161"/>
      <c r="AX58" s="243">
        <v>0</v>
      </c>
      <c r="AY58" s="161"/>
      <c r="AZ58" s="161"/>
      <c r="BA58" s="243">
        <v>0</v>
      </c>
      <c r="BB58" s="212">
        <f t="shared" si="1"/>
        <v>0</v>
      </c>
      <c r="BC58" s="256"/>
      <c r="BD58" s="162" t="e">
        <f t="shared" si="2"/>
        <v>#DIV/0!</v>
      </c>
      <c r="BE58" s="162" t="e">
        <f t="shared" si="3"/>
        <v>#DIV/0!</v>
      </c>
      <c r="BF58" s="243"/>
      <c r="BG58" s="243"/>
      <c r="BH58" s="243"/>
      <c r="BI58" s="257"/>
      <c r="BJ58" s="257"/>
      <c r="BK58" s="243"/>
      <c r="BL58" s="243"/>
      <c r="BM58" s="243"/>
      <c r="BN58" s="243"/>
      <c r="BO58" s="243"/>
      <c r="BP58" s="243"/>
      <c r="BQ58" s="243"/>
      <c r="BR58" s="243"/>
      <c r="BS58" s="243"/>
      <c r="BT58" s="243"/>
      <c r="BU58" s="243"/>
      <c r="BV58" s="243"/>
      <c r="BW58" s="243"/>
      <c r="BX58" s="243"/>
      <c r="BY58" s="243"/>
      <c r="BZ58" s="243"/>
      <c r="CA58" s="243"/>
      <c r="CB58" s="243"/>
      <c r="CC58" s="243"/>
      <c r="CD58" s="243"/>
      <c r="CE58" s="245">
        <v>0</v>
      </c>
      <c r="CF58" s="245">
        <v>0</v>
      </c>
      <c r="CG58" s="245">
        <v>1</v>
      </c>
      <c r="CH58" s="246">
        <v>0</v>
      </c>
      <c r="CI58" s="219" t="e">
        <f t="shared" si="4"/>
        <v>#DIV/0!</v>
      </c>
      <c r="CJ58" s="245">
        <v>1</v>
      </c>
      <c r="CK58" s="246">
        <v>0</v>
      </c>
      <c r="CL58" s="163" t="e">
        <f t="shared" si="5"/>
        <v>#DIV/0!</v>
      </c>
      <c r="CM58" s="245">
        <v>1</v>
      </c>
      <c r="CN58" s="246">
        <v>0</v>
      </c>
      <c r="CO58" s="163" t="e">
        <f t="shared" si="6"/>
        <v>#DIV/0!</v>
      </c>
      <c r="CP58" s="245">
        <v>1</v>
      </c>
      <c r="CQ58" s="246">
        <v>0</v>
      </c>
      <c r="CR58" s="163" t="e">
        <f t="shared" si="7"/>
        <v>#DIV/0!</v>
      </c>
      <c r="CS58" s="207" t="e">
        <f t="shared" si="8"/>
        <v>#DIV/0!</v>
      </c>
      <c r="CT58" s="258"/>
      <c r="CU58" s="258"/>
      <c r="CV58" s="258"/>
      <c r="CW58" s="258"/>
      <c r="CX58" s="258"/>
      <c r="CY58" s="258"/>
      <c r="CZ58" s="258"/>
      <c r="DA58" s="258"/>
      <c r="DB58" s="258"/>
      <c r="DC58" s="258"/>
    </row>
    <row r="59" spans="1:173">
      <c r="B59" s="205">
        <f>ANACO!B55</f>
        <v>0</v>
      </c>
      <c r="C59" s="204">
        <f>ANACO!C55</f>
        <v>0</v>
      </c>
      <c r="D59" s="165">
        <f>ANACO!H55</f>
        <v>0</v>
      </c>
      <c r="E59" s="165"/>
      <c r="F59" s="203">
        <f>ANACO!G55</f>
        <v>0</v>
      </c>
      <c r="G59" s="203">
        <f>ANACO!I55</f>
        <v>0</v>
      </c>
      <c r="H59" s="166">
        <f>ANACO!BS55</f>
        <v>0</v>
      </c>
      <c r="I59" s="172">
        <f>ANACO!BT55</f>
        <v>0</v>
      </c>
      <c r="J59" s="161"/>
      <c r="K59" s="161">
        <f t="shared" si="0"/>
        <v>0</v>
      </c>
      <c r="L59" s="244">
        <v>0</v>
      </c>
      <c r="M59" s="244"/>
      <c r="N59" s="244"/>
      <c r="O59" s="244"/>
      <c r="P59" s="244"/>
      <c r="Q59" s="244"/>
      <c r="R59" s="244"/>
      <c r="S59" s="244"/>
      <c r="T59" s="244"/>
      <c r="U59" s="244"/>
      <c r="V59" s="244"/>
      <c r="W59" s="244"/>
      <c r="X59" s="244"/>
      <c r="Y59" s="244"/>
      <c r="Z59" s="244"/>
      <c r="AA59" s="244"/>
      <c r="AB59" s="244"/>
      <c r="AC59" s="244"/>
      <c r="AD59" s="244"/>
      <c r="AE59" s="244"/>
      <c r="AF59" s="244"/>
      <c r="AG59" s="244"/>
      <c r="AH59" s="244"/>
      <c r="AI59" s="244"/>
      <c r="AJ59" s="244"/>
      <c r="AK59" s="244"/>
      <c r="AL59" s="244"/>
      <c r="AM59" s="244"/>
      <c r="AN59" s="244"/>
      <c r="AO59" s="244"/>
      <c r="AP59" s="244"/>
      <c r="AQ59" s="244"/>
      <c r="AR59" s="244"/>
      <c r="AS59" s="244"/>
      <c r="AT59" s="244"/>
      <c r="AU59" s="244"/>
      <c r="AV59" s="161"/>
      <c r="AW59" s="161"/>
      <c r="AX59" s="243">
        <v>0</v>
      </c>
      <c r="AY59" s="161"/>
      <c r="AZ59" s="161"/>
      <c r="BA59" s="243">
        <v>0</v>
      </c>
      <c r="BB59" s="212">
        <f t="shared" si="1"/>
        <v>0</v>
      </c>
      <c r="BC59" s="256"/>
      <c r="BD59" s="162" t="e">
        <f t="shared" si="2"/>
        <v>#DIV/0!</v>
      </c>
      <c r="BE59" s="162" t="e">
        <f t="shared" si="3"/>
        <v>#DIV/0!</v>
      </c>
      <c r="BF59" s="243"/>
      <c r="BG59" s="243"/>
      <c r="BH59" s="243"/>
      <c r="BI59" s="257"/>
      <c r="BJ59" s="257"/>
      <c r="BK59" s="243"/>
      <c r="BL59" s="243"/>
      <c r="BM59" s="243"/>
      <c r="BN59" s="243"/>
      <c r="BO59" s="243"/>
      <c r="BP59" s="243"/>
      <c r="BQ59" s="243"/>
      <c r="BR59" s="243"/>
      <c r="BS59" s="243"/>
      <c r="BT59" s="243"/>
      <c r="BU59" s="243"/>
      <c r="BV59" s="243"/>
      <c r="BW59" s="243"/>
      <c r="BX59" s="243"/>
      <c r="BY59" s="243"/>
      <c r="BZ59" s="243"/>
      <c r="CA59" s="243"/>
      <c r="CB59" s="243"/>
      <c r="CC59" s="243"/>
      <c r="CD59" s="243"/>
      <c r="CE59" s="245">
        <v>0</v>
      </c>
      <c r="CF59" s="245">
        <v>0</v>
      </c>
      <c r="CG59" s="245">
        <v>1</v>
      </c>
      <c r="CH59" s="246">
        <v>0</v>
      </c>
      <c r="CI59" s="219" t="e">
        <f t="shared" si="4"/>
        <v>#DIV/0!</v>
      </c>
      <c r="CJ59" s="245">
        <v>1</v>
      </c>
      <c r="CK59" s="246">
        <v>0</v>
      </c>
      <c r="CL59" s="163" t="e">
        <f t="shared" si="5"/>
        <v>#DIV/0!</v>
      </c>
      <c r="CM59" s="245">
        <v>1</v>
      </c>
      <c r="CN59" s="246">
        <v>0</v>
      </c>
      <c r="CO59" s="163" t="e">
        <f t="shared" si="6"/>
        <v>#DIV/0!</v>
      </c>
      <c r="CP59" s="245">
        <v>1</v>
      </c>
      <c r="CQ59" s="246">
        <v>0</v>
      </c>
      <c r="CR59" s="163" t="e">
        <f t="shared" si="7"/>
        <v>#DIV/0!</v>
      </c>
      <c r="CS59" s="207" t="e">
        <f t="shared" si="8"/>
        <v>#DIV/0!</v>
      </c>
      <c r="CT59" s="258"/>
      <c r="CU59" s="258"/>
      <c r="CV59" s="258"/>
      <c r="CW59" s="258"/>
      <c r="CX59" s="258"/>
      <c r="CY59" s="258"/>
      <c r="CZ59" s="258"/>
      <c r="DA59" s="258"/>
      <c r="DB59" s="258"/>
      <c r="DC59" s="258"/>
    </row>
    <row r="60" spans="1:173">
      <c r="B60" s="205">
        <f>ANACO!B56</f>
        <v>0</v>
      </c>
      <c r="C60" s="204">
        <f>ANACO!C56</f>
        <v>0</v>
      </c>
      <c r="D60" s="165">
        <f>ANACO!H56</f>
        <v>0</v>
      </c>
      <c r="E60" s="165"/>
      <c r="F60" s="203">
        <f>ANACO!G56</f>
        <v>0</v>
      </c>
      <c r="G60" s="203">
        <f>ANACO!I56</f>
        <v>0</v>
      </c>
      <c r="H60" s="166">
        <f>ANACO!BS56</f>
        <v>0</v>
      </c>
      <c r="I60" s="172">
        <f>ANACO!BT56</f>
        <v>0</v>
      </c>
      <c r="J60" s="161"/>
      <c r="K60" s="161">
        <f t="shared" si="0"/>
        <v>0</v>
      </c>
      <c r="L60" s="244">
        <v>0</v>
      </c>
      <c r="M60" s="244"/>
      <c r="N60" s="244"/>
      <c r="O60" s="244"/>
      <c r="P60" s="244"/>
      <c r="Q60" s="244"/>
      <c r="R60" s="244"/>
      <c r="S60" s="244"/>
      <c r="T60" s="244"/>
      <c r="U60" s="244"/>
      <c r="V60" s="244"/>
      <c r="W60" s="244"/>
      <c r="X60" s="244"/>
      <c r="Y60" s="244"/>
      <c r="Z60" s="244"/>
      <c r="AA60" s="244"/>
      <c r="AB60" s="244"/>
      <c r="AC60" s="244"/>
      <c r="AD60" s="244"/>
      <c r="AE60" s="244"/>
      <c r="AF60" s="244"/>
      <c r="AG60" s="244"/>
      <c r="AH60" s="244"/>
      <c r="AI60" s="244"/>
      <c r="AJ60" s="244"/>
      <c r="AK60" s="244"/>
      <c r="AL60" s="244"/>
      <c r="AM60" s="244"/>
      <c r="AN60" s="244"/>
      <c r="AO60" s="244"/>
      <c r="AP60" s="244"/>
      <c r="AQ60" s="244"/>
      <c r="AR60" s="244"/>
      <c r="AS60" s="244"/>
      <c r="AT60" s="244"/>
      <c r="AU60" s="244"/>
      <c r="AV60" s="161"/>
      <c r="AW60" s="161"/>
      <c r="AX60" s="243">
        <v>0</v>
      </c>
      <c r="AY60" s="161"/>
      <c r="AZ60" s="161"/>
      <c r="BA60" s="243">
        <v>0</v>
      </c>
      <c r="BB60" s="212">
        <f t="shared" si="1"/>
        <v>0</v>
      </c>
      <c r="BC60" s="256"/>
      <c r="BD60" s="162" t="e">
        <f t="shared" si="2"/>
        <v>#DIV/0!</v>
      </c>
      <c r="BE60" s="162" t="e">
        <f t="shared" si="3"/>
        <v>#DIV/0!</v>
      </c>
      <c r="BF60" s="243"/>
      <c r="BG60" s="243"/>
      <c r="BH60" s="243"/>
      <c r="BI60" s="257"/>
      <c r="BJ60" s="257"/>
      <c r="BK60" s="243"/>
      <c r="BL60" s="243"/>
      <c r="BM60" s="243"/>
      <c r="BN60" s="243"/>
      <c r="BO60" s="243"/>
      <c r="BP60" s="243"/>
      <c r="BQ60" s="243"/>
      <c r="BR60" s="243"/>
      <c r="BS60" s="243"/>
      <c r="BT60" s="243"/>
      <c r="BU60" s="243"/>
      <c r="BV60" s="243"/>
      <c r="BW60" s="243"/>
      <c r="BX60" s="243"/>
      <c r="BY60" s="243"/>
      <c r="BZ60" s="243"/>
      <c r="CA60" s="243"/>
      <c r="CB60" s="243"/>
      <c r="CC60" s="243"/>
      <c r="CD60" s="243"/>
      <c r="CE60" s="245">
        <v>0</v>
      </c>
      <c r="CF60" s="245">
        <v>0</v>
      </c>
      <c r="CG60" s="245">
        <v>1</v>
      </c>
      <c r="CH60" s="246">
        <v>0</v>
      </c>
      <c r="CI60" s="219" t="e">
        <f t="shared" si="4"/>
        <v>#DIV/0!</v>
      </c>
      <c r="CJ60" s="245">
        <v>1</v>
      </c>
      <c r="CK60" s="246">
        <v>0</v>
      </c>
      <c r="CL60" s="163" t="e">
        <f t="shared" si="5"/>
        <v>#DIV/0!</v>
      </c>
      <c r="CM60" s="245">
        <v>1</v>
      </c>
      <c r="CN60" s="246">
        <v>0</v>
      </c>
      <c r="CO60" s="163" t="e">
        <f t="shared" si="6"/>
        <v>#DIV/0!</v>
      </c>
      <c r="CP60" s="245">
        <v>1</v>
      </c>
      <c r="CQ60" s="246">
        <v>0</v>
      </c>
      <c r="CR60" s="163" t="e">
        <f t="shared" si="7"/>
        <v>#DIV/0!</v>
      </c>
      <c r="CS60" s="207" t="e">
        <f t="shared" si="8"/>
        <v>#DIV/0!</v>
      </c>
      <c r="CT60" s="258"/>
      <c r="CU60" s="258"/>
      <c r="CV60" s="258"/>
      <c r="CW60" s="258"/>
      <c r="CX60" s="258"/>
      <c r="CY60" s="258"/>
      <c r="CZ60" s="258"/>
      <c r="DA60" s="258"/>
      <c r="DB60" s="258"/>
      <c r="DC60" s="258"/>
    </row>
    <row r="61" spans="1:173">
      <c r="B61" s="205">
        <f>ANACO!B57</f>
        <v>0</v>
      </c>
      <c r="C61" s="204">
        <f>ANACO!C57</f>
        <v>0</v>
      </c>
      <c r="D61" s="165">
        <f>ANACO!H57</f>
        <v>0</v>
      </c>
      <c r="E61" s="165"/>
      <c r="F61" s="203">
        <f>ANACO!G57</f>
        <v>0</v>
      </c>
      <c r="G61" s="203">
        <f>ANACO!I57</f>
        <v>0</v>
      </c>
      <c r="H61" s="166">
        <f>ANACO!BS57</f>
        <v>0</v>
      </c>
      <c r="I61" s="172">
        <f>ANACO!BT57</f>
        <v>0</v>
      </c>
      <c r="J61" s="161"/>
      <c r="K61" s="161">
        <f t="shared" si="0"/>
        <v>0</v>
      </c>
      <c r="L61" s="244">
        <v>0</v>
      </c>
      <c r="M61" s="244"/>
      <c r="N61" s="244"/>
      <c r="O61" s="244"/>
      <c r="P61" s="244"/>
      <c r="Q61" s="244"/>
      <c r="R61" s="244"/>
      <c r="S61" s="244"/>
      <c r="T61" s="244"/>
      <c r="U61" s="244"/>
      <c r="V61" s="244"/>
      <c r="W61" s="244"/>
      <c r="X61" s="244"/>
      <c r="Y61" s="244"/>
      <c r="Z61" s="244"/>
      <c r="AA61" s="244"/>
      <c r="AB61" s="244"/>
      <c r="AC61" s="244"/>
      <c r="AD61" s="244"/>
      <c r="AE61" s="244"/>
      <c r="AF61" s="244"/>
      <c r="AG61" s="244"/>
      <c r="AH61" s="244"/>
      <c r="AI61" s="244"/>
      <c r="AJ61" s="244"/>
      <c r="AK61" s="244"/>
      <c r="AL61" s="244"/>
      <c r="AM61" s="244"/>
      <c r="AN61" s="244"/>
      <c r="AO61" s="244"/>
      <c r="AP61" s="244"/>
      <c r="AQ61" s="244"/>
      <c r="AR61" s="244"/>
      <c r="AS61" s="244"/>
      <c r="AT61" s="244"/>
      <c r="AU61" s="244"/>
      <c r="AV61" s="161"/>
      <c r="AW61" s="161"/>
      <c r="AX61" s="243">
        <v>0</v>
      </c>
      <c r="AY61" s="161"/>
      <c r="AZ61" s="161"/>
      <c r="BA61" s="243">
        <v>0</v>
      </c>
      <c r="BB61" s="212">
        <f t="shared" si="1"/>
        <v>0</v>
      </c>
      <c r="BC61" s="256"/>
      <c r="BD61" s="162" t="e">
        <f t="shared" si="2"/>
        <v>#DIV/0!</v>
      </c>
      <c r="BE61" s="162" t="e">
        <f t="shared" si="3"/>
        <v>#DIV/0!</v>
      </c>
      <c r="BF61" s="243"/>
      <c r="BG61" s="243"/>
      <c r="BH61" s="243"/>
      <c r="BI61" s="257"/>
      <c r="BJ61" s="257"/>
      <c r="BK61" s="243"/>
      <c r="BL61" s="243"/>
      <c r="BM61" s="243"/>
      <c r="BN61" s="243"/>
      <c r="BO61" s="243"/>
      <c r="BP61" s="243"/>
      <c r="BQ61" s="243"/>
      <c r="BR61" s="243"/>
      <c r="BS61" s="243"/>
      <c r="BT61" s="243"/>
      <c r="BU61" s="243"/>
      <c r="BV61" s="243"/>
      <c r="BW61" s="243"/>
      <c r="BX61" s="243"/>
      <c r="BY61" s="243"/>
      <c r="BZ61" s="243"/>
      <c r="CA61" s="243"/>
      <c r="CB61" s="243"/>
      <c r="CC61" s="243"/>
      <c r="CD61" s="243"/>
      <c r="CE61" s="245">
        <v>0</v>
      </c>
      <c r="CF61" s="245">
        <v>0</v>
      </c>
      <c r="CG61" s="245">
        <v>1</v>
      </c>
      <c r="CH61" s="246">
        <v>0</v>
      </c>
      <c r="CI61" s="219" t="e">
        <f t="shared" si="4"/>
        <v>#DIV/0!</v>
      </c>
      <c r="CJ61" s="245">
        <v>1</v>
      </c>
      <c r="CK61" s="246">
        <v>0</v>
      </c>
      <c r="CL61" s="163" t="e">
        <f t="shared" si="5"/>
        <v>#DIV/0!</v>
      </c>
      <c r="CM61" s="245">
        <v>1</v>
      </c>
      <c r="CN61" s="246">
        <v>0</v>
      </c>
      <c r="CO61" s="163" t="e">
        <f t="shared" si="6"/>
        <v>#DIV/0!</v>
      </c>
      <c r="CP61" s="245">
        <v>1</v>
      </c>
      <c r="CQ61" s="246">
        <v>0</v>
      </c>
      <c r="CR61" s="163" t="e">
        <f t="shared" si="7"/>
        <v>#DIV/0!</v>
      </c>
      <c r="CS61" s="207" t="e">
        <f t="shared" si="8"/>
        <v>#DIV/0!</v>
      </c>
      <c r="CT61" s="258"/>
      <c r="CU61" s="258"/>
      <c r="CV61" s="258"/>
      <c r="CW61" s="258"/>
      <c r="CX61" s="258"/>
      <c r="CY61" s="258"/>
      <c r="CZ61" s="258"/>
      <c r="DA61" s="258"/>
      <c r="DB61" s="258"/>
      <c r="DC61" s="258"/>
    </row>
    <row r="62" spans="1:173" s="168" customFormat="1">
      <c r="A62" s="156"/>
      <c r="B62" s="205">
        <f>ANACO!B58</f>
        <v>0</v>
      </c>
      <c r="C62" s="204">
        <f>ANACO!C58</f>
        <v>0</v>
      </c>
      <c r="D62" s="165">
        <f>ANACO!H58</f>
        <v>0</v>
      </c>
      <c r="E62" s="165"/>
      <c r="F62" s="203">
        <f>ANACO!G58</f>
        <v>0</v>
      </c>
      <c r="G62" s="203">
        <f>ANACO!I58</f>
        <v>0</v>
      </c>
      <c r="H62" s="166">
        <f>ANACO!BS58</f>
        <v>0</v>
      </c>
      <c r="I62" s="172">
        <f>ANACO!BT58</f>
        <v>0</v>
      </c>
      <c r="J62" s="161"/>
      <c r="K62" s="161">
        <f t="shared" si="0"/>
        <v>0</v>
      </c>
      <c r="L62" s="244">
        <v>0</v>
      </c>
      <c r="M62" s="244"/>
      <c r="N62" s="244"/>
      <c r="O62" s="244"/>
      <c r="P62" s="244"/>
      <c r="Q62" s="244"/>
      <c r="R62" s="244"/>
      <c r="S62" s="244"/>
      <c r="T62" s="244"/>
      <c r="U62" s="244"/>
      <c r="V62" s="244"/>
      <c r="W62" s="244"/>
      <c r="X62" s="244"/>
      <c r="Y62" s="244"/>
      <c r="Z62" s="244"/>
      <c r="AA62" s="244"/>
      <c r="AB62" s="244"/>
      <c r="AC62" s="244"/>
      <c r="AD62" s="244"/>
      <c r="AE62" s="244"/>
      <c r="AF62" s="244"/>
      <c r="AG62" s="244"/>
      <c r="AH62" s="244"/>
      <c r="AI62" s="244"/>
      <c r="AJ62" s="244"/>
      <c r="AK62" s="244"/>
      <c r="AL62" s="244"/>
      <c r="AM62" s="244"/>
      <c r="AN62" s="244"/>
      <c r="AO62" s="244"/>
      <c r="AP62" s="244"/>
      <c r="AQ62" s="244"/>
      <c r="AR62" s="244"/>
      <c r="AS62" s="244"/>
      <c r="AT62" s="244"/>
      <c r="AU62" s="244"/>
      <c r="AV62" s="161"/>
      <c r="AW62" s="161"/>
      <c r="AX62" s="243">
        <v>0</v>
      </c>
      <c r="AY62" s="161"/>
      <c r="AZ62" s="161"/>
      <c r="BA62" s="243">
        <v>0</v>
      </c>
      <c r="BB62" s="212">
        <f t="shared" si="1"/>
        <v>0</v>
      </c>
      <c r="BC62" s="256"/>
      <c r="BD62" s="162" t="e">
        <f t="shared" si="2"/>
        <v>#DIV/0!</v>
      </c>
      <c r="BE62" s="162" t="e">
        <f t="shared" si="3"/>
        <v>#DIV/0!</v>
      </c>
      <c r="BF62" s="243"/>
      <c r="BG62" s="243"/>
      <c r="BH62" s="243"/>
      <c r="BI62" s="257"/>
      <c r="BJ62" s="257"/>
      <c r="BK62" s="243"/>
      <c r="BL62" s="243"/>
      <c r="BM62" s="243"/>
      <c r="BN62" s="243"/>
      <c r="BO62" s="243"/>
      <c r="BP62" s="243"/>
      <c r="BQ62" s="243"/>
      <c r="BR62" s="243"/>
      <c r="BS62" s="243"/>
      <c r="BT62" s="243"/>
      <c r="BU62" s="243"/>
      <c r="BV62" s="243"/>
      <c r="BW62" s="243"/>
      <c r="BX62" s="243"/>
      <c r="BY62" s="243"/>
      <c r="BZ62" s="243"/>
      <c r="CA62" s="243"/>
      <c r="CB62" s="243"/>
      <c r="CC62" s="243"/>
      <c r="CD62" s="243"/>
      <c r="CE62" s="245">
        <v>0</v>
      </c>
      <c r="CF62" s="245">
        <v>0</v>
      </c>
      <c r="CG62" s="245">
        <v>1</v>
      </c>
      <c r="CH62" s="246">
        <v>0</v>
      </c>
      <c r="CI62" s="219" t="e">
        <f t="shared" si="4"/>
        <v>#DIV/0!</v>
      </c>
      <c r="CJ62" s="245">
        <v>1</v>
      </c>
      <c r="CK62" s="246">
        <v>0</v>
      </c>
      <c r="CL62" s="163" t="e">
        <f t="shared" si="5"/>
        <v>#DIV/0!</v>
      </c>
      <c r="CM62" s="245">
        <v>1</v>
      </c>
      <c r="CN62" s="246">
        <v>0</v>
      </c>
      <c r="CO62" s="163" t="e">
        <f t="shared" si="6"/>
        <v>#DIV/0!</v>
      </c>
      <c r="CP62" s="245">
        <v>1</v>
      </c>
      <c r="CQ62" s="246">
        <v>0</v>
      </c>
      <c r="CR62" s="163" t="e">
        <f t="shared" si="7"/>
        <v>#DIV/0!</v>
      </c>
      <c r="CS62" s="207" t="e">
        <f t="shared" si="8"/>
        <v>#DIV/0!</v>
      </c>
      <c r="CT62" s="258"/>
      <c r="CU62" s="258"/>
      <c r="CV62" s="258"/>
      <c r="CW62" s="258"/>
      <c r="CX62" s="258"/>
      <c r="CY62" s="258"/>
      <c r="CZ62" s="258"/>
      <c r="DA62" s="258"/>
      <c r="DB62" s="258"/>
      <c r="DC62" s="258"/>
      <c r="DD62" s="156"/>
      <c r="DE62" s="156"/>
      <c r="DF62" s="156"/>
      <c r="DG62" s="156"/>
      <c r="DH62" s="156"/>
      <c r="DI62" s="156"/>
      <c r="DJ62" s="156"/>
      <c r="DK62" s="156"/>
      <c r="DL62" s="156"/>
      <c r="DM62" s="156"/>
      <c r="DN62" s="156"/>
      <c r="DO62" s="156"/>
      <c r="DP62" s="156"/>
      <c r="DQ62" s="156"/>
      <c r="DR62" s="156"/>
      <c r="DS62" s="156"/>
      <c r="DT62" s="156"/>
      <c r="DU62" s="156"/>
      <c r="DV62" s="156"/>
      <c r="DW62" s="156"/>
      <c r="DX62" s="156"/>
      <c r="DY62" s="156"/>
      <c r="DZ62" s="156"/>
      <c r="EA62" s="156"/>
      <c r="EB62" s="156"/>
      <c r="EC62" s="156"/>
      <c r="ED62" s="156"/>
      <c r="EE62" s="156"/>
      <c r="EF62" s="156"/>
      <c r="EG62" s="156"/>
      <c r="EH62" s="156"/>
      <c r="EI62" s="156"/>
      <c r="EJ62" s="156"/>
      <c r="EK62" s="156"/>
      <c r="EL62" s="156"/>
      <c r="EM62" s="156"/>
      <c r="EN62" s="156"/>
      <c r="EO62" s="156"/>
      <c r="EP62" s="156"/>
      <c r="EQ62" s="156"/>
      <c r="ER62" s="156"/>
      <c r="ES62" s="156"/>
      <c r="ET62" s="156"/>
      <c r="EU62" s="156"/>
      <c r="EV62" s="156"/>
      <c r="EW62" s="156"/>
      <c r="EX62" s="156"/>
      <c r="EY62" s="156"/>
      <c r="EZ62" s="156"/>
      <c r="FA62" s="156"/>
      <c r="FB62" s="156"/>
      <c r="FC62" s="156"/>
      <c r="FD62" s="156"/>
      <c r="FE62" s="156"/>
      <c r="FF62" s="156"/>
      <c r="FG62" s="156"/>
      <c r="FH62" s="156"/>
      <c r="FI62" s="156"/>
      <c r="FJ62" s="156"/>
      <c r="FK62" s="156"/>
      <c r="FL62" s="156"/>
      <c r="FM62" s="156"/>
      <c r="FN62" s="156"/>
      <c r="FO62" s="156"/>
      <c r="FP62" s="156"/>
      <c r="FQ62" s="156"/>
    </row>
    <row r="63" spans="1:173">
      <c r="B63" s="205">
        <f>ANACO!B59</f>
        <v>0</v>
      </c>
      <c r="C63" s="204">
        <f>ANACO!C59</f>
        <v>0</v>
      </c>
      <c r="D63" s="165">
        <f>ANACO!H59</f>
        <v>0</v>
      </c>
      <c r="E63" s="165"/>
      <c r="F63" s="203">
        <f>ANACO!G59</f>
        <v>0</v>
      </c>
      <c r="G63" s="203">
        <f>ANACO!I59</f>
        <v>0</v>
      </c>
      <c r="H63" s="166">
        <f>ANACO!BS59</f>
        <v>0</v>
      </c>
      <c r="I63" s="172">
        <f>ANACO!BT59</f>
        <v>0</v>
      </c>
      <c r="J63" s="161"/>
      <c r="K63" s="161">
        <f t="shared" si="0"/>
        <v>0</v>
      </c>
      <c r="L63" s="244">
        <v>0</v>
      </c>
      <c r="M63" s="244"/>
      <c r="N63" s="244"/>
      <c r="O63" s="244"/>
      <c r="P63" s="244"/>
      <c r="Q63" s="244"/>
      <c r="R63" s="244"/>
      <c r="S63" s="244"/>
      <c r="T63" s="244"/>
      <c r="U63" s="244"/>
      <c r="V63" s="244"/>
      <c r="W63" s="244"/>
      <c r="X63" s="244"/>
      <c r="Y63" s="244"/>
      <c r="Z63" s="244"/>
      <c r="AA63" s="244"/>
      <c r="AB63" s="244"/>
      <c r="AC63" s="244"/>
      <c r="AD63" s="244"/>
      <c r="AE63" s="244"/>
      <c r="AF63" s="244"/>
      <c r="AG63" s="244"/>
      <c r="AH63" s="244"/>
      <c r="AI63" s="244"/>
      <c r="AJ63" s="244"/>
      <c r="AK63" s="244"/>
      <c r="AL63" s="244"/>
      <c r="AM63" s="244"/>
      <c r="AN63" s="244"/>
      <c r="AO63" s="244"/>
      <c r="AP63" s="244"/>
      <c r="AQ63" s="244"/>
      <c r="AR63" s="244"/>
      <c r="AS63" s="244"/>
      <c r="AT63" s="244"/>
      <c r="AU63" s="244"/>
      <c r="AV63" s="161"/>
      <c r="AW63" s="161"/>
      <c r="AX63" s="243">
        <v>0</v>
      </c>
      <c r="AY63" s="161"/>
      <c r="AZ63" s="161"/>
      <c r="BA63" s="243">
        <v>0</v>
      </c>
      <c r="BB63" s="212">
        <f t="shared" si="1"/>
        <v>0</v>
      </c>
      <c r="BC63" s="256"/>
      <c r="BD63" s="162" t="e">
        <f t="shared" si="2"/>
        <v>#DIV/0!</v>
      </c>
      <c r="BE63" s="162" t="e">
        <f t="shared" si="3"/>
        <v>#DIV/0!</v>
      </c>
      <c r="BF63" s="243"/>
      <c r="BG63" s="243"/>
      <c r="BH63" s="243"/>
      <c r="BI63" s="257"/>
      <c r="BJ63" s="257"/>
      <c r="BK63" s="243"/>
      <c r="BL63" s="243"/>
      <c r="BM63" s="243"/>
      <c r="BN63" s="243"/>
      <c r="BO63" s="243"/>
      <c r="BP63" s="243"/>
      <c r="BQ63" s="243"/>
      <c r="BR63" s="243"/>
      <c r="BS63" s="243"/>
      <c r="BT63" s="243"/>
      <c r="BU63" s="243"/>
      <c r="BV63" s="243"/>
      <c r="BW63" s="243"/>
      <c r="BX63" s="243"/>
      <c r="BY63" s="243"/>
      <c r="BZ63" s="243"/>
      <c r="CA63" s="243"/>
      <c r="CB63" s="243"/>
      <c r="CC63" s="243"/>
      <c r="CD63" s="243"/>
      <c r="CE63" s="245">
        <v>0</v>
      </c>
      <c r="CF63" s="245">
        <v>0</v>
      </c>
      <c r="CG63" s="245">
        <v>1</v>
      </c>
      <c r="CH63" s="246">
        <v>0</v>
      </c>
      <c r="CI63" s="219" t="e">
        <f t="shared" si="4"/>
        <v>#DIV/0!</v>
      </c>
      <c r="CJ63" s="245">
        <v>1</v>
      </c>
      <c r="CK63" s="246">
        <v>0</v>
      </c>
      <c r="CL63" s="163" t="e">
        <f t="shared" si="5"/>
        <v>#DIV/0!</v>
      </c>
      <c r="CM63" s="245">
        <v>1</v>
      </c>
      <c r="CN63" s="246">
        <v>0</v>
      </c>
      <c r="CO63" s="163" t="e">
        <f t="shared" si="6"/>
        <v>#DIV/0!</v>
      </c>
      <c r="CP63" s="245">
        <v>1</v>
      </c>
      <c r="CQ63" s="246">
        <v>0</v>
      </c>
      <c r="CR63" s="163" t="e">
        <f t="shared" si="7"/>
        <v>#DIV/0!</v>
      </c>
      <c r="CS63" s="207" t="e">
        <f t="shared" si="8"/>
        <v>#DIV/0!</v>
      </c>
      <c r="CT63" s="258"/>
      <c r="CU63" s="258"/>
      <c r="CV63" s="258"/>
      <c r="CW63" s="258"/>
      <c r="CX63" s="258"/>
      <c r="CY63" s="258"/>
      <c r="CZ63" s="258"/>
      <c r="DA63" s="258"/>
      <c r="DB63" s="258"/>
      <c r="DC63" s="258"/>
    </row>
    <row r="64" spans="1:173">
      <c r="B64" s="205">
        <f>ANACO!B60</f>
        <v>0</v>
      </c>
      <c r="C64" s="204">
        <f>ANACO!C60</f>
        <v>0</v>
      </c>
      <c r="D64" s="165">
        <f>ANACO!H60</f>
        <v>0</v>
      </c>
      <c r="E64" s="165"/>
      <c r="F64" s="203">
        <f>ANACO!G60</f>
        <v>0</v>
      </c>
      <c r="G64" s="203">
        <f>ANACO!I60</f>
        <v>0</v>
      </c>
      <c r="H64" s="166">
        <f>ANACO!BS60</f>
        <v>0</v>
      </c>
      <c r="I64" s="172">
        <f>ANACO!BT60</f>
        <v>0</v>
      </c>
      <c r="J64" s="161"/>
      <c r="K64" s="161">
        <f t="shared" si="0"/>
        <v>0</v>
      </c>
      <c r="L64" s="244">
        <v>0</v>
      </c>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161"/>
      <c r="AW64" s="161"/>
      <c r="AX64" s="243">
        <v>0</v>
      </c>
      <c r="AY64" s="161"/>
      <c r="AZ64" s="161"/>
      <c r="BA64" s="243">
        <v>0</v>
      </c>
      <c r="BB64" s="212">
        <f t="shared" si="1"/>
        <v>0</v>
      </c>
      <c r="BC64" s="256"/>
      <c r="BD64" s="162" t="e">
        <f t="shared" si="2"/>
        <v>#DIV/0!</v>
      </c>
      <c r="BE64" s="162" t="e">
        <f t="shared" si="3"/>
        <v>#DIV/0!</v>
      </c>
      <c r="BF64" s="243"/>
      <c r="BG64" s="243"/>
      <c r="BH64" s="243"/>
      <c r="BI64" s="257"/>
      <c r="BJ64" s="257"/>
      <c r="BK64" s="243"/>
      <c r="BL64" s="243"/>
      <c r="BM64" s="243"/>
      <c r="BN64" s="243"/>
      <c r="BO64" s="243"/>
      <c r="BP64" s="243"/>
      <c r="BQ64" s="243"/>
      <c r="BR64" s="243"/>
      <c r="BS64" s="243"/>
      <c r="BT64" s="243"/>
      <c r="BU64" s="243"/>
      <c r="BV64" s="243"/>
      <c r="BW64" s="243"/>
      <c r="BX64" s="243"/>
      <c r="BY64" s="243"/>
      <c r="BZ64" s="243"/>
      <c r="CA64" s="243"/>
      <c r="CB64" s="243"/>
      <c r="CC64" s="243"/>
      <c r="CD64" s="243"/>
      <c r="CE64" s="245">
        <v>0</v>
      </c>
      <c r="CF64" s="245">
        <v>0</v>
      </c>
      <c r="CG64" s="245">
        <v>1</v>
      </c>
      <c r="CH64" s="246">
        <v>0</v>
      </c>
      <c r="CI64" s="219" t="e">
        <f t="shared" si="4"/>
        <v>#DIV/0!</v>
      </c>
      <c r="CJ64" s="245">
        <v>1</v>
      </c>
      <c r="CK64" s="246">
        <v>0</v>
      </c>
      <c r="CL64" s="163" t="e">
        <f t="shared" si="5"/>
        <v>#DIV/0!</v>
      </c>
      <c r="CM64" s="245">
        <v>1</v>
      </c>
      <c r="CN64" s="246">
        <v>0</v>
      </c>
      <c r="CO64" s="163" t="e">
        <f t="shared" si="6"/>
        <v>#DIV/0!</v>
      </c>
      <c r="CP64" s="245">
        <v>1</v>
      </c>
      <c r="CQ64" s="246">
        <v>0</v>
      </c>
      <c r="CR64" s="163" t="e">
        <f t="shared" si="7"/>
        <v>#DIV/0!</v>
      </c>
      <c r="CS64" s="207" t="e">
        <f t="shared" si="8"/>
        <v>#DIV/0!</v>
      </c>
      <c r="CT64" s="258"/>
      <c r="CU64" s="258"/>
      <c r="CV64" s="258"/>
      <c r="CW64" s="258"/>
      <c r="CX64" s="258"/>
      <c r="CY64" s="258"/>
      <c r="CZ64" s="258"/>
      <c r="DA64" s="258"/>
      <c r="DB64" s="258"/>
      <c r="DC64" s="258"/>
    </row>
    <row r="65" spans="1:173" ht="15.75" customHeight="1">
      <c r="B65" s="205">
        <f>ANACO!B61</f>
        <v>0</v>
      </c>
      <c r="C65" s="204">
        <f>ANACO!C61</f>
        <v>0</v>
      </c>
      <c r="D65" s="165">
        <f>ANACO!H61</f>
        <v>0</v>
      </c>
      <c r="E65" s="165"/>
      <c r="F65" s="203">
        <f>ANACO!G61</f>
        <v>0</v>
      </c>
      <c r="G65" s="203">
        <f>ANACO!I61</f>
        <v>0</v>
      </c>
      <c r="H65" s="166">
        <f>ANACO!BS61</f>
        <v>0</v>
      </c>
      <c r="I65" s="172">
        <f>ANACO!BT61</f>
        <v>0</v>
      </c>
      <c r="J65" s="161"/>
      <c r="K65" s="161">
        <f t="shared" si="0"/>
        <v>0</v>
      </c>
      <c r="L65" s="244">
        <v>0</v>
      </c>
      <c r="M65" s="244"/>
      <c r="N65" s="244"/>
      <c r="O65" s="244"/>
      <c r="P65" s="244"/>
      <c r="Q65" s="244"/>
      <c r="R65" s="244"/>
      <c r="S65" s="244"/>
      <c r="T65" s="244"/>
      <c r="U65" s="244"/>
      <c r="V65" s="244"/>
      <c r="W65" s="244"/>
      <c r="X65" s="244"/>
      <c r="Y65" s="244"/>
      <c r="Z65" s="244"/>
      <c r="AA65" s="244"/>
      <c r="AB65" s="244"/>
      <c r="AC65" s="244"/>
      <c r="AD65" s="244"/>
      <c r="AE65" s="244"/>
      <c r="AF65" s="244"/>
      <c r="AG65" s="244"/>
      <c r="AH65" s="244"/>
      <c r="AI65" s="244"/>
      <c r="AJ65" s="244"/>
      <c r="AK65" s="244"/>
      <c r="AL65" s="244"/>
      <c r="AM65" s="244"/>
      <c r="AN65" s="244"/>
      <c r="AO65" s="244"/>
      <c r="AP65" s="244"/>
      <c r="AQ65" s="244"/>
      <c r="AR65" s="244"/>
      <c r="AS65" s="244"/>
      <c r="AT65" s="244"/>
      <c r="AU65" s="244"/>
      <c r="AV65" s="161"/>
      <c r="AW65" s="161"/>
      <c r="AX65" s="243">
        <v>0</v>
      </c>
      <c r="AY65" s="161"/>
      <c r="AZ65" s="161"/>
      <c r="BA65" s="243">
        <v>0</v>
      </c>
      <c r="BB65" s="212">
        <f t="shared" si="1"/>
        <v>0</v>
      </c>
      <c r="BC65" s="256"/>
      <c r="BD65" s="162" t="e">
        <f t="shared" si="2"/>
        <v>#DIV/0!</v>
      </c>
      <c r="BE65" s="162" t="e">
        <f t="shared" si="3"/>
        <v>#DIV/0!</v>
      </c>
      <c r="BF65" s="243"/>
      <c r="BG65" s="243"/>
      <c r="BH65" s="243"/>
      <c r="BI65" s="257"/>
      <c r="BJ65" s="257"/>
      <c r="BK65" s="243"/>
      <c r="BL65" s="243"/>
      <c r="BM65" s="243"/>
      <c r="BN65" s="243"/>
      <c r="BO65" s="243"/>
      <c r="BP65" s="243"/>
      <c r="BQ65" s="243"/>
      <c r="BR65" s="243"/>
      <c r="BS65" s="243"/>
      <c r="BT65" s="243"/>
      <c r="BU65" s="243"/>
      <c r="BV65" s="243"/>
      <c r="BW65" s="243"/>
      <c r="BX65" s="243"/>
      <c r="BY65" s="243"/>
      <c r="BZ65" s="243"/>
      <c r="CA65" s="243"/>
      <c r="CB65" s="243"/>
      <c r="CC65" s="243"/>
      <c r="CD65" s="243"/>
      <c r="CE65" s="245">
        <v>0</v>
      </c>
      <c r="CF65" s="245">
        <v>0</v>
      </c>
      <c r="CG65" s="245">
        <v>1</v>
      </c>
      <c r="CH65" s="246">
        <v>0</v>
      </c>
      <c r="CI65" s="219" t="e">
        <f t="shared" si="4"/>
        <v>#DIV/0!</v>
      </c>
      <c r="CJ65" s="245">
        <v>1</v>
      </c>
      <c r="CK65" s="246">
        <v>0</v>
      </c>
      <c r="CL65" s="163" t="e">
        <f t="shared" si="5"/>
        <v>#DIV/0!</v>
      </c>
      <c r="CM65" s="245">
        <v>1</v>
      </c>
      <c r="CN65" s="246">
        <v>0</v>
      </c>
      <c r="CO65" s="163" t="e">
        <f t="shared" si="6"/>
        <v>#DIV/0!</v>
      </c>
      <c r="CP65" s="245">
        <v>1</v>
      </c>
      <c r="CQ65" s="246">
        <v>0</v>
      </c>
      <c r="CR65" s="163" t="e">
        <f t="shared" si="7"/>
        <v>#DIV/0!</v>
      </c>
      <c r="CS65" s="207" t="e">
        <f t="shared" si="8"/>
        <v>#DIV/0!</v>
      </c>
      <c r="CT65" s="258"/>
      <c r="CU65" s="258"/>
      <c r="CV65" s="258"/>
      <c r="CW65" s="258"/>
      <c r="CX65" s="258"/>
      <c r="CY65" s="258"/>
      <c r="CZ65" s="258"/>
      <c r="DA65" s="258"/>
      <c r="DB65" s="258"/>
      <c r="DC65" s="258"/>
    </row>
    <row r="66" spans="1:173">
      <c r="B66" s="205">
        <f>ANACO!B62</f>
        <v>0</v>
      </c>
      <c r="C66" s="204">
        <f>ANACO!C62</f>
        <v>0</v>
      </c>
      <c r="D66" s="165">
        <f>ANACO!H62</f>
        <v>0</v>
      </c>
      <c r="E66" s="165"/>
      <c r="F66" s="203">
        <f>ANACO!G62</f>
        <v>0</v>
      </c>
      <c r="G66" s="203">
        <f>ANACO!I62</f>
        <v>0</v>
      </c>
      <c r="H66" s="166">
        <f>ANACO!BS62</f>
        <v>0</v>
      </c>
      <c r="I66" s="172">
        <f>ANACO!BT62</f>
        <v>0</v>
      </c>
      <c r="J66" s="161"/>
      <c r="K66" s="161">
        <f t="shared" si="0"/>
        <v>0</v>
      </c>
      <c r="L66" s="244">
        <v>0</v>
      </c>
      <c r="M66" s="244"/>
      <c r="N66" s="244"/>
      <c r="O66" s="244"/>
      <c r="P66" s="244"/>
      <c r="Q66" s="244"/>
      <c r="R66" s="244"/>
      <c r="S66" s="244"/>
      <c r="T66" s="244"/>
      <c r="U66" s="244"/>
      <c r="V66" s="244"/>
      <c r="W66" s="244"/>
      <c r="X66" s="244"/>
      <c r="Y66" s="244"/>
      <c r="Z66" s="244"/>
      <c r="AA66" s="244"/>
      <c r="AB66" s="244"/>
      <c r="AC66" s="244"/>
      <c r="AD66" s="244"/>
      <c r="AE66" s="244"/>
      <c r="AF66" s="244"/>
      <c r="AG66" s="244"/>
      <c r="AH66" s="244"/>
      <c r="AI66" s="244"/>
      <c r="AJ66" s="244"/>
      <c r="AK66" s="244"/>
      <c r="AL66" s="244"/>
      <c r="AM66" s="244"/>
      <c r="AN66" s="244"/>
      <c r="AO66" s="244"/>
      <c r="AP66" s="244"/>
      <c r="AQ66" s="244"/>
      <c r="AR66" s="244"/>
      <c r="AS66" s="244"/>
      <c r="AT66" s="244"/>
      <c r="AU66" s="244"/>
      <c r="AV66" s="161"/>
      <c r="AW66" s="161"/>
      <c r="AX66" s="243">
        <v>0</v>
      </c>
      <c r="AY66" s="161"/>
      <c r="AZ66" s="161"/>
      <c r="BA66" s="243">
        <v>0</v>
      </c>
      <c r="BB66" s="212">
        <f t="shared" si="1"/>
        <v>0</v>
      </c>
      <c r="BC66" s="256"/>
      <c r="BD66" s="162" t="e">
        <f t="shared" si="2"/>
        <v>#DIV/0!</v>
      </c>
      <c r="BE66" s="162" t="e">
        <f t="shared" si="3"/>
        <v>#DIV/0!</v>
      </c>
      <c r="BF66" s="243"/>
      <c r="BG66" s="243"/>
      <c r="BH66" s="243"/>
      <c r="BI66" s="257"/>
      <c r="BJ66" s="257"/>
      <c r="BK66" s="243"/>
      <c r="BL66" s="243"/>
      <c r="BM66" s="243"/>
      <c r="BN66" s="243"/>
      <c r="BO66" s="243"/>
      <c r="BP66" s="243"/>
      <c r="BQ66" s="243"/>
      <c r="BR66" s="243"/>
      <c r="BS66" s="243"/>
      <c r="BT66" s="243"/>
      <c r="BU66" s="243"/>
      <c r="BV66" s="243"/>
      <c r="BW66" s="243"/>
      <c r="BX66" s="243"/>
      <c r="BY66" s="243"/>
      <c r="BZ66" s="243"/>
      <c r="CA66" s="243"/>
      <c r="CB66" s="243"/>
      <c r="CC66" s="243"/>
      <c r="CD66" s="243"/>
      <c r="CE66" s="245">
        <v>0</v>
      </c>
      <c r="CF66" s="245">
        <v>0</v>
      </c>
      <c r="CG66" s="245">
        <v>1</v>
      </c>
      <c r="CH66" s="246">
        <v>0</v>
      </c>
      <c r="CI66" s="219" t="e">
        <f t="shared" si="4"/>
        <v>#DIV/0!</v>
      </c>
      <c r="CJ66" s="245">
        <v>1</v>
      </c>
      <c r="CK66" s="246">
        <v>0</v>
      </c>
      <c r="CL66" s="163" t="e">
        <f t="shared" si="5"/>
        <v>#DIV/0!</v>
      </c>
      <c r="CM66" s="245">
        <v>1</v>
      </c>
      <c r="CN66" s="246">
        <v>0</v>
      </c>
      <c r="CO66" s="163" t="e">
        <f t="shared" si="6"/>
        <v>#DIV/0!</v>
      </c>
      <c r="CP66" s="245">
        <v>1</v>
      </c>
      <c r="CQ66" s="246">
        <v>0</v>
      </c>
      <c r="CR66" s="163" t="e">
        <f t="shared" si="7"/>
        <v>#DIV/0!</v>
      </c>
      <c r="CS66" s="207" t="e">
        <f t="shared" si="8"/>
        <v>#DIV/0!</v>
      </c>
      <c r="CT66" s="258"/>
      <c r="CU66" s="258"/>
      <c r="CV66" s="258"/>
      <c r="CW66" s="258"/>
      <c r="CX66" s="258"/>
      <c r="CY66" s="258"/>
      <c r="CZ66" s="258"/>
      <c r="DA66" s="258"/>
      <c r="DB66" s="258"/>
      <c r="DC66" s="258"/>
    </row>
    <row r="67" spans="1:173">
      <c r="B67" s="205">
        <f>ANACO!B63</f>
        <v>0</v>
      </c>
      <c r="C67" s="204">
        <f>ANACO!C63</f>
        <v>0</v>
      </c>
      <c r="D67" s="165">
        <f>ANACO!H63</f>
        <v>0</v>
      </c>
      <c r="E67" s="165"/>
      <c r="F67" s="203">
        <f>ANACO!G63</f>
        <v>0</v>
      </c>
      <c r="G67" s="203">
        <f>ANACO!I63</f>
        <v>0</v>
      </c>
      <c r="H67" s="166">
        <f>ANACO!BS63</f>
        <v>0</v>
      </c>
      <c r="I67" s="172">
        <f>ANACO!BT63</f>
        <v>0</v>
      </c>
      <c r="J67" s="161"/>
      <c r="K67" s="161">
        <f t="shared" si="0"/>
        <v>0</v>
      </c>
      <c r="L67" s="244">
        <v>0</v>
      </c>
      <c r="M67" s="244"/>
      <c r="N67" s="244"/>
      <c r="O67" s="244"/>
      <c r="P67" s="244"/>
      <c r="Q67" s="244"/>
      <c r="R67" s="244"/>
      <c r="S67" s="244"/>
      <c r="T67" s="244"/>
      <c r="U67" s="244"/>
      <c r="V67" s="244"/>
      <c r="W67" s="244"/>
      <c r="X67" s="244"/>
      <c r="Y67" s="244"/>
      <c r="Z67" s="244"/>
      <c r="AA67" s="244"/>
      <c r="AB67" s="244"/>
      <c r="AC67" s="244"/>
      <c r="AD67" s="244"/>
      <c r="AE67" s="244"/>
      <c r="AF67" s="244"/>
      <c r="AG67" s="244"/>
      <c r="AH67" s="244"/>
      <c r="AI67" s="244"/>
      <c r="AJ67" s="244"/>
      <c r="AK67" s="244"/>
      <c r="AL67" s="244"/>
      <c r="AM67" s="244"/>
      <c r="AN67" s="244"/>
      <c r="AO67" s="244"/>
      <c r="AP67" s="244"/>
      <c r="AQ67" s="244"/>
      <c r="AR67" s="244"/>
      <c r="AS67" s="244"/>
      <c r="AT67" s="244"/>
      <c r="AU67" s="244"/>
      <c r="AV67" s="161"/>
      <c r="AW67" s="161"/>
      <c r="AX67" s="243">
        <v>0</v>
      </c>
      <c r="AY67" s="161"/>
      <c r="AZ67" s="161"/>
      <c r="BA67" s="243">
        <v>0</v>
      </c>
      <c r="BB67" s="212">
        <f t="shared" si="1"/>
        <v>0</v>
      </c>
      <c r="BC67" s="256"/>
      <c r="BD67" s="162" t="e">
        <f t="shared" si="2"/>
        <v>#DIV/0!</v>
      </c>
      <c r="BE67" s="162" t="e">
        <f t="shared" si="3"/>
        <v>#DIV/0!</v>
      </c>
      <c r="BF67" s="243"/>
      <c r="BG67" s="243"/>
      <c r="BH67" s="243"/>
      <c r="BI67" s="257"/>
      <c r="BJ67" s="257"/>
      <c r="BK67" s="243"/>
      <c r="BL67" s="243"/>
      <c r="BM67" s="243"/>
      <c r="BN67" s="243"/>
      <c r="BO67" s="243"/>
      <c r="BP67" s="243"/>
      <c r="BQ67" s="243"/>
      <c r="BR67" s="243"/>
      <c r="BS67" s="243"/>
      <c r="BT67" s="243"/>
      <c r="BU67" s="243"/>
      <c r="BV67" s="243"/>
      <c r="BW67" s="243"/>
      <c r="BX67" s="243"/>
      <c r="BY67" s="243"/>
      <c r="BZ67" s="243"/>
      <c r="CA67" s="243"/>
      <c r="CB67" s="243"/>
      <c r="CC67" s="243"/>
      <c r="CD67" s="243"/>
      <c r="CE67" s="245">
        <v>0</v>
      </c>
      <c r="CF67" s="245">
        <v>0</v>
      </c>
      <c r="CG67" s="245">
        <v>1</v>
      </c>
      <c r="CH67" s="246">
        <v>0</v>
      </c>
      <c r="CI67" s="219" t="e">
        <f t="shared" si="4"/>
        <v>#DIV/0!</v>
      </c>
      <c r="CJ67" s="245">
        <v>1</v>
      </c>
      <c r="CK67" s="246">
        <v>0</v>
      </c>
      <c r="CL67" s="163" t="e">
        <f t="shared" si="5"/>
        <v>#DIV/0!</v>
      </c>
      <c r="CM67" s="245">
        <v>1</v>
      </c>
      <c r="CN67" s="246">
        <v>0</v>
      </c>
      <c r="CO67" s="163" t="e">
        <f t="shared" si="6"/>
        <v>#DIV/0!</v>
      </c>
      <c r="CP67" s="245">
        <v>1</v>
      </c>
      <c r="CQ67" s="246">
        <v>0</v>
      </c>
      <c r="CR67" s="163" t="e">
        <f t="shared" si="7"/>
        <v>#DIV/0!</v>
      </c>
      <c r="CS67" s="207" t="e">
        <f t="shared" si="8"/>
        <v>#DIV/0!</v>
      </c>
      <c r="CT67" s="258"/>
      <c r="CU67" s="258"/>
      <c r="CV67" s="258"/>
      <c r="CW67" s="258"/>
      <c r="CX67" s="258"/>
      <c r="CY67" s="258"/>
      <c r="CZ67" s="258"/>
      <c r="DA67" s="258"/>
      <c r="DB67" s="258"/>
      <c r="DC67" s="258"/>
    </row>
    <row r="68" spans="1:173">
      <c r="B68" s="205">
        <f>ANACO!B64</f>
        <v>0</v>
      </c>
      <c r="C68" s="204">
        <f>ANACO!C64</f>
        <v>0</v>
      </c>
      <c r="D68" s="165">
        <f>ANACO!H64</f>
        <v>0</v>
      </c>
      <c r="E68" s="165"/>
      <c r="F68" s="203">
        <f>ANACO!G64</f>
        <v>0</v>
      </c>
      <c r="G68" s="203">
        <f>ANACO!I64</f>
        <v>0</v>
      </c>
      <c r="H68" s="166">
        <f>ANACO!BS64</f>
        <v>0</v>
      </c>
      <c r="I68" s="172">
        <f>ANACO!BT64</f>
        <v>0</v>
      </c>
      <c r="J68" s="161"/>
      <c r="K68" s="161">
        <f t="shared" si="0"/>
        <v>0</v>
      </c>
      <c r="L68" s="244">
        <v>0</v>
      </c>
      <c r="M68" s="244"/>
      <c r="N68" s="244"/>
      <c r="O68" s="244"/>
      <c r="P68" s="244"/>
      <c r="Q68" s="244"/>
      <c r="R68" s="244"/>
      <c r="S68" s="244"/>
      <c r="T68" s="244"/>
      <c r="U68" s="244"/>
      <c r="V68" s="244"/>
      <c r="W68" s="244"/>
      <c r="X68" s="244"/>
      <c r="Y68" s="244"/>
      <c r="Z68" s="244"/>
      <c r="AA68" s="244"/>
      <c r="AB68" s="244"/>
      <c r="AC68" s="244"/>
      <c r="AD68" s="244"/>
      <c r="AE68" s="244"/>
      <c r="AF68" s="244"/>
      <c r="AG68" s="244"/>
      <c r="AH68" s="244"/>
      <c r="AI68" s="244"/>
      <c r="AJ68" s="244"/>
      <c r="AK68" s="244"/>
      <c r="AL68" s="244"/>
      <c r="AM68" s="244"/>
      <c r="AN68" s="244"/>
      <c r="AO68" s="244"/>
      <c r="AP68" s="244"/>
      <c r="AQ68" s="244"/>
      <c r="AR68" s="244"/>
      <c r="AS68" s="244"/>
      <c r="AT68" s="244"/>
      <c r="AU68" s="244"/>
      <c r="AV68" s="161"/>
      <c r="AW68" s="161"/>
      <c r="AX68" s="243">
        <v>0</v>
      </c>
      <c r="AY68" s="161"/>
      <c r="AZ68" s="161"/>
      <c r="BA68" s="243">
        <v>0</v>
      </c>
      <c r="BB68" s="212">
        <f t="shared" si="1"/>
        <v>0</v>
      </c>
      <c r="BC68" s="256"/>
      <c r="BD68" s="162" t="e">
        <f t="shared" si="2"/>
        <v>#DIV/0!</v>
      </c>
      <c r="BE68" s="162" t="e">
        <f t="shared" si="3"/>
        <v>#DIV/0!</v>
      </c>
      <c r="BF68" s="243"/>
      <c r="BG68" s="243"/>
      <c r="BH68" s="243"/>
      <c r="BI68" s="257"/>
      <c r="BJ68" s="257"/>
      <c r="BK68" s="243"/>
      <c r="BL68" s="243"/>
      <c r="BM68" s="243"/>
      <c r="BN68" s="243"/>
      <c r="BO68" s="243"/>
      <c r="BP68" s="243"/>
      <c r="BQ68" s="243"/>
      <c r="BR68" s="243"/>
      <c r="BS68" s="243"/>
      <c r="BT68" s="243"/>
      <c r="BU68" s="243"/>
      <c r="BV68" s="243"/>
      <c r="BW68" s="243"/>
      <c r="BX68" s="243"/>
      <c r="BY68" s="243"/>
      <c r="BZ68" s="243"/>
      <c r="CA68" s="243"/>
      <c r="CB68" s="243"/>
      <c r="CC68" s="243"/>
      <c r="CD68" s="243"/>
      <c r="CE68" s="245">
        <v>0</v>
      </c>
      <c r="CF68" s="245">
        <v>0</v>
      </c>
      <c r="CG68" s="245">
        <v>1</v>
      </c>
      <c r="CH68" s="246">
        <v>0</v>
      </c>
      <c r="CI68" s="219" t="e">
        <f t="shared" si="4"/>
        <v>#DIV/0!</v>
      </c>
      <c r="CJ68" s="245">
        <v>1</v>
      </c>
      <c r="CK68" s="246">
        <v>0</v>
      </c>
      <c r="CL68" s="163" t="e">
        <f t="shared" si="5"/>
        <v>#DIV/0!</v>
      </c>
      <c r="CM68" s="245">
        <v>1</v>
      </c>
      <c r="CN68" s="246">
        <v>0</v>
      </c>
      <c r="CO68" s="163" t="e">
        <f t="shared" si="6"/>
        <v>#DIV/0!</v>
      </c>
      <c r="CP68" s="245">
        <v>1</v>
      </c>
      <c r="CQ68" s="246">
        <v>0</v>
      </c>
      <c r="CR68" s="163" t="e">
        <f t="shared" si="7"/>
        <v>#DIV/0!</v>
      </c>
      <c r="CS68" s="207" t="e">
        <f t="shared" si="8"/>
        <v>#DIV/0!</v>
      </c>
      <c r="CT68" s="258"/>
      <c r="CU68" s="258"/>
      <c r="CV68" s="258"/>
      <c r="CW68" s="258"/>
      <c r="CX68" s="258"/>
      <c r="CY68" s="258"/>
      <c r="CZ68" s="258"/>
      <c r="DA68" s="258"/>
      <c r="DB68" s="258"/>
      <c r="DC68" s="258"/>
    </row>
    <row r="69" spans="1:173" s="168" customFormat="1">
      <c r="A69" s="156"/>
      <c r="B69" s="205">
        <f>ANACO!B65</f>
        <v>0</v>
      </c>
      <c r="C69" s="204">
        <f>ANACO!C65</f>
        <v>0</v>
      </c>
      <c r="D69" s="165">
        <f>ANACO!H65</f>
        <v>0</v>
      </c>
      <c r="E69" s="165"/>
      <c r="F69" s="203">
        <f>ANACO!G65</f>
        <v>0</v>
      </c>
      <c r="G69" s="203">
        <f>ANACO!I65</f>
        <v>0</v>
      </c>
      <c r="H69" s="166">
        <f>ANACO!BS65</f>
        <v>0</v>
      </c>
      <c r="I69" s="172">
        <f>ANACO!BT65</f>
        <v>0</v>
      </c>
      <c r="J69" s="161"/>
      <c r="K69" s="161">
        <f t="shared" si="0"/>
        <v>0</v>
      </c>
      <c r="L69" s="244">
        <v>0</v>
      </c>
      <c r="M69" s="244"/>
      <c r="N69" s="244"/>
      <c r="O69" s="244"/>
      <c r="P69" s="244"/>
      <c r="Q69" s="244"/>
      <c r="R69" s="244"/>
      <c r="S69" s="244"/>
      <c r="T69" s="244"/>
      <c r="U69" s="244"/>
      <c r="V69" s="244"/>
      <c r="W69" s="244"/>
      <c r="X69" s="244"/>
      <c r="Y69" s="244"/>
      <c r="Z69" s="244"/>
      <c r="AA69" s="244"/>
      <c r="AB69" s="244"/>
      <c r="AC69" s="244"/>
      <c r="AD69" s="244"/>
      <c r="AE69" s="244"/>
      <c r="AF69" s="244"/>
      <c r="AG69" s="244"/>
      <c r="AH69" s="244"/>
      <c r="AI69" s="244"/>
      <c r="AJ69" s="244"/>
      <c r="AK69" s="244"/>
      <c r="AL69" s="244"/>
      <c r="AM69" s="244"/>
      <c r="AN69" s="244"/>
      <c r="AO69" s="244"/>
      <c r="AP69" s="244"/>
      <c r="AQ69" s="244"/>
      <c r="AR69" s="244"/>
      <c r="AS69" s="244"/>
      <c r="AT69" s="244"/>
      <c r="AU69" s="244"/>
      <c r="AV69" s="161"/>
      <c r="AW69" s="161"/>
      <c r="AX69" s="243">
        <v>0</v>
      </c>
      <c r="AY69" s="161"/>
      <c r="AZ69" s="161"/>
      <c r="BA69" s="243">
        <v>0</v>
      </c>
      <c r="BB69" s="212">
        <f t="shared" si="1"/>
        <v>0</v>
      </c>
      <c r="BC69" s="256"/>
      <c r="BD69" s="162" t="e">
        <f t="shared" si="2"/>
        <v>#DIV/0!</v>
      </c>
      <c r="BE69" s="162" t="e">
        <f t="shared" si="3"/>
        <v>#DIV/0!</v>
      </c>
      <c r="BF69" s="243"/>
      <c r="BG69" s="243"/>
      <c r="BH69" s="243"/>
      <c r="BI69" s="257"/>
      <c r="BJ69" s="257"/>
      <c r="BK69" s="243"/>
      <c r="BL69" s="243"/>
      <c r="BM69" s="243"/>
      <c r="BN69" s="243"/>
      <c r="BO69" s="243"/>
      <c r="BP69" s="243"/>
      <c r="BQ69" s="243"/>
      <c r="BR69" s="243"/>
      <c r="BS69" s="243"/>
      <c r="BT69" s="243"/>
      <c r="BU69" s="243"/>
      <c r="BV69" s="243"/>
      <c r="BW69" s="243"/>
      <c r="BX69" s="243"/>
      <c r="BY69" s="243"/>
      <c r="BZ69" s="243"/>
      <c r="CA69" s="243"/>
      <c r="CB69" s="243"/>
      <c r="CC69" s="243"/>
      <c r="CD69" s="243"/>
      <c r="CE69" s="245">
        <v>0</v>
      </c>
      <c r="CF69" s="245">
        <v>0</v>
      </c>
      <c r="CG69" s="245">
        <v>1</v>
      </c>
      <c r="CH69" s="246">
        <v>0</v>
      </c>
      <c r="CI69" s="219" t="e">
        <f t="shared" si="4"/>
        <v>#DIV/0!</v>
      </c>
      <c r="CJ69" s="245">
        <v>1</v>
      </c>
      <c r="CK69" s="246">
        <v>0</v>
      </c>
      <c r="CL69" s="163" t="e">
        <f t="shared" si="5"/>
        <v>#DIV/0!</v>
      </c>
      <c r="CM69" s="245">
        <v>1</v>
      </c>
      <c r="CN69" s="246">
        <v>0</v>
      </c>
      <c r="CO69" s="163" t="e">
        <f t="shared" si="6"/>
        <v>#DIV/0!</v>
      </c>
      <c r="CP69" s="245">
        <v>1</v>
      </c>
      <c r="CQ69" s="246">
        <v>0</v>
      </c>
      <c r="CR69" s="163" t="e">
        <f t="shared" si="7"/>
        <v>#DIV/0!</v>
      </c>
      <c r="CS69" s="207" t="e">
        <f t="shared" si="8"/>
        <v>#DIV/0!</v>
      </c>
      <c r="CT69" s="258"/>
      <c r="CU69" s="258"/>
      <c r="CV69" s="258"/>
      <c r="CW69" s="258"/>
      <c r="CX69" s="258"/>
      <c r="CY69" s="258"/>
      <c r="CZ69" s="258"/>
      <c r="DA69" s="258"/>
      <c r="DB69" s="258"/>
      <c r="DC69" s="258"/>
      <c r="DD69" s="156"/>
      <c r="DE69" s="156"/>
      <c r="DF69" s="156"/>
      <c r="DG69" s="156"/>
      <c r="DH69" s="156"/>
      <c r="DI69" s="156"/>
      <c r="DJ69" s="156"/>
      <c r="DK69" s="156"/>
      <c r="DL69" s="156"/>
      <c r="DM69" s="156"/>
      <c r="DN69" s="156"/>
      <c r="DO69" s="156"/>
      <c r="DP69" s="156"/>
      <c r="DQ69" s="156"/>
      <c r="DR69" s="156"/>
      <c r="DS69" s="156"/>
      <c r="DT69" s="156"/>
      <c r="DU69" s="156"/>
      <c r="DV69" s="156"/>
      <c r="DW69" s="156"/>
      <c r="DX69" s="156"/>
      <c r="DY69" s="156"/>
      <c r="DZ69" s="156"/>
      <c r="EA69" s="156"/>
      <c r="EB69" s="156"/>
      <c r="EC69" s="156"/>
      <c r="ED69" s="156"/>
      <c r="EE69" s="156"/>
      <c r="EF69" s="156"/>
      <c r="EG69" s="156"/>
      <c r="EH69" s="156"/>
      <c r="EI69" s="156"/>
      <c r="EJ69" s="156"/>
      <c r="EK69" s="156"/>
      <c r="EL69" s="156"/>
      <c r="EM69" s="156"/>
      <c r="EN69" s="156"/>
      <c r="EO69" s="156"/>
      <c r="EP69" s="156"/>
      <c r="EQ69" s="156"/>
      <c r="ER69" s="156"/>
      <c r="ES69" s="156"/>
      <c r="ET69" s="156"/>
      <c r="EU69" s="156"/>
      <c r="EV69" s="156"/>
      <c r="EW69" s="156"/>
      <c r="EX69" s="156"/>
      <c r="EY69" s="156"/>
      <c r="EZ69" s="156"/>
      <c r="FA69" s="156"/>
      <c r="FB69" s="156"/>
      <c r="FC69" s="156"/>
      <c r="FD69" s="156"/>
      <c r="FE69" s="156"/>
      <c r="FF69" s="156"/>
      <c r="FG69" s="156"/>
      <c r="FH69" s="156"/>
      <c r="FI69" s="156"/>
      <c r="FJ69" s="156"/>
      <c r="FK69" s="156"/>
      <c r="FL69" s="156"/>
      <c r="FM69" s="156"/>
      <c r="FN69" s="156"/>
      <c r="FO69" s="156"/>
      <c r="FP69" s="156"/>
      <c r="FQ69" s="156"/>
    </row>
    <row r="70" spans="1:173" s="168" customFormat="1">
      <c r="A70" s="156"/>
      <c r="B70" s="205">
        <f>ANACO!B66</f>
        <v>0</v>
      </c>
      <c r="C70" s="204">
        <f>ANACO!C66</f>
        <v>0</v>
      </c>
      <c r="D70" s="165">
        <f>ANACO!H66</f>
        <v>0</v>
      </c>
      <c r="E70" s="165"/>
      <c r="F70" s="203">
        <f>ANACO!G66</f>
        <v>0</v>
      </c>
      <c r="G70" s="203">
        <f>ANACO!I66</f>
        <v>0</v>
      </c>
      <c r="H70" s="166">
        <f>ANACO!BS66</f>
        <v>0</v>
      </c>
      <c r="I70" s="172">
        <f>ANACO!BT66</f>
        <v>0</v>
      </c>
      <c r="J70" s="161"/>
      <c r="K70" s="161">
        <f t="shared" si="0"/>
        <v>0</v>
      </c>
      <c r="L70" s="244">
        <v>0</v>
      </c>
      <c r="M70" s="244"/>
      <c r="N70" s="244"/>
      <c r="O70" s="244"/>
      <c r="P70" s="244"/>
      <c r="Q70" s="244"/>
      <c r="R70" s="244"/>
      <c r="S70" s="244"/>
      <c r="T70" s="244"/>
      <c r="U70" s="244"/>
      <c r="V70" s="244"/>
      <c r="W70" s="244"/>
      <c r="X70" s="244"/>
      <c r="Y70" s="244"/>
      <c r="Z70" s="244"/>
      <c r="AA70" s="244"/>
      <c r="AB70" s="244"/>
      <c r="AC70" s="244"/>
      <c r="AD70" s="244"/>
      <c r="AE70" s="244"/>
      <c r="AF70" s="244"/>
      <c r="AG70" s="244"/>
      <c r="AH70" s="244"/>
      <c r="AI70" s="244"/>
      <c r="AJ70" s="244"/>
      <c r="AK70" s="244"/>
      <c r="AL70" s="244"/>
      <c r="AM70" s="244"/>
      <c r="AN70" s="244"/>
      <c r="AO70" s="244"/>
      <c r="AP70" s="244"/>
      <c r="AQ70" s="244"/>
      <c r="AR70" s="244"/>
      <c r="AS70" s="244"/>
      <c r="AT70" s="244"/>
      <c r="AU70" s="244"/>
      <c r="AV70" s="161"/>
      <c r="AW70" s="161"/>
      <c r="AX70" s="243">
        <v>0</v>
      </c>
      <c r="AY70" s="161"/>
      <c r="AZ70" s="161"/>
      <c r="BA70" s="243">
        <v>0</v>
      </c>
      <c r="BB70" s="212">
        <f t="shared" si="1"/>
        <v>0</v>
      </c>
      <c r="BC70" s="256"/>
      <c r="BD70" s="162" t="e">
        <f t="shared" si="2"/>
        <v>#DIV/0!</v>
      </c>
      <c r="BE70" s="162" t="e">
        <f t="shared" si="3"/>
        <v>#DIV/0!</v>
      </c>
      <c r="BF70" s="243"/>
      <c r="BG70" s="243"/>
      <c r="BH70" s="243"/>
      <c r="BI70" s="257"/>
      <c r="BJ70" s="257"/>
      <c r="BK70" s="243"/>
      <c r="BL70" s="243"/>
      <c r="BM70" s="243"/>
      <c r="BN70" s="243"/>
      <c r="BO70" s="243"/>
      <c r="BP70" s="243"/>
      <c r="BQ70" s="243"/>
      <c r="BR70" s="243"/>
      <c r="BS70" s="243"/>
      <c r="BT70" s="243"/>
      <c r="BU70" s="243"/>
      <c r="BV70" s="243"/>
      <c r="BW70" s="243"/>
      <c r="BX70" s="243"/>
      <c r="BY70" s="243"/>
      <c r="BZ70" s="243"/>
      <c r="CA70" s="243"/>
      <c r="CB70" s="243"/>
      <c r="CC70" s="243"/>
      <c r="CD70" s="243"/>
      <c r="CE70" s="245">
        <v>0</v>
      </c>
      <c r="CF70" s="245">
        <v>0</v>
      </c>
      <c r="CG70" s="245">
        <v>1</v>
      </c>
      <c r="CH70" s="246">
        <v>0</v>
      </c>
      <c r="CI70" s="219" t="e">
        <f t="shared" si="4"/>
        <v>#DIV/0!</v>
      </c>
      <c r="CJ70" s="245">
        <v>1</v>
      </c>
      <c r="CK70" s="246">
        <v>0</v>
      </c>
      <c r="CL70" s="163" t="e">
        <f t="shared" si="5"/>
        <v>#DIV/0!</v>
      </c>
      <c r="CM70" s="245">
        <v>1</v>
      </c>
      <c r="CN70" s="246">
        <v>0</v>
      </c>
      <c r="CO70" s="163" t="e">
        <f t="shared" si="6"/>
        <v>#DIV/0!</v>
      </c>
      <c r="CP70" s="245">
        <v>1</v>
      </c>
      <c r="CQ70" s="246">
        <v>0</v>
      </c>
      <c r="CR70" s="163" t="e">
        <f t="shared" si="7"/>
        <v>#DIV/0!</v>
      </c>
      <c r="CS70" s="207" t="e">
        <f t="shared" si="8"/>
        <v>#DIV/0!</v>
      </c>
      <c r="CT70" s="258"/>
      <c r="CU70" s="258"/>
      <c r="CV70" s="258"/>
      <c r="CW70" s="258"/>
      <c r="CX70" s="258"/>
      <c r="CY70" s="258"/>
      <c r="CZ70" s="258"/>
      <c r="DA70" s="258"/>
      <c r="DB70" s="258"/>
      <c r="DC70" s="258"/>
      <c r="DD70" s="156"/>
      <c r="DE70" s="156"/>
      <c r="DF70" s="156"/>
      <c r="DG70" s="156"/>
      <c r="DH70" s="156"/>
      <c r="DI70" s="156"/>
      <c r="DJ70" s="156"/>
      <c r="DK70" s="156"/>
      <c r="DL70" s="156"/>
      <c r="DM70" s="156"/>
      <c r="DN70" s="156"/>
      <c r="DO70" s="156"/>
      <c r="DP70" s="156"/>
      <c r="DQ70" s="156"/>
      <c r="DR70" s="156"/>
      <c r="DS70" s="156"/>
      <c r="DT70" s="156"/>
      <c r="DU70" s="156"/>
      <c r="DV70" s="156"/>
      <c r="DW70" s="156"/>
      <c r="DX70" s="156"/>
      <c r="DY70" s="156"/>
      <c r="DZ70" s="156"/>
      <c r="EA70" s="156"/>
      <c r="EB70" s="156"/>
      <c r="EC70" s="156"/>
      <c r="ED70" s="156"/>
      <c r="EE70" s="156"/>
      <c r="EF70" s="156"/>
      <c r="EG70" s="156"/>
      <c r="EH70" s="156"/>
      <c r="EI70" s="156"/>
      <c r="EJ70" s="156"/>
      <c r="EK70" s="156"/>
      <c r="EL70" s="156"/>
      <c r="EM70" s="156"/>
      <c r="EN70" s="156"/>
      <c r="EO70" s="156"/>
      <c r="EP70" s="156"/>
      <c r="EQ70" s="156"/>
      <c r="ER70" s="156"/>
      <c r="ES70" s="156"/>
      <c r="ET70" s="156"/>
      <c r="EU70" s="156"/>
      <c r="EV70" s="156"/>
      <c r="EW70" s="156"/>
      <c r="EX70" s="156"/>
      <c r="EY70" s="156"/>
      <c r="EZ70" s="156"/>
      <c r="FA70" s="156"/>
      <c r="FB70" s="156"/>
      <c r="FC70" s="156"/>
      <c r="FD70" s="156"/>
      <c r="FE70" s="156"/>
      <c r="FF70" s="156"/>
      <c r="FG70" s="156"/>
      <c r="FH70" s="156"/>
      <c r="FI70" s="156"/>
      <c r="FJ70" s="156"/>
      <c r="FK70" s="156"/>
      <c r="FL70" s="156"/>
      <c r="FM70" s="156"/>
      <c r="FN70" s="156"/>
      <c r="FO70" s="156"/>
      <c r="FP70" s="156"/>
      <c r="FQ70" s="156"/>
    </row>
    <row r="71" spans="1:173" s="168" customFormat="1">
      <c r="A71" s="156"/>
      <c r="B71" s="205">
        <f>ANACO!B67</f>
        <v>0</v>
      </c>
      <c r="C71" s="204">
        <f>ANACO!C67</f>
        <v>0</v>
      </c>
      <c r="D71" s="165">
        <f>ANACO!H67</f>
        <v>0</v>
      </c>
      <c r="E71" s="165"/>
      <c r="F71" s="203">
        <f>ANACO!G67</f>
        <v>0</v>
      </c>
      <c r="G71" s="203">
        <f>ANACO!I67</f>
        <v>0</v>
      </c>
      <c r="H71" s="166">
        <f>ANACO!BS67</f>
        <v>0</v>
      </c>
      <c r="I71" s="172">
        <f>ANACO!BT67</f>
        <v>0</v>
      </c>
      <c r="J71" s="161"/>
      <c r="K71" s="161">
        <f t="shared" si="0"/>
        <v>0</v>
      </c>
      <c r="L71" s="244">
        <v>0</v>
      </c>
      <c r="M71" s="244"/>
      <c r="N71" s="244"/>
      <c r="O71" s="244"/>
      <c r="P71" s="244"/>
      <c r="Q71" s="244"/>
      <c r="R71" s="244"/>
      <c r="S71" s="244"/>
      <c r="T71" s="244"/>
      <c r="U71" s="244"/>
      <c r="V71" s="244"/>
      <c r="W71" s="244"/>
      <c r="X71" s="244"/>
      <c r="Y71" s="244"/>
      <c r="Z71" s="244"/>
      <c r="AA71" s="244"/>
      <c r="AB71" s="244"/>
      <c r="AC71" s="244"/>
      <c r="AD71" s="244"/>
      <c r="AE71" s="244"/>
      <c r="AF71" s="244"/>
      <c r="AG71" s="244"/>
      <c r="AH71" s="244"/>
      <c r="AI71" s="244"/>
      <c r="AJ71" s="244"/>
      <c r="AK71" s="244"/>
      <c r="AL71" s="244"/>
      <c r="AM71" s="244"/>
      <c r="AN71" s="244"/>
      <c r="AO71" s="244"/>
      <c r="AP71" s="244"/>
      <c r="AQ71" s="244"/>
      <c r="AR71" s="244"/>
      <c r="AS71" s="244"/>
      <c r="AT71" s="244"/>
      <c r="AU71" s="244"/>
      <c r="AV71" s="161"/>
      <c r="AW71" s="161"/>
      <c r="AX71" s="243">
        <v>0</v>
      </c>
      <c r="AY71" s="161"/>
      <c r="AZ71" s="161"/>
      <c r="BA71" s="243">
        <v>0</v>
      </c>
      <c r="BB71" s="212">
        <f t="shared" si="1"/>
        <v>0</v>
      </c>
      <c r="BC71" s="256"/>
      <c r="BD71" s="162" t="e">
        <f t="shared" si="2"/>
        <v>#DIV/0!</v>
      </c>
      <c r="BE71" s="162" t="e">
        <f t="shared" si="3"/>
        <v>#DIV/0!</v>
      </c>
      <c r="BF71" s="243"/>
      <c r="BG71" s="243"/>
      <c r="BH71" s="243"/>
      <c r="BI71" s="257"/>
      <c r="BJ71" s="257"/>
      <c r="BK71" s="243"/>
      <c r="BL71" s="243"/>
      <c r="BM71" s="243"/>
      <c r="BN71" s="243"/>
      <c r="BO71" s="243"/>
      <c r="BP71" s="243"/>
      <c r="BQ71" s="243"/>
      <c r="BR71" s="243"/>
      <c r="BS71" s="243"/>
      <c r="BT71" s="243"/>
      <c r="BU71" s="243"/>
      <c r="BV71" s="243"/>
      <c r="BW71" s="243"/>
      <c r="BX71" s="243"/>
      <c r="BY71" s="243"/>
      <c r="BZ71" s="243"/>
      <c r="CA71" s="243"/>
      <c r="CB71" s="243"/>
      <c r="CC71" s="243"/>
      <c r="CD71" s="243"/>
      <c r="CE71" s="245">
        <v>0</v>
      </c>
      <c r="CF71" s="245">
        <v>0</v>
      </c>
      <c r="CG71" s="245">
        <v>1</v>
      </c>
      <c r="CH71" s="246">
        <v>0</v>
      </c>
      <c r="CI71" s="219" t="e">
        <f t="shared" si="4"/>
        <v>#DIV/0!</v>
      </c>
      <c r="CJ71" s="245">
        <v>1</v>
      </c>
      <c r="CK71" s="246">
        <v>0</v>
      </c>
      <c r="CL71" s="163" t="e">
        <f t="shared" si="5"/>
        <v>#DIV/0!</v>
      </c>
      <c r="CM71" s="245">
        <v>1</v>
      </c>
      <c r="CN71" s="246">
        <v>0</v>
      </c>
      <c r="CO71" s="163" t="e">
        <f t="shared" si="6"/>
        <v>#DIV/0!</v>
      </c>
      <c r="CP71" s="245">
        <v>1</v>
      </c>
      <c r="CQ71" s="246">
        <v>0</v>
      </c>
      <c r="CR71" s="163" t="e">
        <f t="shared" si="7"/>
        <v>#DIV/0!</v>
      </c>
      <c r="CS71" s="207" t="e">
        <f t="shared" si="8"/>
        <v>#DIV/0!</v>
      </c>
      <c r="CT71" s="258"/>
      <c r="CU71" s="258"/>
      <c r="CV71" s="258"/>
      <c r="CW71" s="258"/>
      <c r="CX71" s="258"/>
      <c r="CY71" s="258"/>
      <c r="CZ71" s="258"/>
      <c r="DA71" s="258"/>
      <c r="DB71" s="258"/>
      <c r="DC71" s="258"/>
      <c r="DD71" s="156"/>
      <c r="DE71" s="156"/>
      <c r="DF71" s="156"/>
      <c r="DG71" s="156"/>
      <c r="DH71" s="156"/>
      <c r="DI71" s="156"/>
      <c r="DJ71" s="156"/>
      <c r="DK71" s="156"/>
      <c r="DL71" s="156"/>
      <c r="DM71" s="156"/>
      <c r="DN71" s="156"/>
      <c r="DO71" s="156"/>
      <c r="DP71" s="156"/>
      <c r="DQ71" s="156"/>
      <c r="DR71" s="156"/>
      <c r="DS71" s="156"/>
      <c r="DT71" s="156"/>
      <c r="DU71" s="156"/>
      <c r="DV71" s="156"/>
      <c r="DW71" s="156"/>
      <c r="DX71" s="156"/>
      <c r="DY71" s="156"/>
      <c r="DZ71" s="156"/>
      <c r="EA71" s="156"/>
      <c r="EB71" s="156"/>
      <c r="EC71" s="156"/>
      <c r="ED71" s="156"/>
      <c r="EE71" s="156"/>
      <c r="EF71" s="156"/>
      <c r="EG71" s="156"/>
      <c r="EH71" s="156"/>
      <c r="EI71" s="156"/>
      <c r="EJ71" s="156"/>
      <c r="EK71" s="156"/>
      <c r="EL71" s="156"/>
      <c r="EM71" s="156"/>
      <c r="EN71" s="156"/>
      <c r="EO71" s="156"/>
      <c r="EP71" s="156"/>
      <c r="EQ71" s="156"/>
      <c r="ER71" s="156"/>
      <c r="ES71" s="156"/>
      <c r="ET71" s="156"/>
      <c r="EU71" s="156"/>
      <c r="EV71" s="156"/>
      <c r="EW71" s="156"/>
      <c r="EX71" s="156"/>
      <c r="EY71" s="156"/>
      <c r="EZ71" s="156"/>
      <c r="FA71" s="156"/>
      <c r="FB71" s="156"/>
      <c r="FC71" s="156"/>
      <c r="FD71" s="156"/>
      <c r="FE71" s="156"/>
      <c r="FF71" s="156"/>
      <c r="FG71" s="156"/>
      <c r="FH71" s="156"/>
      <c r="FI71" s="156"/>
      <c r="FJ71" s="156"/>
      <c r="FK71" s="156"/>
      <c r="FL71" s="156"/>
      <c r="FM71" s="156"/>
      <c r="FN71" s="156"/>
      <c r="FO71" s="156"/>
      <c r="FP71" s="156"/>
      <c r="FQ71" s="156"/>
    </row>
    <row r="72" spans="1:173" s="168" customFormat="1">
      <c r="A72" s="156"/>
      <c r="B72" s="205">
        <f>ANACO!B68</f>
        <v>0</v>
      </c>
      <c r="C72" s="204">
        <f>ANACO!C68</f>
        <v>0</v>
      </c>
      <c r="D72" s="165">
        <f>ANACO!H68</f>
        <v>0</v>
      </c>
      <c r="E72" s="165"/>
      <c r="F72" s="203">
        <f>ANACO!G68</f>
        <v>0</v>
      </c>
      <c r="G72" s="203">
        <f>ANACO!I68</f>
        <v>0</v>
      </c>
      <c r="H72" s="166">
        <f>ANACO!BS68</f>
        <v>0</v>
      </c>
      <c r="I72" s="172">
        <f>ANACO!BT68</f>
        <v>0</v>
      </c>
      <c r="J72" s="161"/>
      <c r="K72" s="161">
        <f t="shared" si="0"/>
        <v>0</v>
      </c>
      <c r="L72" s="244">
        <v>0</v>
      </c>
      <c r="M72" s="244"/>
      <c r="N72" s="244"/>
      <c r="O72" s="244"/>
      <c r="P72" s="244"/>
      <c r="Q72" s="244"/>
      <c r="R72" s="244"/>
      <c r="S72" s="244"/>
      <c r="T72" s="244"/>
      <c r="U72" s="244"/>
      <c r="V72" s="244"/>
      <c r="W72" s="244"/>
      <c r="X72" s="244"/>
      <c r="Y72" s="244"/>
      <c r="Z72" s="244"/>
      <c r="AA72" s="244"/>
      <c r="AB72" s="244"/>
      <c r="AC72" s="244"/>
      <c r="AD72" s="244"/>
      <c r="AE72" s="244"/>
      <c r="AF72" s="244"/>
      <c r="AG72" s="244"/>
      <c r="AH72" s="244"/>
      <c r="AI72" s="244"/>
      <c r="AJ72" s="244"/>
      <c r="AK72" s="244"/>
      <c r="AL72" s="244"/>
      <c r="AM72" s="244"/>
      <c r="AN72" s="244"/>
      <c r="AO72" s="244"/>
      <c r="AP72" s="244"/>
      <c r="AQ72" s="244"/>
      <c r="AR72" s="244"/>
      <c r="AS72" s="244"/>
      <c r="AT72" s="244"/>
      <c r="AU72" s="244"/>
      <c r="AV72" s="161"/>
      <c r="AW72" s="161"/>
      <c r="AX72" s="243">
        <v>0</v>
      </c>
      <c r="AY72" s="161"/>
      <c r="AZ72" s="161"/>
      <c r="BA72" s="243">
        <v>0</v>
      </c>
      <c r="BB72" s="212">
        <f t="shared" si="1"/>
        <v>0</v>
      </c>
      <c r="BC72" s="256"/>
      <c r="BD72" s="162" t="e">
        <f t="shared" si="2"/>
        <v>#DIV/0!</v>
      </c>
      <c r="BE72" s="162" t="e">
        <f t="shared" si="3"/>
        <v>#DIV/0!</v>
      </c>
      <c r="BF72" s="243"/>
      <c r="BG72" s="243"/>
      <c r="BH72" s="243"/>
      <c r="BI72" s="257"/>
      <c r="BJ72" s="257"/>
      <c r="BK72" s="243"/>
      <c r="BL72" s="243"/>
      <c r="BM72" s="243"/>
      <c r="BN72" s="243"/>
      <c r="BO72" s="243"/>
      <c r="BP72" s="243"/>
      <c r="BQ72" s="243"/>
      <c r="BR72" s="243"/>
      <c r="BS72" s="243"/>
      <c r="BT72" s="243"/>
      <c r="BU72" s="243"/>
      <c r="BV72" s="243"/>
      <c r="BW72" s="243"/>
      <c r="BX72" s="243"/>
      <c r="BY72" s="243"/>
      <c r="BZ72" s="243"/>
      <c r="CA72" s="243"/>
      <c r="CB72" s="243"/>
      <c r="CC72" s="243"/>
      <c r="CD72" s="243"/>
      <c r="CE72" s="245">
        <v>0</v>
      </c>
      <c r="CF72" s="245">
        <v>0</v>
      </c>
      <c r="CG72" s="245">
        <v>1</v>
      </c>
      <c r="CH72" s="246">
        <v>0</v>
      </c>
      <c r="CI72" s="219" t="e">
        <f t="shared" si="4"/>
        <v>#DIV/0!</v>
      </c>
      <c r="CJ72" s="245">
        <v>1</v>
      </c>
      <c r="CK72" s="246">
        <v>0</v>
      </c>
      <c r="CL72" s="163" t="e">
        <f t="shared" si="5"/>
        <v>#DIV/0!</v>
      </c>
      <c r="CM72" s="245">
        <v>1</v>
      </c>
      <c r="CN72" s="246">
        <v>0</v>
      </c>
      <c r="CO72" s="163" t="e">
        <f t="shared" si="6"/>
        <v>#DIV/0!</v>
      </c>
      <c r="CP72" s="245">
        <v>1</v>
      </c>
      <c r="CQ72" s="246">
        <v>0</v>
      </c>
      <c r="CR72" s="163" t="e">
        <f t="shared" si="7"/>
        <v>#DIV/0!</v>
      </c>
      <c r="CS72" s="207" t="e">
        <f t="shared" si="8"/>
        <v>#DIV/0!</v>
      </c>
      <c r="CT72" s="258"/>
      <c r="CU72" s="258"/>
      <c r="CV72" s="258"/>
      <c r="CW72" s="258"/>
      <c r="CX72" s="258"/>
      <c r="CY72" s="258"/>
      <c r="CZ72" s="258"/>
      <c r="DA72" s="258"/>
      <c r="DB72" s="258"/>
      <c r="DC72" s="258"/>
      <c r="DD72" s="156"/>
      <c r="DE72" s="156"/>
      <c r="DF72" s="156"/>
      <c r="DG72" s="156"/>
      <c r="DH72" s="156"/>
      <c r="DI72" s="156"/>
      <c r="DJ72" s="156"/>
      <c r="DK72" s="156"/>
      <c r="DL72" s="156"/>
      <c r="DM72" s="156"/>
      <c r="DN72" s="156"/>
      <c r="DO72" s="156"/>
      <c r="DP72" s="156"/>
      <c r="DQ72" s="156"/>
      <c r="DR72" s="156"/>
      <c r="DS72" s="156"/>
      <c r="DT72" s="156"/>
      <c r="DU72" s="156"/>
      <c r="DV72" s="156"/>
      <c r="DW72" s="156"/>
      <c r="DX72" s="156"/>
      <c r="DY72" s="156"/>
      <c r="DZ72" s="156"/>
      <c r="EA72" s="156"/>
      <c r="EB72" s="156"/>
      <c r="EC72" s="156"/>
      <c r="ED72" s="156"/>
      <c r="EE72" s="156"/>
      <c r="EF72" s="156"/>
      <c r="EG72" s="156"/>
      <c r="EH72" s="156"/>
      <c r="EI72" s="156"/>
      <c r="EJ72" s="156"/>
      <c r="EK72" s="156"/>
      <c r="EL72" s="156"/>
      <c r="EM72" s="156"/>
      <c r="EN72" s="156"/>
      <c r="EO72" s="156"/>
      <c r="EP72" s="156"/>
      <c r="EQ72" s="156"/>
      <c r="ER72" s="156"/>
      <c r="ES72" s="156"/>
      <c r="ET72" s="156"/>
      <c r="EU72" s="156"/>
      <c r="EV72" s="156"/>
      <c r="EW72" s="156"/>
      <c r="EX72" s="156"/>
      <c r="EY72" s="156"/>
      <c r="EZ72" s="156"/>
      <c r="FA72" s="156"/>
      <c r="FB72" s="156"/>
      <c r="FC72" s="156"/>
      <c r="FD72" s="156"/>
      <c r="FE72" s="156"/>
      <c r="FF72" s="156"/>
      <c r="FG72" s="156"/>
      <c r="FH72" s="156"/>
      <c r="FI72" s="156"/>
      <c r="FJ72" s="156"/>
      <c r="FK72" s="156"/>
      <c r="FL72" s="156"/>
      <c r="FM72" s="156"/>
      <c r="FN72" s="156"/>
      <c r="FO72" s="156"/>
      <c r="FP72" s="156"/>
      <c r="FQ72" s="156"/>
    </row>
    <row r="73" spans="1:173">
      <c r="B73" s="205">
        <f>ANACO!B69</f>
        <v>0</v>
      </c>
      <c r="C73" s="204">
        <f>ANACO!C69</f>
        <v>0</v>
      </c>
      <c r="D73" s="165">
        <f>ANACO!H69</f>
        <v>0</v>
      </c>
      <c r="E73" s="165"/>
      <c r="F73" s="203">
        <f>ANACO!G69</f>
        <v>0</v>
      </c>
      <c r="G73" s="203">
        <f>ANACO!I69</f>
        <v>0</v>
      </c>
      <c r="H73" s="166">
        <f>ANACO!BS69</f>
        <v>0</v>
      </c>
      <c r="I73" s="172">
        <f>ANACO!BT69</f>
        <v>0</v>
      </c>
      <c r="J73" s="161"/>
      <c r="K73" s="161">
        <f t="shared" si="0"/>
        <v>0</v>
      </c>
      <c r="L73" s="244">
        <v>0</v>
      </c>
      <c r="M73" s="244"/>
      <c r="N73" s="244"/>
      <c r="O73" s="244"/>
      <c r="P73" s="244"/>
      <c r="Q73" s="244"/>
      <c r="R73" s="244"/>
      <c r="S73" s="244"/>
      <c r="T73" s="244"/>
      <c r="U73" s="244"/>
      <c r="V73" s="244"/>
      <c r="W73" s="244"/>
      <c r="X73" s="244"/>
      <c r="Y73" s="244"/>
      <c r="Z73" s="244"/>
      <c r="AA73" s="244"/>
      <c r="AB73" s="244"/>
      <c r="AC73" s="244"/>
      <c r="AD73" s="244"/>
      <c r="AE73" s="244"/>
      <c r="AF73" s="244"/>
      <c r="AG73" s="244"/>
      <c r="AH73" s="244"/>
      <c r="AI73" s="244"/>
      <c r="AJ73" s="244"/>
      <c r="AK73" s="244"/>
      <c r="AL73" s="244"/>
      <c r="AM73" s="244"/>
      <c r="AN73" s="244"/>
      <c r="AO73" s="244"/>
      <c r="AP73" s="244"/>
      <c r="AQ73" s="244"/>
      <c r="AR73" s="244"/>
      <c r="AS73" s="244"/>
      <c r="AT73" s="244"/>
      <c r="AU73" s="244"/>
      <c r="AV73" s="161"/>
      <c r="AW73" s="161"/>
      <c r="AX73" s="243">
        <v>0</v>
      </c>
      <c r="AY73" s="161"/>
      <c r="AZ73" s="161"/>
      <c r="BA73" s="243">
        <v>0</v>
      </c>
      <c r="BB73" s="212">
        <f t="shared" si="1"/>
        <v>0</v>
      </c>
      <c r="BC73" s="256"/>
      <c r="BD73" s="162" t="e">
        <f t="shared" si="2"/>
        <v>#DIV/0!</v>
      </c>
      <c r="BE73" s="162" t="e">
        <f t="shared" si="3"/>
        <v>#DIV/0!</v>
      </c>
      <c r="BF73" s="243"/>
      <c r="BG73" s="243"/>
      <c r="BH73" s="243"/>
      <c r="BI73" s="257"/>
      <c r="BJ73" s="257"/>
      <c r="BK73" s="243"/>
      <c r="BL73" s="243"/>
      <c r="BM73" s="243"/>
      <c r="BN73" s="243"/>
      <c r="BO73" s="243"/>
      <c r="BP73" s="243"/>
      <c r="BQ73" s="243"/>
      <c r="BR73" s="243"/>
      <c r="BS73" s="243"/>
      <c r="BT73" s="243"/>
      <c r="BU73" s="243"/>
      <c r="BV73" s="243"/>
      <c r="BW73" s="243"/>
      <c r="BX73" s="243"/>
      <c r="BY73" s="243"/>
      <c r="BZ73" s="243"/>
      <c r="CA73" s="243"/>
      <c r="CB73" s="243"/>
      <c r="CC73" s="243"/>
      <c r="CD73" s="243"/>
      <c r="CE73" s="245">
        <v>0</v>
      </c>
      <c r="CF73" s="245">
        <v>0</v>
      </c>
      <c r="CG73" s="245">
        <v>1</v>
      </c>
      <c r="CH73" s="246">
        <v>0</v>
      </c>
      <c r="CI73" s="219" t="e">
        <f t="shared" si="4"/>
        <v>#DIV/0!</v>
      </c>
      <c r="CJ73" s="245">
        <v>1</v>
      </c>
      <c r="CK73" s="246">
        <v>0</v>
      </c>
      <c r="CL73" s="163" t="e">
        <f t="shared" si="5"/>
        <v>#DIV/0!</v>
      </c>
      <c r="CM73" s="245">
        <v>1</v>
      </c>
      <c r="CN73" s="246">
        <v>0</v>
      </c>
      <c r="CO73" s="163" t="e">
        <f t="shared" si="6"/>
        <v>#DIV/0!</v>
      </c>
      <c r="CP73" s="245">
        <v>1</v>
      </c>
      <c r="CQ73" s="246">
        <v>0</v>
      </c>
      <c r="CR73" s="163" t="e">
        <f t="shared" si="7"/>
        <v>#DIV/0!</v>
      </c>
      <c r="CS73" s="207" t="e">
        <f t="shared" si="8"/>
        <v>#DIV/0!</v>
      </c>
      <c r="CT73" s="258"/>
      <c r="CU73" s="258"/>
      <c r="CV73" s="258"/>
      <c r="CW73" s="258"/>
      <c r="CX73" s="258"/>
      <c r="CY73" s="258"/>
      <c r="CZ73" s="258"/>
      <c r="DA73" s="258"/>
      <c r="DB73" s="258"/>
      <c r="DC73" s="258"/>
    </row>
    <row r="74" spans="1:173">
      <c r="B74" s="205">
        <f>ANACO!B70</f>
        <v>0</v>
      </c>
      <c r="C74" s="204">
        <f>ANACO!C70</f>
        <v>0</v>
      </c>
      <c r="D74" s="165">
        <f>ANACO!H70</f>
        <v>0</v>
      </c>
      <c r="E74" s="165"/>
      <c r="F74" s="203">
        <f>ANACO!G70</f>
        <v>0</v>
      </c>
      <c r="G74" s="203">
        <f>ANACO!I70</f>
        <v>0</v>
      </c>
      <c r="H74" s="166">
        <f>ANACO!BS70</f>
        <v>0</v>
      </c>
      <c r="I74" s="172">
        <f>ANACO!BT70</f>
        <v>0</v>
      </c>
      <c r="J74" s="161"/>
      <c r="K74" s="161">
        <f t="shared" si="0"/>
        <v>0</v>
      </c>
      <c r="L74" s="244">
        <v>0</v>
      </c>
      <c r="M74" s="244"/>
      <c r="N74" s="244"/>
      <c r="O74" s="244"/>
      <c r="P74" s="244"/>
      <c r="Q74" s="244"/>
      <c r="R74" s="244"/>
      <c r="S74" s="244"/>
      <c r="T74" s="244"/>
      <c r="U74" s="244"/>
      <c r="V74" s="244"/>
      <c r="W74" s="244"/>
      <c r="X74" s="244"/>
      <c r="Y74" s="244"/>
      <c r="Z74" s="244"/>
      <c r="AA74" s="244"/>
      <c r="AB74" s="244"/>
      <c r="AC74" s="244"/>
      <c r="AD74" s="244"/>
      <c r="AE74" s="244"/>
      <c r="AF74" s="244"/>
      <c r="AG74" s="244"/>
      <c r="AH74" s="244"/>
      <c r="AI74" s="244"/>
      <c r="AJ74" s="244"/>
      <c r="AK74" s="244"/>
      <c r="AL74" s="244"/>
      <c r="AM74" s="244"/>
      <c r="AN74" s="244"/>
      <c r="AO74" s="244"/>
      <c r="AP74" s="244"/>
      <c r="AQ74" s="244"/>
      <c r="AR74" s="244"/>
      <c r="AS74" s="244"/>
      <c r="AT74" s="244"/>
      <c r="AU74" s="244"/>
      <c r="AV74" s="161"/>
      <c r="AW74" s="161"/>
      <c r="AX74" s="243">
        <v>0</v>
      </c>
      <c r="AY74" s="161"/>
      <c r="AZ74" s="161"/>
      <c r="BA74" s="243">
        <v>0</v>
      </c>
      <c r="BB74" s="212">
        <f t="shared" si="1"/>
        <v>0</v>
      </c>
      <c r="BC74" s="256"/>
      <c r="BD74" s="162" t="e">
        <f t="shared" si="2"/>
        <v>#DIV/0!</v>
      </c>
      <c r="BE74" s="162" t="e">
        <f t="shared" si="3"/>
        <v>#DIV/0!</v>
      </c>
      <c r="BF74" s="243"/>
      <c r="BG74" s="243"/>
      <c r="BH74" s="243"/>
      <c r="BI74" s="257"/>
      <c r="BJ74" s="257"/>
      <c r="BK74" s="243"/>
      <c r="BL74" s="243"/>
      <c r="BM74" s="243"/>
      <c r="BN74" s="243"/>
      <c r="BO74" s="243"/>
      <c r="BP74" s="243"/>
      <c r="BQ74" s="243"/>
      <c r="BR74" s="243"/>
      <c r="BS74" s="243"/>
      <c r="BT74" s="243"/>
      <c r="BU74" s="243"/>
      <c r="BV74" s="243"/>
      <c r="BW74" s="243"/>
      <c r="BX74" s="243"/>
      <c r="BY74" s="243"/>
      <c r="BZ74" s="243"/>
      <c r="CA74" s="243"/>
      <c r="CB74" s="243"/>
      <c r="CC74" s="243"/>
      <c r="CD74" s="243"/>
      <c r="CE74" s="245">
        <v>0</v>
      </c>
      <c r="CF74" s="245">
        <v>0</v>
      </c>
      <c r="CG74" s="245">
        <v>1</v>
      </c>
      <c r="CH74" s="246">
        <v>0</v>
      </c>
      <c r="CI74" s="219" t="e">
        <f t="shared" si="4"/>
        <v>#DIV/0!</v>
      </c>
      <c r="CJ74" s="245">
        <v>1</v>
      </c>
      <c r="CK74" s="246">
        <v>0</v>
      </c>
      <c r="CL74" s="163" t="e">
        <f t="shared" si="5"/>
        <v>#DIV/0!</v>
      </c>
      <c r="CM74" s="245">
        <v>1</v>
      </c>
      <c r="CN74" s="246">
        <v>0</v>
      </c>
      <c r="CO74" s="163" t="e">
        <f t="shared" si="6"/>
        <v>#DIV/0!</v>
      </c>
      <c r="CP74" s="245">
        <v>1</v>
      </c>
      <c r="CQ74" s="246">
        <v>0</v>
      </c>
      <c r="CR74" s="163" t="e">
        <f t="shared" si="7"/>
        <v>#DIV/0!</v>
      </c>
      <c r="CS74" s="207" t="e">
        <f t="shared" si="8"/>
        <v>#DIV/0!</v>
      </c>
      <c r="CT74" s="258"/>
      <c r="CU74" s="258"/>
      <c r="CV74" s="258"/>
      <c r="CW74" s="258"/>
      <c r="CX74" s="258"/>
      <c r="CY74" s="258"/>
      <c r="CZ74" s="258"/>
      <c r="DA74" s="258"/>
      <c r="DB74" s="258"/>
      <c r="DC74" s="258"/>
    </row>
    <row r="75" spans="1:173">
      <c r="B75" s="205">
        <f>ANACO!B71</f>
        <v>0</v>
      </c>
      <c r="C75" s="204">
        <f>ANACO!C71</f>
        <v>0</v>
      </c>
      <c r="D75" s="165">
        <f>ANACO!H71</f>
        <v>0</v>
      </c>
      <c r="E75" s="165"/>
      <c r="F75" s="203">
        <f>ANACO!G71</f>
        <v>0</v>
      </c>
      <c r="G75" s="203">
        <f>ANACO!I71</f>
        <v>0</v>
      </c>
      <c r="H75" s="166">
        <f>ANACO!BS71</f>
        <v>0</v>
      </c>
      <c r="I75" s="172">
        <f>ANACO!BT71</f>
        <v>0</v>
      </c>
      <c r="J75" s="161"/>
      <c r="K75" s="161">
        <f t="shared" si="0"/>
        <v>0</v>
      </c>
      <c r="L75" s="244">
        <v>0</v>
      </c>
      <c r="M75" s="244"/>
      <c r="N75" s="244"/>
      <c r="O75" s="244"/>
      <c r="P75" s="244"/>
      <c r="Q75" s="244"/>
      <c r="R75" s="244"/>
      <c r="S75" s="244"/>
      <c r="T75" s="244"/>
      <c r="U75" s="244"/>
      <c r="V75" s="244"/>
      <c r="W75" s="244"/>
      <c r="X75" s="244"/>
      <c r="Y75" s="244"/>
      <c r="Z75" s="244"/>
      <c r="AA75" s="244"/>
      <c r="AB75" s="244"/>
      <c r="AC75" s="244"/>
      <c r="AD75" s="244"/>
      <c r="AE75" s="244"/>
      <c r="AF75" s="244"/>
      <c r="AG75" s="244"/>
      <c r="AH75" s="244"/>
      <c r="AI75" s="244"/>
      <c r="AJ75" s="244"/>
      <c r="AK75" s="244"/>
      <c r="AL75" s="244"/>
      <c r="AM75" s="244"/>
      <c r="AN75" s="244"/>
      <c r="AO75" s="244"/>
      <c r="AP75" s="244"/>
      <c r="AQ75" s="244"/>
      <c r="AR75" s="244"/>
      <c r="AS75" s="244"/>
      <c r="AT75" s="244"/>
      <c r="AU75" s="244"/>
      <c r="AV75" s="161"/>
      <c r="AW75" s="161"/>
      <c r="AX75" s="243">
        <v>0</v>
      </c>
      <c r="AY75" s="161"/>
      <c r="AZ75" s="161"/>
      <c r="BA75" s="243">
        <v>0</v>
      </c>
      <c r="BB75" s="212">
        <f t="shared" si="1"/>
        <v>0</v>
      </c>
      <c r="BC75" s="256"/>
      <c r="BD75" s="162" t="e">
        <f t="shared" si="2"/>
        <v>#DIV/0!</v>
      </c>
      <c r="BE75" s="162" t="e">
        <f t="shared" si="3"/>
        <v>#DIV/0!</v>
      </c>
      <c r="BF75" s="243"/>
      <c r="BG75" s="243"/>
      <c r="BH75" s="243"/>
      <c r="BI75" s="257"/>
      <c r="BJ75" s="257"/>
      <c r="BK75" s="243"/>
      <c r="BL75" s="243"/>
      <c r="BM75" s="243"/>
      <c r="BN75" s="243"/>
      <c r="BO75" s="243"/>
      <c r="BP75" s="243"/>
      <c r="BQ75" s="243"/>
      <c r="BR75" s="243"/>
      <c r="BS75" s="243"/>
      <c r="BT75" s="243"/>
      <c r="BU75" s="243"/>
      <c r="BV75" s="243"/>
      <c r="BW75" s="243"/>
      <c r="BX75" s="243"/>
      <c r="BY75" s="243"/>
      <c r="BZ75" s="243"/>
      <c r="CA75" s="243"/>
      <c r="CB75" s="243"/>
      <c r="CC75" s="243"/>
      <c r="CD75" s="243"/>
      <c r="CE75" s="245">
        <v>0</v>
      </c>
      <c r="CF75" s="245">
        <v>0</v>
      </c>
      <c r="CG75" s="245">
        <v>1</v>
      </c>
      <c r="CH75" s="246">
        <v>0</v>
      </c>
      <c r="CI75" s="219" t="e">
        <f t="shared" si="4"/>
        <v>#DIV/0!</v>
      </c>
      <c r="CJ75" s="245">
        <v>1</v>
      </c>
      <c r="CK75" s="246">
        <v>0</v>
      </c>
      <c r="CL75" s="163" t="e">
        <f t="shared" si="5"/>
        <v>#DIV/0!</v>
      </c>
      <c r="CM75" s="245">
        <v>1</v>
      </c>
      <c r="CN75" s="246">
        <v>0</v>
      </c>
      <c r="CO75" s="163" t="e">
        <f t="shared" si="6"/>
        <v>#DIV/0!</v>
      </c>
      <c r="CP75" s="245">
        <v>1</v>
      </c>
      <c r="CQ75" s="246">
        <v>0</v>
      </c>
      <c r="CR75" s="163" t="e">
        <f t="shared" si="7"/>
        <v>#DIV/0!</v>
      </c>
      <c r="CS75" s="207" t="e">
        <f t="shared" si="8"/>
        <v>#DIV/0!</v>
      </c>
      <c r="CT75" s="258"/>
      <c r="CU75" s="258"/>
      <c r="CV75" s="258"/>
      <c r="CW75" s="258"/>
      <c r="CX75" s="258"/>
      <c r="CY75" s="258"/>
      <c r="CZ75" s="258"/>
      <c r="DA75" s="258"/>
      <c r="DB75" s="258"/>
      <c r="DC75" s="258"/>
    </row>
    <row r="76" spans="1:173">
      <c r="B76" s="205">
        <f>ANACO!B72</f>
        <v>0</v>
      </c>
      <c r="C76" s="204">
        <f>ANACO!C72</f>
        <v>0</v>
      </c>
      <c r="D76" s="165">
        <f>ANACO!H72</f>
        <v>0</v>
      </c>
      <c r="E76" s="165"/>
      <c r="F76" s="203">
        <f>ANACO!G72</f>
        <v>0</v>
      </c>
      <c r="G76" s="203">
        <f>ANACO!I72</f>
        <v>0</v>
      </c>
      <c r="H76" s="166">
        <f>ANACO!BS72</f>
        <v>0</v>
      </c>
      <c r="I76" s="172">
        <f>ANACO!BT72</f>
        <v>0</v>
      </c>
      <c r="J76" s="161"/>
      <c r="K76" s="161">
        <f t="shared" si="0"/>
        <v>0</v>
      </c>
      <c r="L76" s="244">
        <v>0</v>
      </c>
      <c r="M76" s="244"/>
      <c r="N76" s="244"/>
      <c r="O76" s="244"/>
      <c r="P76" s="244"/>
      <c r="Q76" s="244"/>
      <c r="R76" s="244"/>
      <c r="S76" s="244"/>
      <c r="T76" s="244"/>
      <c r="U76" s="244"/>
      <c r="V76" s="244"/>
      <c r="W76" s="244"/>
      <c r="X76" s="244"/>
      <c r="Y76" s="244"/>
      <c r="Z76" s="244"/>
      <c r="AA76" s="244"/>
      <c r="AB76" s="244"/>
      <c r="AC76" s="244"/>
      <c r="AD76" s="244"/>
      <c r="AE76" s="244"/>
      <c r="AF76" s="244"/>
      <c r="AG76" s="244"/>
      <c r="AH76" s="244"/>
      <c r="AI76" s="244"/>
      <c r="AJ76" s="244"/>
      <c r="AK76" s="244"/>
      <c r="AL76" s="244"/>
      <c r="AM76" s="244"/>
      <c r="AN76" s="244"/>
      <c r="AO76" s="244"/>
      <c r="AP76" s="244"/>
      <c r="AQ76" s="244"/>
      <c r="AR76" s="244"/>
      <c r="AS76" s="244"/>
      <c r="AT76" s="244"/>
      <c r="AU76" s="244"/>
      <c r="AV76" s="161"/>
      <c r="AW76" s="161"/>
      <c r="AX76" s="243">
        <v>0</v>
      </c>
      <c r="AY76" s="161"/>
      <c r="AZ76" s="161"/>
      <c r="BA76" s="243">
        <v>0</v>
      </c>
      <c r="BB76" s="212">
        <f t="shared" si="1"/>
        <v>0</v>
      </c>
      <c r="BC76" s="256"/>
      <c r="BD76" s="162" t="e">
        <f t="shared" si="2"/>
        <v>#DIV/0!</v>
      </c>
      <c r="BE76" s="162" t="e">
        <f t="shared" si="3"/>
        <v>#DIV/0!</v>
      </c>
      <c r="BF76" s="243"/>
      <c r="BG76" s="243"/>
      <c r="BH76" s="243"/>
      <c r="BI76" s="257"/>
      <c r="BJ76" s="257"/>
      <c r="BK76" s="243"/>
      <c r="BL76" s="243"/>
      <c r="BM76" s="243"/>
      <c r="BN76" s="243"/>
      <c r="BO76" s="243"/>
      <c r="BP76" s="243"/>
      <c r="BQ76" s="243"/>
      <c r="BR76" s="243"/>
      <c r="BS76" s="243"/>
      <c r="BT76" s="243"/>
      <c r="BU76" s="243"/>
      <c r="BV76" s="243"/>
      <c r="BW76" s="243"/>
      <c r="BX76" s="243"/>
      <c r="BY76" s="243"/>
      <c r="BZ76" s="243"/>
      <c r="CA76" s="243"/>
      <c r="CB76" s="243"/>
      <c r="CC76" s="243"/>
      <c r="CD76" s="243"/>
      <c r="CE76" s="245">
        <v>0</v>
      </c>
      <c r="CF76" s="245">
        <v>0</v>
      </c>
      <c r="CG76" s="245">
        <v>1</v>
      </c>
      <c r="CH76" s="246">
        <v>0</v>
      </c>
      <c r="CI76" s="219" t="e">
        <f t="shared" si="4"/>
        <v>#DIV/0!</v>
      </c>
      <c r="CJ76" s="245">
        <v>1</v>
      </c>
      <c r="CK76" s="246">
        <v>0</v>
      </c>
      <c r="CL76" s="163" t="e">
        <f t="shared" si="5"/>
        <v>#DIV/0!</v>
      </c>
      <c r="CM76" s="245">
        <v>1</v>
      </c>
      <c r="CN76" s="246">
        <v>0</v>
      </c>
      <c r="CO76" s="163" t="e">
        <f t="shared" si="6"/>
        <v>#DIV/0!</v>
      </c>
      <c r="CP76" s="245">
        <v>1</v>
      </c>
      <c r="CQ76" s="246">
        <v>0</v>
      </c>
      <c r="CR76" s="163" t="e">
        <f t="shared" si="7"/>
        <v>#DIV/0!</v>
      </c>
      <c r="CS76" s="207" t="e">
        <f t="shared" si="8"/>
        <v>#DIV/0!</v>
      </c>
      <c r="CT76" s="258"/>
      <c r="CU76" s="258"/>
      <c r="CV76" s="258"/>
      <c r="CW76" s="258"/>
      <c r="CX76" s="258"/>
      <c r="CY76" s="258"/>
      <c r="CZ76" s="258"/>
      <c r="DA76" s="258"/>
      <c r="DB76" s="258"/>
      <c r="DC76" s="258"/>
    </row>
    <row r="77" spans="1:173" s="168" customFormat="1">
      <c r="A77" s="156"/>
      <c r="B77" s="205">
        <f>ANACO!B73</f>
        <v>0</v>
      </c>
      <c r="C77" s="204">
        <f>ANACO!C73</f>
        <v>0</v>
      </c>
      <c r="D77" s="165">
        <f>ANACO!H73</f>
        <v>0</v>
      </c>
      <c r="E77" s="165"/>
      <c r="F77" s="203">
        <f>ANACO!G73</f>
        <v>0</v>
      </c>
      <c r="G77" s="203">
        <f>ANACO!I73</f>
        <v>0</v>
      </c>
      <c r="H77" s="166">
        <f>ANACO!BS73</f>
        <v>0</v>
      </c>
      <c r="I77" s="172">
        <f>ANACO!BT73</f>
        <v>0</v>
      </c>
      <c r="J77" s="161"/>
      <c r="K77" s="161">
        <f t="shared" si="0"/>
        <v>0</v>
      </c>
      <c r="L77" s="244">
        <v>0</v>
      </c>
      <c r="M77" s="244"/>
      <c r="N77" s="244"/>
      <c r="O77" s="244"/>
      <c r="P77" s="244"/>
      <c r="Q77" s="244"/>
      <c r="R77" s="244"/>
      <c r="S77" s="244"/>
      <c r="T77" s="244"/>
      <c r="U77" s="244"/>
      <c r="V77" s="244"/>
      <c r="W77" s="244"/>
      <c r="X77" s="244"/>
      <c r="Y77" s="244"/>
      <c r="Z77" s="244"/>
      <c r="AA77" s="244"/>
      <c r="AB77" s="244"/>
      <c r="AC77" s="244"/>
      <c r="AD77" s="244"/>
      <c r="AE77" s="244"/>
      <c r="AF77" s="244"/>
      <c r="AG77" s="244"/>
      <c r="AH77" s="244"/>
      <c r="AI77" s="244"/>
      <c r="AJ77" s="244"/>
      <c r="AK77" s="244"/>
      <c r="AL77" s="244"/>
      <c r="AM77" s="244"/>
      <c r="AN77" s="244"/>
      <c r="AO77" s="244"/>
      <c r="AP77" s="244"/>
      <c r="AQ77" s="244"/>
      <c r="AR77" s="244"/>
      <c r="AS77" s="244"/>
      <c r="AT77" s="244"/>
      <c r="AU77" s="244"/>
      <c r="AV77" s="161"/>
      <c r="AW77" s="161"/>
      <c r="AX77" s="243">
        <v>0</v>
      </c>
      <c r="AY77" s="161"/>
      <c r="AZ77" s="161"/>
      <c r="BA77" s="243">
        <v>0</v>
      </c>
      <c r="BB77" s="212">
        <f t="shared" si="1"/>
        <v>0</v>
      </c>
      <c r="BC77" s="256"/>
      <c r="BD77" s="162" t="e">
        <f t="shared" si="2"/>
        <v>#DIV/0!</v>
      </c>
      <c r="BE77" s="162" t="e">
        <f t="shared" si="3"/>
        <v>#DIV/0!</v>
      </c>
      <c r="BF77" s="243"/>
      <c r="BG77" s="243"/>
      <c r="BH77" s="243"/>
      <c r="BI77" s="257"/>
      <c r="BJ77" s="257"/>
      <c r="BK77" s="243"/>
      <c r="BL77" s="243"/>
      <c r="BM77" s="243"/>
      <c r="BN77" s="243"/>
      <c r="BO77" s="243"/>
      <c r="BP77" s="243"/>
      <c r="BQ77" s="243"/>
      <c r="BR77" s="243"/>
      <c r="BS77" s="243"/>
      <c r="BT77" s="243"/>
      <c r="BU77" s="243"/>
      <c r="BV77" s="243"/>
      <c r="BW77" s="243"/>
      <c r="BX77" s="243"/>
      <c r="BY77" s="243"/>
      <c r="BZ77" s="243"/>
      <c r="CA77" s="243"/>
      <c r="CB77" s="243"/>
      <c r="CC77" s="243"/>
      <c r="CD77" s="243"/>
      <c r="CE77" s="245">
        <v>0</v>
      </c>
      <c r="CF77" s="245">
        <v>0</v>
      </c>
      <c r="CG77" s="245">
        <v>1</v>
      </c>
      <c r="CH77" s="246">
        <v>0</v>
      </c>
      <c r="CI77" s="219" t="e">
        <f t="shared" si="4"/>
        <v>#DIV/0!</v>
      </c>
      <c r="CJ77" s="245">
        <v>1</v>
      </c>
      <c r="CK77" s="246">
        <v>0</v>
      </c>
      <c r="CL77" s="163" t="e">
        <f t="shared" si="5"/>
        <v>#DIV/0!</v>
      </c>
      <c r="CM77" s="245">
        <v>1</v>
      </c>
      <c r="CN77" s="246">
        <v>0</v>
      </c>
      <c r="CO77" s="163" t="e">
        <f t="shared" si="6"/>
        <v>#DIV/0!</v>
      </c>
      <c r="CP77" s="245">
        <v>1</v>
      </c>
      <c r="CQ77" s="246">
        <v>0</v>
      </c>
      <c r="CR77" s="163" t="e">
        <f t="shared" si="7"/>
        <v>#DIV/0!</v>
      </c>
      <c r="CS77" s="207" t="e">
        <f t="shared" si="8"/>
        <v>#DIV/0!</v>
      </c>
      <c r="CT77" s="258"/>
      <c r="CU77" s="258"/>
      <c r="CV77" s="258"/>
      <c r="CW77" s="258"/>
      <c r="CX77" s="258"/>
      <c r="CY77" s="258"/>
      <c r="CZ77" s="258"/>
      <c r="DA77" s="258"/>
      <c r="DB77" s="258"/>
      <c r="DC77" s="258"/>
      <c r="DD77" s="156"/>
      <c r="DE77" s="156"/>
      <c r="DF77" s="156"/>
      <c r="DG77" s="156"/>
      <c r="DH77" s="156"/>
      <c r="DI77" s="156"/>
      <c r="DJ77" s="156"/>
      <c r="DK77" s="156"/>
      <c r="DL77" s="156"/>
      <c r="DM77" s="156"/>
      <c r="DN77" s="156"/>
      <c r="DO77" s="156"/>
      <c r="DP77" s="156"/>
      <c r="DQ77" s="156"/>
      <c r="DR77" s="156"/>
      <c r="DS77" s="156"/>
      <c r="DT77" s="156"/>
      <c r="DU77" s="156"/>
      <c r="DV77" s="156"/>
      <c r="DW77" s="156"/>
      <c r="DX77" s="156"/>
      <c r="DY77" s="156"/>
      <c r="DZ77" s="156"/>
      <c r="EA77" s="156"/>
      <c r="EB77" s="156"/>
      <c r="EC77" s="156"/>
      <c r="ED77" s="156"/>
      <c r="EE77" s="156"/>
      <c r="EF77" s="156"/>
      <c r="EG77" s="156"/>
      <c r="EH77" s="156"/>
      <c r="EI77" s="156"/>
      <c r="EJ77" s="156"/>
      <c r="EK77" s="156"/>
      <c r="EL77" s="156"/>
      <c r="EM77" s="156"/>
      <c r="EN77" s="156"/>
      <c r="EO77" s="156"/>
      <c r="EP77" s="156"/>
      <c r="EQ77" s="156"/>
      <c r="ER77" s="156"/>
      <c r="ES77" s="156"/>
      <c r="ET77" s="156"/>
      <c r="EU77" s="156"/>
      <c r="EV77" s="156"/>
      <c r="EW77" s="156"/>
      <c r="EX77" s="156"/>
      <c r="EY77" s="156"/>
      <c r="EZ77" s="156"/>
      <c r="FA77" s="156"/>
      <c r="FB77" s="156"/>
      <c r="FC77" s="156"/>
      <c r="FD77" s="156"/>
      <c r="FE77" s="156"/>
      <c r="FF77" s="156"/>
      <c r="FG77" s="156"/>
      <c r="FH77" s="156"/>
      <c r="FI77" s="156"/>
      <c r="FJ77" s="156"/>
      <c r="FK77" s="156"/>
      <c r="FL77" s="156"/>
      <c r="FM77" s="156"/>
      <c r="FN77" s="156"/>
      <c r="FO77" s="156"/>
      <c r="FP77" s="156"/>
      <c r="FQ77" s="156"/>
    </row>
    <row r="78" spans="1:173">
      <c r="B78" s="205">
        <f>ANACO!B74</f>
        <v>0</v>
      </c>
      <c r="C78" s="204">
        <f>ANACO!C74</f>
        <v>0</v>
      </c>
      <c r="D78" s="165">
        <f>ANACO!H74</f>
        <v>0</v>
      </c>
      <c r="E78" s="165"/>
      <c r="F78" s="203">
        <f>ANACO!G74</f>
        <v>0</v>
      </c>
      <c r="G78" s="203">
        <f>ANACO!I74</f>
        <v>0</v>
      </c>
      <c r="H78" s="166">
        <f>ANACO!BS74</f>
        <v>0</v>
      </c>
      <c r="I78" s="172">
        <f>ANACO!BT74</f>
        <v>0</v>
      </c>
      <c r="J78" s="161"/>
      <c r="K78" s="161">
        <f t="shared" si="0"/>
        <v>0</v>
      </c>
      <c r="L78" s="244">
        <v>0</v>
      </c>
      <c r="M78" s="244"/>
      <c r="N78" s="244"/>
      <c r="O78" s="244"/>
      <c r="P78" s="244"/>
      <c r="Q78" s="244"/>
      <c r="R78" s="244"/>
      <c r="S78" s="244"/>
      <c r="T78" s="244"/>
      <c r="U78" s="244"/>
      <c r="V78" s="244"/>
      <c r="W78" s="244"/>
      <c r="X78" s="244"/>
      <c r="Y78" s="244"/>
      <c r="Z78" s="244"/>
      <c r="AA78" s="244"/>
      <c r="AB78" s="244"/>
      <c r="AC78" s="244"/>
      <c r="AD78" s="244"/>
      <c r="AE78" s="244"/>
      <c r="AF78" s="244"/>
      <c r="AG78" s="244"/>
      <c r="AH78" s="244"/>
      <c r="AI78" s="244"/>
      <c r="AJ78" s="244"/>
      <c r="AK78" s="244"/>
      <c r="AL78" s="244"/>
      <c r="AM78" s="244"/>
      <c r="AN78" s="244"/>
      <c r="AO78" s="244"/>
      <c r="AP78" s="244"/>
      <c r="AQ78" s="244"/>
      <c r="AR78" s="244"/>
      <c r="AS78" s="244"/>
      <c r="AT78" s="244"/>
      <c r="AU78" s="244"/>
      <c r="AV78" s="161"/>
      <c r="AW78" s="161"/>
      <c r="AX78" s="243">
        <v>0</v>
      </c>
      <c r="AY78" s="161"/>
      <c r="AZ78" s="161"/>
      <c r="BA78" s="243">
        <v>0</v>
      </c>
      <c r="BB78" s="212">
        <f t="shared" si="1"/>
        <v>0</v>
      </c>
      <c r="BC78" s="256"/>
      <c r="BD78" s="162" t="e">
        <f t="shared" si="2"/>
        <v>#DIV/0!</v>
      </c>
      <c r="BE78" s="162" t="e">
        <f t="shared" si="3"/>
        <v>#DIV/0!</v>
      </c>
      <c r="BF78" s="243"/>
      <c r="BG78" s="243"/>
      <c r="BH78" s="243"/>
      <c r="BI78" s="257"/>
      <c r="BJ78" s="257"/>
      <c r="BK78" s="243"/>
      <c r="BL78" s="243"/>
      <c r="BM78" s="243"/>
      <c r="BN78" s="243"/>
      <c r="BO78" s="243"/>
      <c r="BP78" s="243"/>
      <c r="BQ78" s="243"/>
      <c r="BR78" s="243"/>
      <c r="BS78" s="243"/>
      <c r="BT78" s="243"/>
      <c r="BU78" s="243"/>
      <c r="BV78" s="243"/>
      <c r="BW78" s="243"/>
      <c r="BX78" s="243"/>
      <c r="BY78" s="243"/>
      <c r="BZ78" s="243"/>
      <c r="CA78" s="243"/>
      <c r="CB78" s="243"/>
      <c r="CC78" s="243"/>
      <c r="CD78" s="243"/>
      <c r="CE78" s="245">
        <v>0</v>
      </c>
      <c r="CF78" s="245">
        <v>0</v>
      </c>
      <c r="CG78" s="245">
        <v>1</v>
      </c>
      <c r="CH78" s="246">
        <v>0</v>
      </c>
      <c r="CI78" s="219" t="e">
        <f t="shared" si="4"/>
        <v>#DIV/0!</v>
      </c>
      <c r="CJ78" s="245">
        <v>1</v>
      </c>
      <c r="CK78" s="246">
        <v>0</v>
      </c>
      <c r="CL78" s="163" t="e">
        <f t="shared" si="5"/>
        <v>#DIV/0!</v>
      </c>
      <c r="CM78" s="245">
        <v>1</v>
      </c>
      <c r="CN78" s="246">
        <v>0</v>
      </c>
      <c r="CO78" s="163" t="e">
        <f t="shared" si="6"/>
        <v>#DIV/0!</v>
      </c>
      <c r="CP78" s="245">
        <v>1</v>
      </c>
      <c r="CQ78" s="246">
        <v>0</v>
      </c>
      <c r="CR78" s="163" t="e">
        <f t="shared" si="7"/>
        <v>#DIV/0!</v>
      </c>
      <c r="CS78" s="207" t="e">
        <f t="shared" si="8"/>
        <v>#DIV/0!</v>
      </c>
      <c r="CT78" s="258"/>
      <c r="CU78" s="258"/>
      <c r="CV78" s="258"/>
      <c r="CW78" s="258"/>
      <c r="CX78" s="258"/>
      <c r="CY78" s="258"/>
      <c r="CZ78" s="258"/>
      <c r="DA78" s="258"/>
      <c r="DB78" s="258"/>
      <c r="DC78" s="258"/>
    </row>
    <row r="79" spans="1:173">
      <c r="B79" s="205">
        <f>ANACO!B75</f>
        <v>0</v>
      </c>
      <c r="C79" s="204">
        <f>ANACO!C75</f>
        <v>0</v>
      </c>
      <c r="D79" s="165">
        <f>ANACO!H75</f>
        <v>0</v>
      </c>
      <c r="E79" s="165"/>
      <c r="F79" s="203">
        <f>ANACO!G75</f>
        <v>0</v>
      </c>
      <c r="G79" s="203">
        <f>ANACO!I75</f>
        <v>0</v>
      </c>
      <c r="H79" s="166">
        <f>ANACO!BS75</f>
        <v>0</v>
      </c>
      <c r="I79" s="172">
        <f>ANACO!BT75</f>
        <v>0</v>
      </c>
      <c r="J79" s="161"/>
      <c r="K79" s="161">
        <f t="shared" si="0"/>
        <v>0</v>
      </c>
      <c r="L79" s="244">
        <v>0</v>
      </c>
      <c r="M79" s="244"/>
      <c r="N79" s="244"/>
      <c r="O79" s="244"/>
      <c r="P79" s="244"/>
      <c r="Q79" s="244"/>
      <c r="R79" s="244"/>
      <c r="S79" s="244"/>
      <c r="T79" s="244"/>
      <c r="U79" s="244"/>
      <c r="V79" s="244"/>
      <c r="W79" s="244"/>
      <c r="X79" s="244"/>
      <c r="Y79" s="244"/>
      <c r="Z79" s="244"/>
      <c r="AA79" s="244"/>
      <c r="AB79" s="244"/>
      <c r="AC79" s="244"/>
      <c r="AD79" s="244"/>
      <c r="AE79" s="244"/>
      <c r="AF79" s="244"/>
      <c r="AG79" s="244"/>
      <c r="AH79" s="244"/>
      <c r="AI79" s="244"/>
      <c r="AJ79" s="244"/>
      <c r="AK79" s="244"/>
      <c r="AL79" s="244"/>
      <c r="AM79" s="244"/>
      <c r="AN79" s="244"/>
      <c r="AO79" s="244"/>
      <c r="AP79" s="244"/>
      <c r="AQ79" s="244"/>
      <c r="AR79" s="244"/>
      <c r="AS79" s="244"/>
      <c r="AT79" s="244"/>
      <c r="AU79" s="244"/>
      <c r="AV79" s="161"/>
      <c r="AW79" s="161"/>
      <c r="AX79" s="243">
        <v>0</v>
      </c>
      <c r="AY79" s="161"/>
      <c r="AZ79" s="161"/>
      <c r="BA79" s="243">
        <v>0</v>
      </c>
      <c r="BB79" s="212">
        <f t="shared" si="1"/>
        <v>0</v>
      </c>
      <c r="BC79" s="256"/>
      <c r="BD79" s="162" t="e">
        <f t="shared" si="2"/>
        <v>#DIV/0!</v>
      </c>
      <c r="BE79" s="162" t="e">
        <f t="shared" si="3"/>
        <v>#DIV/0!</v>
      </c>
      <c r="BF79" s="243"/>
      <c r="BG79" s="243"/>
      <c r="BH79" s="243"/>
      <c r="BI79" s="257"/>
      <c r="BJ79" s="257"/>
      <c r="BK79" s="243"/>
      <c r="BL79" s="243"/>
      <c r="BM79" s="243"/>
      <c r="BN79" s="243"/>
      <c r="BO79" s="243"/>
      <c r="BP79" s="243"/>
      <c r="BQ79" s="243"/>
      <c r="BR79" s="243"/>
      <c r="BS79" s="243"/>
      <c r="BT79" s="243"/>
      <c r="BU79" s="243"/>
      <c r="BV79" s="243"/>
      <c r="BW79" s="243"/>
      <c r="BX79" s="243"/>
      <c r="BY79" s="243"/>
      <c r="BZ79" s="243"/>
      <c r="CA79" s="243"/>
      <c r="CB79" s="243"/>
      <c r="CC79" s="243"/>
      <c r="CD79" s="243"/>
      <c r="CE79" s="245">
        <v>0</v>
      </c>
      <c r="CF79" s="245">
        <v>0</v>
      </c>
      <c r="CG79" s="245">
        <v>1</v>
      </c>
      <c r="CH79" s="246">
        <v>0</v>
      </c>
      <c r="CI79" s="219" t="e">
        <f t="shared" si="4"/>
        <v>#DIV/0!</v>
      </c>
      <c r="CJ79" s="245">
        <v>1</v>
      </c>
      <c r="CK79" s="246">
        <v>0</v>
      </c>
      <c r="CL79" s="163" t="e">
        <f t="shared" si="5"/>
        <v>#DIV/0!</v>
      </c>
      <c r="CM79" s="245">
        <v>1</v>
      </c>
      <c r="CN79" s="246">
        <v>0</v>
      </c>
      <c r="CO79" s="163" t="e">
        <f t="shared" si="6"/>
        <v>#DIV/0!</v>
      </c>
      <c r="CP79" s="245">
        <v>1</v>
      </c>
      <c r="CQ79" s="246">
        <v>0</v>
      </c>
      <c r="CR79" s="163" t="e">
        <f t="shared" si="7"/>
        <v>#DIV/0!</v>
      </c>
      <c r="CS79" s="207" t="e">
        <f t="shared" si="8"/>
        <v>#DIV/0!</v>
      </c>
      <c r="CT79" s="258"/>
      <c r="CU79" s="258"/>
      <c r="CV79" s="258"/>
      <c r="CW79" s="258"/>
      <c r="CX79" s="258"/>
      <c r="CY79" s="258"/>
      <c r="CZ79" s="258"/>
      <c r="DA79" s="258"/>
      <c r="DB79" s="258"/>
      <c r="DC79" s="258"/>
    </row>
    <row r="80" spans="1:173" ht="15.75" customHeight="1">
      <c r="B80" s="205">
        <f>ANACO!B76</f>
        <v>0</v>
      </c>
      <c r="C80" s="204">
        <f>ANACO!C76</f>
        <v>0</v>
      </c>
      <c r="D80" s="165">
        <f>ANACO!H76</f>
        <v>0</v>
      </c>
      <c r="E80" s="165"/>
      <c r="F80" s="203">
        <f>ANACO!G76</f>
        <v>0</v>
      </c>
      <c r="G80" s="203">
        <f>ANACO!I76</f>
        <v>0</v>
      </c>
      <c r="H80" s="166">
        <f>ANACO!BS76</f>
        <v>0</v>
      </c>
      <c r="I80" s="172">
        <f>ANACO!BT76</f>
        <v>0</v>
      </c>
      <c r="J80" s="161"/>
      <c r="K80" s="161">
        <f t="shared" si="0"/>
        <v>0</v>
      </c>
      <c r="L80" s="244">
        <v>0</v>
      </c>
      <c r="M80" s="244"/>
      <c r="N80" s="244"/>
      <c r="O80" s="244"/>
      <c r="P80" s="244"/>
      <c r="Q80" s="244"/>
      <c r="R80" s="244"/>
      <c r="S80" s="244"/>
      <c r="T80" s="244"/>
      <c r="U80" s="244"/>
      <c r="V80" s="244"/>
      <c r="W80" s="244"/>
      <c r="X80" s="244"/>
      <c r="Y80" s="244"/>
      <c r="Z80" s="244"/>
      <c r="AA80" s="244"/>
      <c r="AB80" s="244"/>
      <c r="AC80" s="244"/>
      <c r="AD80" s="244"/>
      <c r="AE80" s="244"/>
      <c r="AF80" s="244"/>
      <c r="AG80" s="244"/>
      <c r="AH80" s="244"/>
      <c r="AI80" s="244"/>
      <c r="AJ80" s="244"/>
      <c r="AK80" s="244"/>
      <c r="AL80" s="244"/>
      <c r="AM80" s="244"/>
      <c r="AN80" s="244"/>
      <c r="AO80" s="244"/>
      <c r="AP80" s="244"/>
      <c r="AQ80" s="244"/>
      <c r="AR80" s="244"/>
      <c r="AS80" s="244"/>
      <c r="AT80" s="244"/>
      <c r="AU80" s="244"/>
      <c r="AV80" s="161"/>
      <c r="AW80" s="161"/>
      <c r="AX80" s="243">
        <v>0</v>
      </c>
      <c r="AY80" s="161"/>
      <c r="AZ80" s="161"/>
      <c r="BA80" s="243">
        <v>0</v>
      </c>
      <c r="BB80" s="212">
        <f t="shared" si="1"/>
        <v>0</v>
      </c>
      <c r="BC80" s="256"/>
      <c r="BD80" s="162" t="e">
        <f t="shared" si="2"/>
        <v>#DIV/0!</v>
      </c>
      <c r="BE80" s="162" t="e">
        <f t="shared" si="3"/>
        <v>#DIV/0!</v>
      </c>
      <c r="BF80" s="243"/>
      <c r="BG80" s="243"/>
      <c r="BH80" s="243"/>
      <c r="BI80" s="257"/>
      <c r="BJ80" s="257"/>
      <c r="BK80" s="243"/>
      <c r="BL80" s="243"/>
      <c r="BM80" s="243"/>
      <c r="BN80" s="243"/>
      <c r="BO80" s="243"/>
      <c r="BP80" s="243"/>
      <c r="BQ80" s="243"/>
      <c r="BR80" s="243"/>
      <c r="BS80" s="243"/>
      <c r="BT80" s="243"/>
      <c r="BU80" s="243"/>
      <c r="BV80" s="243"/>
      <c r="BW80" s="243"/>
      <c r="BX80" s="243"/>
      <c r="BY80" s="243"/>
      <c r="BZ80" s="243"/>
      <c r="CA80" s="243"/>
      <c r="CB80" s="243"/>
      <c r="CC80" s="243"/>
      <c r="CD80" s="243"/>
      <c r="CE80" s="245">
        <v>0</v>
      </c>
      <c r="CF80" s="245">
        <v>0</v>
      </c>
      <c r="CG80" s="245">
        <v>1</v>
      </c>
      <c r="CH80" s="246">
        <v>0</v>
      </c>
      <c r="CI80" s="219" t="e">
        <f t="shared" si="4"/>
        <v>#DIV/0!</v>
      </c>
      <c r="CJ80" s="245">
        <v>1</v>
      </c>
      <c r="CK80" s="246">
        <v>0</v>
      </c>
      <c r="CL80" s="163" t="e">
        <f t="shared" si="5"/>
        <v>#DIV/0!</v>
      </c>
      <c r="CM80" s="245">
        <v>1</v>
      </c>
      <c r="CN80" s="246">
        <v>0</v>
      </c>
      <c r="CO80" s="163" t="e">
        <f t="shared" si="6"/>
        <v>#DIV/0!</v>
      </c>
      <c r="CP80" s="245">
        <v>1</v>
      </c>
      <c r="CQ80" s="246">
        <v>0</v>
      </c>
      <c r="CR80" s="163" t="e">
        <f t="shared" si="7"/>
        <v>#DIV/0!</v>
      </c>
      <c r="CS80" s="207" t="e">
        <f t="shared" si="8"/>
        <v>#DIV/0!</v>
      </c>
      <c r="CT80" s="258"/>
      <c r="CU80" s="258"/>
      <c r="CV80" s="258"/>
      <c r="CW80" s="258"/>
      <c r="CX80" s="258"/>
      <c r="CY80" s="258"/>
      <c r="CZ80" s="258"/>
      <c r="DA80" s="258"/>
      <c r="DB80" s="258"/>
      <c r="DC80" s="258"/>
    </row>
    <row r="81" spans="1:173" ht="15.75" customHeight="1">
      <c r="B81" s="205">
        <f>ANACO!B77</f>
        <v>0</v>
      </c>
      <c r="C81" s="204">
        <f>ANACO!C77</f>
        <v>0</v>
      </c>
      <c r="D81" s="165">
        <f>ANACO!H77</f>
        <v>0</v>
      </c>
      <c r="E81" s="165"/>
      <c r="F81" s="203">
        <f>ANACO!G77</f>
        <v>0</v>
      </c>
      <c r="G81" s="203">
        <f>ANACO!I77</f>
        <v>0</v>
      </c>
      <c r="H81" s="166">
        <f>ANACO!BS77</f>
        <v>0</v>
      </c>
      <c r="I81" s="172">
        <f>ANACO!BT77</f>
        <v>0</v>
      </c>
      <c r="J81" s="161"/>
      <c r="K81" s="161">
        <f t="shared" ref="K81:K144" si="9">SUM(L81:AU81)</f>
        <v>0</v>
      </c>
      <c r="L81" s="244">
        <v>0</v>
      </c>
      <c r="M81" s="244"/>
      <c r="N81" s="244"/>
      <c r="O81" s="244"/>
      <c r="P81" s="244"/>
      <c r="Q81" s="244"/>
      <c r="R81" s="244"/>
      <c r="S81" s="244"/>
      <c r="T81" s="244"/>
      <c r="U81" s="244"/>
      <c r="V81" s="244"/>
      <c r="W81" s="244"/>
      <c r="X81" s="244"/>
      <c r="Y81" s="244"/>
      <c r="Z81" s="244"/>
      <c r="AA81" s="244"/>
      <c r="AB81" s="244"/>
      <c r="AC81" s="244"/>
      <c r="AD81" s="244"/>
      <c r="AE81" s="244"/>
      <c r="AF81" s="244"/>
      <c r="AG81" s="244"/>
      <c r="AH81" s="244"/>
      <c r="AI81" s="244"/>
      <c r="AJ81" s="244"/>
      <c r="AK81" s="244"/>
      <c r="AL81" s="244"/>
      <c r="AM81" s="244"/>
      <c r="AN81" s="244"/>
      <c r="AO81" s="244"/>
      <c r="AP81" s="244"/>
      <c r="AQ81" s="244"/>
      <c r="AR81" s="244"/>
      <c r="AS81" s="244"/>
      <c r="AT81" s="244"/>
      <c r="AU81" s="244"/>
      <c r="AV81" s="161"/>
      <c r="AW81" s="161"/>
      <c r="AX81" s="243">
        <v>0</v>
      </c>
      <c r="AY81" s="161"/>
      <c r="AZ81" s="161"/>
      <c r="BA81" s="243">
        <v>0</v>
      </c>
      <c r="BB81" s="212">
        <f t="shared" ref="BB81:BB144" si="10">K81*(AX81*BA81/1000000)</f>
        <v>0</v>
      </c>
      <c r="BC81" s="256"/>
      <c r="BD81" s="162" t="e">
        <f t="shared" ref="BD81:BD144" si="11">H81/(F81)</f>
        <v>#DIV/0!</v>
      </c>
      <c r="BE81" s="162" t="e">
        <f t="shared" ref="BE81:BE144" si="12">(BB81*BD81)</f>
        <v>#DIV/0!</v>
      </c>
      <c r="BF81" s="243"/>
      <c r="BG81" s="243"/>
      <c r="BH81" s="243"/>
      <c r="BI81" s="257"/>
      <c r="BJ81" s="257"/>
      <c r="BK81" s="243"/>
      <c r="BL81" s="243"/>
      <c r="BM81" s="243"/>
      <c r="BN81" s="243"/>
      <c r="BO81" s="243"/>
      <c r="BP81" s="243"/>
      <c r="BQ81" s="243"/>
      <c r="BR81" s="243"/>
      <c r="BS81" s="243"/>
      <c r="BT81" s="243"/>
      <c r="BU81" s="243"/>
      <c r="BV81" s="243"/>
      <c r="BW81" s="243"/>
      <c r="BX81" s="243"/>
      <c r="BY81" s="243"/>
      <c r="BZ81" s="243"/>
      <c r="CA81" s="243"/>
      <c r="CB81" s="243"/>
      <c r="CC81" s="243"/>
      <c r="CD81" s="243"/>
      <c r="CE81" s="245">
        <v>0</v>
      </c>
      <c r="CF81" s="245">
        <v>0</v>
      </c>
      <c r="CG81" s="245">
        <v>1</v>
      </c>
      <c r="CH81" s="246">
        <v>0</v>
      </c>
      <c r="CI81" s="219" t="e">
        <f t="shared" ref="CI81:CI144" si="13">+CH81*BE81*$CI$10*CG81</f>
        <v>#DIV/0!</v>
      </c>
      <c r="CJ81" s="245">
        <v>1</v>
      </c>
      <c r="CK81" s="246">
        <v>0</v>
      </c>
      <c r="CL81" s="163" t="e">
        <f t="shared" ref="CL81:CL144" si="14">+CK81*BE81*$CL$10*CJ81</f>
        <v>#DIV/0!</v>
      </c>
      <c r="CM81" s="245">
        <v>1</v>
      </c>
      <c r="CN81" s="246">
        <v>0</v>
      </c>
      <c r="CO81" s="163" t="e">
        <f t="shared" ref="CO81:CO144" si="15">+CN81*BE81*$CO$10*CM81</f>
        <v>#DIV/0!</v>
      </c>
      <c r="CP81" s="245">
        <v>1</v>
      </c>
      <c r="CQ81" s="246">
        <v>0</v>
      </c>
      <c r="CR81" s="163" t="e">
        <f t="shared" ref="CR81:CR144" si="16">+CQ81*BE81*$CR$10*CP81</f>
        <v>#DIV/0!</v>
      </c>
      <c r="CS81" s="207" t="e">
        <f t="shared" ref="CS81:CS144" si="17">SUM(CR81+CO81+CL81+CI81+CF81+CE81)</f>
        <v>#DIV/0!</v>
      </c>
      <c r="CT81" s="258"/>
      <c r="CU81" s="258"/>
      <c r="CV81" s="258"/>
      <c r="CW81" s="258"/>
      <c r="CX81" s="258"/>
      <c r="CY81" s="258"/>
      <c r="CZ81" s="258"/>
      <c r="DA81" s="258"/>
      <c r="DB81" s="258"/>
      <c r="DC81" s="258"/>
    </row>
    <row r="82" spans="1:173" ht="15.75" customHeight="1">
      <c r="B82" s="205">
        <f>ANACO!B78</f>
        <v>0</v>
      </c>
      <c r="C82" s="204">
        <f>ANACO!C78</f>
        <v>0</v>
      </c>
      <c r="D82" s="165">
        <f>ANACO!H78</f>
        <v>0</v>
      </c>
      <c r="E82" s="165"/>
      <c r="F82" s="203">
        <f>ANACO!G78</f>
        <v>0</v>
      </c>
      <c r="G82" s="203">
        <f>ANACO!I78</f>
        <v>0</v>
      </c>
      <c r="H82" s="166">
        <f>ANACO!BS78</f>
        <v>0</v>
      </c>
      <c r="I82" s="172">
        <f>ANACO!BT78</f>
        <v>0</v>
      </c>
      <c r="J82" s="161"/>
      <c r="K82" s="161">
        <f t="shared" si="9"/>
        <v>0</v>
      </c>
      <c r="L82" s="244">
        <v>0</v>
      </c>
      <c r="M82" s="244"/>
      <c r="N82" s="244"/>
      <c r="O82" s="244"/>
      <c r="P82" s="244"/>
      <c r="Q82" s="244"/>
      <c r="R82" s="244"/>
      <c r="S82" s="244"/>
      <c r="T82" s="244"/>
      <c r="U82" s="244"/>
      <c r="V82" s="244"/>
      <c r="W82" s="244"/>
      <c r="X82" s="244"/>
      <c r="Y82" s="244"/>
      <c r="Z82" s="244"/>
      <c r="AA82" s="244"/>
      <c r="AB82" s="244"/>
      <c r="AC82" s="244"/>
      <c r="AD82" s="244"/>
      <c r="AE82" s="244"/>
      <c r="AF82" s="244"/>
      <c r="AG82" s="244"/>
      <c r="AH82" s="244"/>
      <c r="AI82" s="244"/>
      <c r="AJ82" s="244"/>
      <c r="AK82" s="244"/>
      <c r="AL82" s="244"/>
      <c r="AM82" s="244"/>
      <c r="AN82" s="244"/>
      <c r="AO82" s="244"/>
      <c r="AP82" s="244"/>
      <c r="AQ82" s="244"/>
      <c r="AR82" s="244"/>
      <c r="AS82" s="244"/>
      <c r="AT82" s="244"/>
      <c r="AU82" s="244"/>
      <c r="AV82" s="161"/>
      <c r="AW82" s="161"/>
      <c r="AX82" s="243">
        <v>0</v>
      </c>
      <c r="AY82" s="161"/>
      <c r="AZ82" s="161"/>
      <c r="BA82" s="243">
        <v>0</v>
      </c>
      <c r="BB82" s="212">
        <f t="shared" si="10"/>
        <v>0</v>
      </c>
      <c r="BC82" s="256"/>
      <c r="BD82" s="162" t="e">
        <f t="shared" si="11"/>
        <v>#DIV/0!</v>
      </c>
      <c r="BE82" s="162" t="e">
        <f t="shared" si="12"/>
        <v>#DIV/0!</v>
      </c>
      <c r="BF82" s="243"/>
      <c r="BG82" s="243"/>
      <c r="BH82" s="243"/>
      <c r="BI82" s="257"/>
      <c r="BJ82" s="257"/>
      <c r="BK82" s="243"/>
      <c r="BL82" s="243"/>
      <c r="BM82" s="243"/>
      <c r="BN82" s="243"/>
      <c r="BO82" s="243"/>
      <c r="BP82" s="243"/>
      <c r="BQ82" s="243"/>
      <c r="BR82" s="243"/>
      <c r="BS82" s="243"/>
      <c r="BT82" s="243"/>
      <c r="BU82" s="243"/>
      <c r="BV82" s="243"/>
      <c r="BW82" s="243"/>
      <c r="BX82" s="243"/>
      <c r="BY82" s="243"/>
      <c r="BZ82" s="243"/>
      <c r="CA82" s="243"/>
      <c r="CB82" s="243"/>
      <c r="CC82" s="243"/>
      <c r="CD82" s="243"/>
      <c r="CE82" s="245">
        <v>0</v>
      </c>
      <c r="CF82" s="245">
        <v>0</v>
      </c>
      <c r="CG82" s="245">
        <v>1</v>
      </c>
      <c r="CH82" s="246">
        <v>0</v>
      </c>
      <c r="CI82" s="219" t="e">
        <f t="shared" si="13"/>
        <v>#DIV/0!</v>
      </c>
      <c r="CJ82" s="245">
        <v>1</v>
      </c>
      <c r="CK82" s="246">
        <v>0</v>
      </c>
      <c r="CL82" s="163" t="e">
        <f t="shared" si="14"/>
        <v>#DIV/0!</v>
      </c>
      <c r="CM82" s="245">
        <v>1</v>
      </c>
      <c r="CN82" s="246">
        <v>0</v>
      </c>
      <c r="CO82" s="163" t="e">
        <f t="shared" si="15"/>
        <v>#DIV/0!</v>
      </c>
      <c r="CP82" s="245">
        <v>1</v>
      </c>
      <c r="CQ82" s="246">
        <v>0</v>
      </c>
      <c r="CR82" s="163" t="e">
        <f t="shared" si="16"/>
        <v>#DIV/0!</v>
      </c>
      <c r="CS82" s="207" t="e">
        <f t="shared" si="17"/>
        <v>#DIV/0!</v>
      </c>
      <c r="CT82" s="258"/>
      <c r="CU82" s="258"/>
      <c r="CV82" s="258"/>
      <c r="CW82" s="258"/>
      <c r="CX82" s="258"/>
      <c r="CY82" s="258"/>
      <c r="CZ82" s="258"/>
      <c r="DA82" s="258"/>
      <c r="DB82" s="258"/>
      <c r="DC82" s="258"/>
    </row>
    <row r="83" spans="1:173">
      <c r="B83" s="205">
        <f>ANACO!B79</f>
        <v>0</v>
      </c>
      <c r="C83" s="204">
        <f>ANACO!C79</f>
        <v>0</v>
      </c>
      <c r="D83" s="165">
        <f>ANACO!H79</f>
        <v>0</v>
      </c>
      <c r="E83" s="165"/>
      <c r="F83" s="203">
        <f>ANACO!G79</f>
        <v>0</v>
      </c>
      <c r="G83" s="203">
        <f>ANACO!I79</f>
        <v>0</v>
      </c>
      <c r="H83" s="166">
        <f>ANACO!BS79</f>
        <v>0</v>
      </c>
      <c r="I83" s="172">
        <f>ANACO!BT79</f>
        <v>0</v>
      </c>
      <c r="J83" s="161"/>
      <c r="K83" s="161">
        <f t="shared" si="9"/>
        <v>0</v>
      </c>
      <c r="L83" s="244">
        <v>0</v>
      </c>
      <c r="M83" s="244"/>
      <c r="N83" s="244"/>
      <c r="O83" s="244"/>
      <c r="P83" s="244"/>
      <c r="Q83" s="244"/>
      <c r="R83" s="244"/>
      <c r="S83" s="244"/>
      <c r="T83" s="244"/>
      <c r="U83" s="244"/>
      <c r="V83" s="244"/>
      <c r="W83" s="244"/>
      <c r="X83" s="244"/>
      <c r="Y83" s="244"/>
      <c r="Z83" s="244"/>
      <c r="AA83" s="244"/>
      <c r="AB83" s="244"/>
      <c r="AC83" s="244"/>
      <c r="AD83" s="244"/>
      <c r="AE83" s="244"/>
      <c r="AF83" s="244"/>
      <c r="AG83" s="244"/>
      <c r="AH83" s="244"/>
      <c r="AI83" s="244"/>
      <c r="AJ83" s="244"/>
      <c r="AK83" s="244"/>
      <c r="AL83" s="244"/>
      <c r="AM83" s="244"/>
      <c r="AN83" s="244"/>
      <c r="AO83" s="244"/>
      <c r="AP83" s="244"/>
      <c r="AQ83" s="244"/>
      <c r="AR83" s="244"/>
      <c r="AS83" s="244"/>
      <c r="AT83" s="244"/>
      <c r="AU83" s="244"/>
      <c r="AV83" s="161"/>
      <c r="AW83" s="161"/>
      <c r="AX83" s="243">
        <v>0</v>
      </c>
      <c r="AY83" s="161"/>
      <c r="AZ83" s="161"/>
      <c r="BA83" s="243">
        <v>0</v>
      </c>
      <c r="BB83" s="212">
        <f t="shared" si="10"/>
        <v>0</v>
      </c>
      <c r="BC83" s="256"/>
      <c r="BD83" s="162" t="e">
        <f t="shared" si="11"/>
        <v>#DIV/0!</v>
      </c>
      <c r="BE83" s="162" t="e">
        <f t="shared" si="12"/>
        <v>#DIV/0!</v>
      </c>
      <c r="BF83" s="243"/>
      <c r="BG83" s="243"/>
      <c r="BH83" s="243"/>
      <c r="BI83" s="257"/>
      <c r="BJ83" s="257"/>
      <c r="BK83" s="243"/>
      <c r="BL83" s="243"/>
      <c r="BM83" s="243"/>
      <c r="BN83" s="243"/>
      <c r="BO83" s="243"/>
      <c r="BP83" s="243"/>
      <c r="BQ83" s="243"/>
      <c r="BR83" s="243"/>
      <c r="BS83" s="243"/>
      <c r="BT83" s="243"/>
      <c r="BU83" s="243"/>
      <c r="BV83" s="243"/>
      <c r="BW83" s="243"/>
      <c r="BX83" s="243"/>
      <c r="BY83" s="243"/>
      <c r="BZ83" s="243"/>
      <c r="CA83" s="243"/>
      <c r="CB83" s="243"/>
      <c r="CC83" s="243"/>
      <c r="CD83" s="243"/>
      <c r="CE83" s="245">
        <v>0</v>
      </c>
      <c r="CF83" s="245">
        <v>0</v>
      </c>
      <c r="CG83" s="245">
        <v>1</v>
      </c>
      <c r="CH83" s="246">
        <v>0</v>
      </c>
      <c r="CI83" s="219" t="e">
        <f t="shared" si="13"/>
        <v>#DIV/0!</v>
      </c>
      <c r="CJ83" s="245">
        <v>1</v>
      </c>
      <c r="CK83" s="246">
        <v>0</v>
      </c>
      <c r="CL83" s="163" t="e">
        <f t="shared" si="14"/>
        <v>#DIV/0!</v>
      </c>
      <c r="CM83" s="245">
        <v>1</v>
      </c>
      <c r="CN83" s="246">
        <v>0</v>
      </c>
      <c r="CO83" s="163" t="e">
        <f t="shared" si="15"/>
        <v>#DIV/0!</v>
      </c>
      <c r="CP83" s="245">
        <v>1</v>
      </c>
      <c r="CQ83" s="246">
        <v>0</v>
      </c>
      <c r="CR83" s="163" t="e">
        <f t="shared" si="16"/>
        <v>#DIV/0!</v>
      </c>
      <c r="CS83" s="207" t="e">
        <f t="shared" si="17"/>
        <v>#DIV/0!</v>
      </c>
      <c r="CT83" s="258"/>
      <c r="CU83" s="258"/>
      <c r="CV83" s="258"/>
      <c r="CW83" s="258"/>
      <c r="CX83" s="258"/>
      <c r="CY83" s="258"/>
      <c r="CZ83" s="258"/>
      <c r="DA83" s="258"/>
      <c r="DB83" s="258"/>
      <c r="DC83" s="258"/>
    </row>
    <row r="84" spans="1:173">
      <c r="B84" s="205">
        <f>ANACO!B80</f>
        <v>0</v>
      </c>
      <c r="C84" s="204">
        <f>ANACO!C80</f>
        <v>0</v>
      </c>
      <c r="D84" s="165">
        <f>ANACO!H80</f>
        <v>0</v>
      </c>
      <c r="E84" s="165"/>
      <c r="F84" s="203">
        <f>ANACO!G80</f>
        <v>0</v>
      </c>
      <c r="G84" s="203">
        <f>ANACO!I80</f>
        <v>0</v>
      </c>
      <c r="H84" s="166">
        <f>ANACO!BS80</f>
        <v>0</v>
      </c>
      <c r="I84" s="172">
        <f>ANACO!BT80</f>
        <v>0</v>
      </c>
      <c r="J84" s="161"/>
      <c r="K84" s="161">
        <f t="shared" si="9"/>
        <v>0</v>
      </c>
      <c r="L84" s="244">
        <v>0</v>
      </c>
      <c r="M84" s="244"/>
      <c r="N84" s="244"/>
      <c r="O84" s="244"/>
      <c r="P84" s="244"/>
      <c r="Q84" s="244"/>
      <c r="R84" s="244"/>
      <c r="S84" s="244"/>
      <c r="T84" s="244"/>
      <c r="U84" s="244"/>
      <c r="V84" s="244"/>
      <c r="W84" s="244"/>
      <c r="X84" s="244"/>
      <c r="Y84" s="244"/>
      <c r="Z84" s="244"/>
      <c r="AA84" s="244"/>
      <c r="AB84" s="244"/>
      <c r="AC84" s="244"/>
      <c r="AD84" s="244"/>
      <c r="AE84" s="244"/>
      <c r="AF84" s="244"/>
      <c r="AG84" s="244"/>
      <c r="AH84" s="244"/>
      <c r="AI84" s="244"/>
      <c r="AJ84" s="244"/>
      <c r="AK84" s="244"/>
      <c r="AL84" s="244"/>
      <c r="AM84" s="244"/>
      <c r="AN84" s="244"/>
      <c r="AO84" s="244"/>
      <c r="AP84" s="244"/>
      <c r="AQ84" s="244"/>
      <c r="AR84" s="244"/>
      <c r="AS84" s="244"/>
      <c r="AT84" s="244"/>
      <c r="AU84" s="244"/>
      <c r="AV84" s="161"/>
      <c r="AW84" s="161"/>
      <c r="AX84" s="243">
        <v>0</v>
      </c>
      <c r="AY84" s="161"/>
      <c r="AZ84" s="161"/>
      <c r="BA84" s="243">
        <v>0</v>
      </c>
      <c r="BB84" s="212">
        <f t="shared" si="10"/>
        <v>0</v>
      </c>
      <c r="BC84" s="256"/>
      <c r="BD84" s="162" t="e">
        <f t="shared" si="11"/>
        <v>#DIV/0!</v>
      </c>
      <c r="BE84" s="162" t="e">
        <f t="shared" si="12"/>
        <v>#DIV/0!</v>
      </c>
      <c r="BF84" s="243"/>
      <c r="BG84" s="243"/>
      <c r="BH84" s="243"/>
      <c r="BI84" s="257"/>
      <c r="BJ84" s="257"/>
      <c r="BK84" s="243"/>
      <c r="BL84" s="243"/>
      <c r="BM84" s="243"/>
      <c r="BN84" s="243"/>
      <c r="BO84" s="243"/>
      <c r="BP84" s="243"/>
      <c r="BQ84" s="243"/>
      <c r="BR84" s="243"/>
      <c r="BS84" s="243"/>
      <c r="BT84" s="243"/>
      <c r="BU84" s="243"/>
      <c r="BV84" s="243"/>
      <c r="BW84" s="243"/>
      <c r="BX84" s="243"/>
      <c r="BY84" s="243"/>
      <c r="BZ84" s="243"/>
      <c r="CA84" s="243"/>
      <c r="CB84" s="243"/>
      <c r="CC84" s="243"/>
      <c r="CD84" s="243"/>
      <c r="CE84" s="245">
        <v>0</v>
      </c>
      <c r="CF84" s="245">
        <v>0</v>
      </c>
      <c r="CG84" s="245">
        <v>1</v>
      </c>
      <c r="CH84" s="246">
        <v>0</v>
      </c>
      <c r="CI84" s="219" t="e">
        <f t="shared" si="13"/>
        <v>#DIV/0!</v>
      </c>
      <c r="CJ84" s="245">
        <v>1</v>
      </c>
      <c r="CK84" s="246">
        <v>0</v>
      </c>
      <c r="CL84" s="163" t="e">
        <f t="shared" si="14"/>
        <v>#DIV/0!</v>
      </c>
      <c r="CM84" s="245">
        <v>1</v>
      </c>
      <c r="CN84" s="246">
        <v>0</v>
      </c>
      <c r="CO84" s="163" t="e">
        <f t="shared" si="15"/>
        <v>#DIV/0!</v>
      </c>
      <c r="CP84" s="245">
        <v>1</v>
      </c>
      <c r="CQ84" s="246">
        <v>0</v>
      </c>
      <c r="CR84" s="163" t="e">
        <f t="shared" si="16"/>
        <v>#DIV/0!</v>
      </c>
      <c r="CS84" s="207" t="e">
        <f t="shared" si="17"/>
        <v>#DIV/0!</v>
      </c>
      <c r="CT84" s="258"/>
      <c r="CU84" s="258"/>
      <c r="CV84" s="258"/>
      <c r="CW84" s="258"/>
      <c r="CX84" s="258"/>
      <c r="CY84" s="258"/>
      <c r="CZ84" s="258"/>
      <c r="DA84" s="258"/>
      <c r="DB84" s="258"/>
      <c r="DC84" s="258"/>
    </row>
    <row r="85" spans="1:173">
      <c r="B85" s="205">
        <f>ANACO!B81</f>
        <v>0</v>
      </c>
      <c r="C85" s="204">
        <f>ANACO!C81</f>
        <v>0</v>
      </c>
      <c r="D85" s="165">
        <f>ANACO!H81</f>
        <v>0</v>
      </c>
      <c r="E85" s="165"/>
      <c r="F85" s="203">
        <f>ANACO!G81</f>
        <v>0</v>
      </c>
      <c r="G85" s="203">
        <f>ANACO!I81</f>
        <v>0</v>
      </c>
      <c r="H85" s="166">
        <f>ANACO!BS81</f>
        <v>0</v>
      </c>
      <c r="I85" s="172">
        <f>ANACO!BT81</f>
        <v>0</v>
      </c>
      <c r="J85" s="161"/>
      <c r="K85" s="161">
        <f t="shared" si="9"/>
        <v>0</v>
      </c>
      <c r="L85" s="244">
        <v>0</v>
      </c>
      <c r="M85" s="244"/>
      <c r="N85" s="244"/>
      <c r="O85" s="244"/>
      <c r="P85" s="244"/>
      <c r="Q85" s="244"/>
      <c r="R85" s="244"/>
      <c r="S85" s="244"/>
      <c r="T85" s="244"/>
      <c r="U85" s="244"/>
      <c r="V85" s="244"/>
      <c r="W85" s="244"/>
      <c r="X85" s="244"/>
      <c r="Y85" s="244"/>
      <c r="Z85" s="244"/>
      <c r="AA85" s="244"/>
      <c r="AB85" s="244"/>
      <c r="AC85" s="244"/>
      <c r="AD85" s="244"/>
      <c r="AE85" s="244"/>
      <c r="AF85" s="244"/>
      <c r="AG85" s="244"/>
      <c r="AH85" s="244"/>
      <c r="AI85" s="244"/>
      <c r="AJ85" s="244"/>
      <c r="AK85" s="244"/>
      <c r="AL85" s="244"/>
      <c r="AM85" s="244"/>
      <c r="AN85" s="244"/>
      <c r="AO85" s="244"/>
      <c r="AP85" s="244"/>
      <c r="AQ85" s="244"/>
      <c r="AR85" s="244"/>
      <c r="AS85" s="244"/>
      <c r="AT85" s="244"/>
      <c r="AU85" s="244"/>
      <c r="AV85" s="161"/>
      <c r="AW85" s="161"/>
      <c r="AX85" s="243">
        <v>0</v>
      </c>
      <c r="AY85" s="161"/>
      <c r="AZ85" s="161"/>
      <c r="BA85" s="243">
        <v>0</v>
      </c>
      <c r="BB85" s="212">
        <f t="shared" si="10"/>
        <v>0</v>
      </c>
      <c r="BC85" s="256"/>
      <c r="BD85" s="162" t="e">
        <f t="shared" si="11"/>
        <v>#DIV/0!</v>
      </c>
      <c r="BE85" s="162" t="e">
        <f t="shared" si="12"/>
        <v>#DIV/0!</v>
      </c>
      <c r="BF85" s="243"/>
      <c r="BG85" s="243"/>
      <c r="BH85" s="243"/>
      <c r="BI85" s="257"/>
      <c r="BJ85" s="257"/>
      <c r="BK85" s="243"/>
      <c r="BL85" s="243"/>
      <c r="BM85" s="243"/>
      <c r="BN85" s="243"/>
      <c r="BO85" s="243"/>
      <c r="BP85" s="243"/>
      <c r="BQ85" s="243"/>
      <c r="BR85" s="243"/>
      <c r="BS85" s="243"/>
      <c r="BT85" s="243"/>
      <c r="BU85" s="243"/>
      <c r="BV85" s="243"/>
      <c r="BW85" s="243"/>
      <c r="BX85" s="243"/>
      <c r="BY85" s="243"/>
      <c r="BZ85" s="243"/>
      <c r="CA85" s="243"/>
      <c r="CB85" s="243"/>
      <c r="CC85" s="243"/>
      <c r="CD85" s="243"/>
      <c r="CE85" s="245">
        <v>0</v>
      </c>
      <c r="CF85" s="245">
        <v>0</v>
      </c>
      <c r="CG85" s="245">
        <v>1</v>
      </c>
      <c r="CH85" s="246">
        <v>0</v>
      </c>
      <c r="CI85" s="219" t="e">
        <f t="shared" si="13"/>
        <v>#DIV/0!</v>
      </c>
      <c r="CJ85" s="245">
        <v>1</v>
      </c>
      <c r="CK85" s="246">
        <v>0</v>
      </c>
      <c r="CL85" s="163" t="e">
        <f t="shared" si="14"/>
        <v>#DIV/0!</v>
      </c>
      <c r="CM85" s="245">
        <v>1</v>
      </c>
      <c r="CN85" s="246">
        <v>0</v>
      </c>
      <c r="CO85" s="163" t="e">
        <f t="shared" si="15"/>
        <v>#DIV/0!</v>
      </c>
      <c r="CP85" s="245">
        <v>1</v>
      </c>
      <c r="CQ85" s="246">
        <v>0</v>
      </c>
      <c r="CR85" s="163" t="e">
        <f t="shared" si="16"/>
        <v>#DIV/0!</v>
      </c>
      <c r="CS85" s="207" t="e">
        <f t="shared" si="17"/>
        <v>#DIV/0!</v>
      </c>
      <c r="CT85" s="258"/>
      <c r="CU85" s="258"/>
      <c r="CV85" s="258"/>
      <c r="CW85" s="258"/>
      <c r="CX85" s="258"/>
      <c r="CY85" s="258"/>
      <c r="CZ85" s="258"/>
      <c r="DA85" s="258"/>
      <c r="DB85" s="258"/>
      <c r="DC85" s="258"/>
    </row>
    <row r="86" spans="1:173">
      <c r="B86" s="205">
        <f>ANACO!B82</f>
        <v>0</v>
      </c>
      <c r="C86" s="204">
        <f>ANACO!C82</f>
        <v>0</v>
      </c>
      <c r="D86" s="165">
        <f>ANACO!H82</f>
        <v>0</v>
      </c>
      <c r="E86" s="165"/>
      <c r="F86" s="203">
        <f>ANACO!G82</f>
        <v>0</v>
      </c>
      <c r="G86" s="203">
        <f>ANACO!I82</f>
        <v>0</v>
      </c>
      <c r="H86" s="166">
        <f>ANACO!BS82</f>
        <v>0</v>
      </c>
      <c r="I86" s="172">
        <f>ANACO!BT82</f>
        <v>0</v>
      </c>
      <c r="J86" s="161"/>
      <c r="K86" s="161">
        <f t="shared" si="9"/>
        <v>0</v>
      </c>
      <c r="L86" s="244">
        <v>0</v>
      </c>
      <c r="M86" s="244"/>
      <c r="N86" s="244"/>
      <c r="O86" s="244"/>
      <c r="P86" s="244"/>
      <c r="Q86" s="244"/>
      <c r="R86" s="244"/>
      <c r="S86" s="244"/>
      <c r="T86" s="244"/>
      <c r="U86" s="244"/>
      <c r="V86" s="244"/>
      <c r="W86" s="244"/>
      <c r="X86" s="244"/>
      <c r="Y86" s="244"/>
      <c r="Z86" s="244"/>
      <c r="AA86" s="244"/>
      <c r="AB86" s="244"/>
      <c r="AC86" s="244"/>
      <c r="AD86" s="244"/>
      <c r="AE86" s="244"/>
      <c r="AF86" s="244"/>
      <c r="AG86" s="244"/>
      <c r="AH86" s="244"/>
      <c r="AI86" s="244"/>
      <c r="AJ86" s="244"/>
      <c r="AK86" s="244"/>
      <c r="AL86" s="244"/>
      <c r="AM86" s="244"/>
      <c r="AN86" s="244"/>
      <c r="AO86" s="244"/>
      <c r="AP86" s="244"/>
      <c r="AQ86" s="244"/>
      <c r="AR86" s="244"/>
      <c r="AS86" s="244"/>
      <c r="AT86" s="244"/>
      <c r="AU86" s="244"/>
      <c r="AV86" s="161"/>
      <c r="AW86" s="161"/>
      <c r="AX86" s="243">
        <v>0</v>
      </c>
      <c r="AY86" s="161"/>
      <c r="AZ86" s="161"/>
      <c r="BA86" s="243">
        <v>0</v>
      </c>
      <c r="BB86" s="212">
        <f t="shared" si="10"/>
        <v>0</v>
      </c>
      <c r="BC86" s="256"/>
      <c r="BD86" s="162" t="e">
        <f t="shared" si="11"/>
        <v>#DIV/0!</v>
      </c>
      <c r="BE86" s="162" t="e">
        <f t="shared" si="12"/>
        <v>#DIV/0!</v>
      </c>
      <c r="BF86" s="243"/>
      <c r="BG86" s="243"/>
      <c r="BH86" s="243"/>
      <c r="BI86" s="257"/>
      <c r="BJ86" s="257"/>
      <c r="BK86" s="243"/>
      <c r="BL86" s="243"/>
      <c r="BM86" s="243"/>
      <c r="BN86" s="243"/>
      <c r="BO86" s="243"/>
      <c r="BP86" s="243"/>
      <c r="BQ86" s="243"/>
      <c r="BR86" s="243"/>
      <c r="BS86" s="243"/>
      <c r="BT86" s="243"/>
      <c r="BU86" s="243"/>
      <c r="BV86" s="243"/>
      <c r="BW86" s="243"/>
      <c r="BX86" s="243"/>
      <c r="BY86" s="243"/>
      <c r="BZ86" s="243"/>
      <c r="CA86" s="243"/>
      <c r="CB86" s="243"/>
      <c r="CC86" s="243"/>
      <c r="CD86" s="243"/>
      <c r="CE86" s="245">
        <v>0</v>
      </c>
      <c r="CF86" s="245">
        <v>0</v>
      </c>
      <c r="CG86" s="245">
        <v>1</v>
      </c>
      <c r="CH86" s="246">
        <v>0</v>
      </c>
      <c r="CI86" s="219" t="e">
        <f t="shared" si="13"/>
        <v>#DIV/0!</v>
      </c>
      <c r="CJ86" s="245">
        <v>1</v>
      </c>
      <c r="CK86" s="246">
        <v>0</v>
      </c>
      <c r="CL86" s="163" t="e">
        <f t="shared" si="14"/>
        <v>#DIV/0!</v>
      </c>
      <c r="CM86" s="245">
        <v>1</v>
      </c>
      <c r="CN86" s="246">
        <v>0</v>
      </c>
      <c r="CO86" s="163" t="e">
        <f t="shared" si="15"/>
        <v>#DIV/0!</v>
      </c>
      <c r="CP86" s="245">
        <v>1</v>
      </c>
      <c r="CQ86" s="246">
        <v>0</v>
      </c>
      <c r="CR86" s="163" t="e">
        <f t="shared" si="16"/>
        <v>#DIV/0!</v>
      </c>
      <c r="CS86" s="207" t="e">
        <f t="shared" si="17"/>
        <v>#DIV/0!</v>
      </c>
      <c r="CT86" s="258"/>
      <c r="CU86" s="258"/>
      <c r="CV86" s="258"/>
      <c r="CW86" s="258"/>
      <c r="CX86" s="258"/>
      <c r="CY86" s="258"/>
      <c r="CZ86" s="258"/>
      <c r="DA86" s="258"/>
      <c r="DB86" s="258"/>
      <c r="DC86" s="258"/>
    </row>
    <row r="87" spans="1:173" s="168" customFormat="1">
      <c r="A87" s="156"/>
      <c r="B87" s="205">
        <f>ANACO!B83</f>
        <v>0</v>
      </c>
      <c r="C87" s="204">
        <f>ANACO!C83</f>
        <v>0</v>
      </c>
      <c r="D87" s="165">
        <f>ANACO!H83</f>
        <v>0</v>
      </c>
      <c r="E87" s="165"/>
      <c r="F87" s="203">
        <f>ANACO!G83</f>
        <v>0</v>
      </c>
      <c r="G87" s="203">
        <f>ANACO!I83</f>
        <v>0</v>
      </c>
      <c r="H87" s="166">
        <f>ANACO!BS83</f>
        <v>0</v>
      </c>
      <c r="I87" s="172">
        <f>ANACO!BT83</f>
        <v>0</v>
      </c>
      <c r="J87" s="161"/>
      <c r="K87" s="161">
        <f t="shared" si="9"/>
        <v>0</v>
      </c>
      <c r="L87" s="244">
        <v>0</v>
      </c>
      <c r="M87" s="244"/>
      <c r="N87" s="244"/>
      <c r="O87" s="244"/>
      <c r="P87" s="244"/>
      <c r="Q87" s="244"/>
      <c r="R87" s="244"/>
      <c r="S87" s="244"/>
      <c r="T87" s="244"/>
      <c r="U87" s="244"/>
      <c r="V87" s="244"/>
      <c r="W87" s="244"/>
      <c r="X87" s="244"/>
      <c r="Y87" s="244"/>
      <c r="Z87" s="244"/>
      <c r="AA87" s="244"/>
      <c r="AB87" s="244"/>
      <c r="AC87" s="244"/>
      <c r="AD87" s="244"/>
      <c r="AE87" s="244"/>
      <c r="AF87" s="244"/>
      <c r="AG87" s="244"/>
      <c r="AH87" s="244"/>
      <c r="AI87" s="244"/>
      <c r="AJ87" s="244"/>
      <c r="AK87" s="244"/>
      <c r="AL87" s="244"/>
      <c r="AM87" s="244"/>
      <c r="AN87" s="244"/>
      <c r="AO87" s="244"/>
      <c r="AP87" s="244"/>
      <c r="AQ87" s="244"/>
      <c r="AR87" s="244"/>
      <c r="AS87" s="244"/>
      <c r="AT87" s="244"/>
      <c r="AU87" s="244"/>
      <c r="AV87" s="161"/>
      <c r="AW87" s="161"/>
      <c r="AX87" s="243">
        <v>0</v>
      </c>
      <c r="AY87" s="161"/>
      <c r="AZ87" s="161"/>
      <c r="BA87" s="243">
        <v>0</v>
      </c>
      <c r="BB87" s="212">
        <f t="shared" si="10"/>
        <v>0</v>
      </c>
      <c r="BC87" s="256"/>
      <c r="BD87" s="162" t="e">
        <f t="shared" si="11"/>
        <v>#DIV/0!</v>
      </c>
      <c r="BE87" s="162" t="e">
        <f t="shared" si="12"/>
        <v>#DIV/0!</v>
      </c>
      <c r="BF87" s="243"/>
      <c r="BG87" s="243"/>
      <c r="BH87" s="243"/>
      <c r="BI87" s="257"/>
      <c r="BJ87" s="257"/>
      <c r="BK87" s="243"/>
      <c r="BL87" s="243"/>
      <c r="BM87" s="243"/>
      <c r="BN87" s="243"/>
      <c r="BO87" s="243"/>
      <c r="BP87" s="243"/>
      <c r="BQ87" s="243"/>
      <c r="BR87" s="243"/>
      <c r="BS87" s="243"/>
      <c r="BT87" s="243"/>
      <c r="BU87" s="243"/>
      <c r="BV87" s="243"/>
      <c r="BW87" s="243"/>
      <c r="BX87" s="243"/>
      <c r="BY87" s="243"/>
      <c r="BZ87" s="243"/>
      <c r="CA87" s="243"/>
      <c r="CB87" s="243"/>
      <c r="CC87" s="243"/>
      <c r="CD87" s="243"/>
      <c r="CE87" s="245">
        <v>0</v>
      </c>
      <c r="CF87" s="245">
        <v>0</v>
      </c>
      <c r="CG87" s="245">
        <v>1</v>
      </c>
      <c r="CH87" s="246">
        <v>0</v>
      </c>
      <c r="CI87" s="219" t="e">
        <f t="shared" si="13"/>
        <v>#DIV/0!</v>
      </c>
      <c r="CJ87" s="245">
        <v>1</v>
      </c>
      <c r="CK87" s="246">
        <v>0</v>
      </c>
      <c r="CL87" s="163" t="e">
        <f t="shared" si="14"/>
        <v>#DIV/0!</v>
      </c>
      <c r="CM87" s="245">
        <v>1</v>
      </c>
      <c r="CN87" s="246">
        <v>0</v>
      </c>
      <c r="CO87" s="163" t="e">
        <f t="shared" si="15"/>
        <v>#DIV/0!</v>
      </c>
      <c r="CP87" s="245">
        <v>1</v>
      </c>
      <c r="CQ87" s="246">
        <v>0</v>
      </c>
      <c r="CR87" s="163" t="e">
        <f t="shared" si="16"/>
        <v>#DIV/0!</v>
      </c>
      <c r="CS87" s="207" t="e">
        <f t="shared" si="17"/>
        <v>#DIV/0!</v>
      </c>
      <c r="CT87" s="258"/>
      <c r="CU87" s="258"/>
      <c r="CV87" s="258"/>
      <c r="CW87" s="258"/>
      <c r="CX87" s="258"/>
      <c r="CY87" s="258"/>
      <c r="CZ87" s="258"/>
      <c r="DA87" s="258"/>
      <c r="DB87" s="258"/>
      <c r="DC87" s="258"/>
      <c r="DD87" s="156"/>
      <c r="DE87" s="156"/>
      <c r="DF87" s="156"/>
      <c r="DG87" s="156"/>
      <c r="DH87" s="156"/>
      <c r="DI87" s="156"/>
      <c r="DJ87" s="156"/>
      <c r="DK87" s="156"/>
      <c r="DL87" s="156"/>
      <c r="DM87" s="156"/>
      <c r="DN87" s="156"/>
      <c r="DO87" s="156"/>
      <c r="DP87" s="156"/>
      <c r="DQ87" s="156"/>
      <c r="DR87" s="156"/>
      <c r="DS87" s="156"/>
      <c r="DT87" s="156"/>
      <c r="DU87" s="156"/>
      <c r="DV87" s="156"/>
      <c r="DW87" s="156"/>
      <c r="DX87" s="156"/>
      <c r="DY87" s="156"/>
      <c r="DZ87" s="156"/>
      <c r="EA87" s="156"/>
      <c r="EB87" s="156"/>
      <c r="EC87" s="156"/>
      <c r="ED87" s="156"/>
      <c r="EE87" s="156"/>
      <c r="EF87" s="156"/>
      <c r="EG87" s="156"/>
      <c r="EH87" s="156"/>
      <c r="EI87" s="156"/>
      <c r="EJ87" s="156"/>
      <c r="EK87" s="156"/>
      <c r="EL87" s="156"/>
      <c r="EM87" s="156"/>
      <c r="EN87" s="156"/>
      <c r="EO87" s="156"/>
      <c r="EP87" s="156"/>
      <c r="EQ87" s="156"/>
      <c r="ER87" s="156"/>
      <c r="ES87" s="156"/>
      <c r="ET87" s="156"/>
      <c r="EU87" s="156"/>
      <c r="EV87" s="156"/>
      <c r="EW87" s="156"/>
      <c r="EX87" s="156"/>
      <c r="EY87" s="156"/>
      <c r="EZ87" s="156"/>
      <c r="FA87" s="156"/>
      <c r="FB87" s="156"/>
      <c r="FC87" s="156"/>
      <c r="FD87" s="156"/>
      <c r="FE87" s="156"/>
      <c r="FF87" s="156"/>
      <c r="FG87" s="156"/>
      <c r="FH87" s="156"/>
      <c r="FI87" s="156"/>
      <c r="FJ87" s="156"/>
      <c r="FK87" s="156"/>
      <c r="FL87" s="156"/>
      <c r="FM87" s="156"/>
      <c r="FN87" s="156"/>
      <c r="FO87" s="156"/>
      <c r="FP87" s="156"/>
      <c r="FQ87" s="156"/>
    </row>
    <row r="88" spans="1:173" s="168" customFormat="1">
      <c r="A88" s="156"/>
      <c r="B88" s="205">
        <f>ANACO!B84</f>
        <v>0</v>
      </c>
      <c r="C88" s="204">
        <f>ANACO!C84</f>
        <v>0</v>
      </c>
      <c r="D88" s="165">
        <f>ANACO!H84</f>
        <v>0</v>
      </c>
      <c r="E88" s="165"/>
      <c r="F88" s="203">
        <f>ANACO!G84</f>
        <v>0</v>
      </c>
      <c r="G88" s="203">
        <f>ANACO!I84</f>
        <v>0</v>
      </c>
      <c r="H88" s="166">
        <f>ANACO!BS84</f>
        <v>0</v>
      </c>
      <c r="I88" s="172">
        <f>ANACO!BT84</f>
        <v>0</v>
      </c>
      <c r="J88" s="161"/>
      <c r="K88" s="161">
        <f t="shared" si="9"/>
        <v>0</v>
      </c>
      <c r="L88" s="244">
        <v>0</v>
      </c>
      <c r="M88" s="244"/>
      <c r="N88" s="244"/>
      <c r="O88" s="244"/>
      <c r="P88" s="244"/>
      <c r="Q88" s="244"/>
      <c r="R88" s="244"/>
      <c r="S88" s="244"/>
      <c r="T88" s="244"/>
      <c r="U88" s="244"/>
      <c r="V88" s="244"/>
      <c r="W88" s="244"/>
      <c r="X88" s="244"/>
      <c r="Y88" s="244"/>
      <c r="Z88" s="244"/>
      <c r="AA88" s="244"/>
      <c r="AB88" s="244"/>
      <c r="AC88" s="244"/>
      <c r="AD88" s="244"/>
      <c r="AE88" s="244"/>
      <c r="AF88" s="244"/>
      <c r="AG88" s="244"/>
      <c r="AH88" s="244"/>
      <c r="AI88" s="244"/>
      <c r="AJ88" s="244"/>
      <c r="AK88" s="244"/>
      <c r="AL88" s="244"/>
      <c r="AM88" s="244"/>
      <c r="AN88" s="244"/>
      <c r="AO88" s="244"/>
      <c r="AP88" s="244"/>
      <c r="AQ88" s="244"/>
      <c r="AR88" s="244"/>
      <c r="AS88" s="244"/>
      <c r="AT88" s="244"/>
      <c r="AU88" s="244"/>
      <c r="AV88" s="161"/>
      <c r="AW88" s="161"/>
      <c r="AX88" s="243">
        <v>0</v>
      </c>
      <c r="AY88" s="161"/>
      <c r="AZ88" s="161"/>
      <c r="BA88" s="243">
        <v>0</v>
      </c>
      <c r="BB88" s="212">
        <f t="shared" si="10"/>
        <v>0</v>
      </c>
      <c r="BC88" s="256"/>
      <c r="BD88" s="162" t="e">
        <f t="shared" si="11"/>
        <v>#DIV/0!</v>
      </c>
      <c r="BE88" s="162" t="e">
        <f t="shared" si="12"/>
        <v>#DIV/0!</v>
      </c>
      <c r="BF88" s="243"/>
      <c r="BG88" s="243"/>
      <c r="BH88" s="243"/>
      <c r="BI88" s="257"/>
      <c r="BJ88" s="257"/>
      <c r="BK88" s="243"/>
      <c r="BL88" s="243"/>
      <c r="BM88" s="243"/>
      <c r="BN88" s="243"/>
      <c r="BO88" s="243"/>
      <c r="BP88" s="243"/>
      <c r="BQ88" s="243"/>
      <c r="BR88" s="243"/>
      <c r="BS88" s="243"/>
      <c r="BT88" s="243"/>
      <c r="BU88" s="243"/>
      <c r="BV88" s="243"/>
      <c r="BW88" s="243"/>
      <c r="BX88" s="243"/>
      <c r="BY88" s="243"/>
      <c r="BZ88" s="243"/>
      <c r="CA88" s="243"/>
      <c r="CB88" s="243"/>
      <c r="CC88" s="243"/>
      <c r="CD88" s="243"/>
      <c r="CE88" s="245">
        <v>0</v>
      </c>
      <c r="CF88" s="245">
        <v>0</v>
      </c>
      <c r="CG88" s="245">
        <v>1</v>
      </c>
      <c r="CH88" s="246">
        <v>0</v>
      </c>
      <c r="CI88" s="219" t="e">
        <f t="shared" si="13"/>
        <v>#DIV/0!</v>
      </c>
      <c r="CJ88" s="245">
        <v>1</v>
      </c>
      <c r="CK88" s="246">
        <v>0</v>
      </c>
      <c r="CL88" s="163" t="e">
        <f t="shared" si="14"/>
        <v>#DIV/0!</v>
      </c>
      <c r="CM88" s="245">
        <v>1</v>
      </c>
      <c r="CN88" s="246">
        <v>0</v>
      </c>
      <c r="CO88" s="163" t="e">
        <f t="shared" si="15"/>
        <v>#DIV/0!</v>
      </c>
      <c r="CP88" s="245">
        <v>1</v>
      </c>
      <c r="CQ88" s="246">
        <v>0</v>
      </c>
      <c r="CR88" s="163" t="e">
        <f t="shared" si="16"/>
        <v>#DIV/0!</v>
      </c>
      <c r="CS88" s="207" t="e">
        <f t="shared" si="17"/>
        <v>#DIV/0!</v>
      </c>
      <c r="CT88" s="258"/>
      <c r="CU88" s="258"/>
      <c r="CV88" s="258"/>
      <c r="CW88" s="258"/>
      <c r="CX88" s="258"/>
      <c r="CY88" s="258"/>
      <c r="CZ88" s="258"/>
      <c r="DA88" s="258"/>
      <c r="DB88" s="258"/>
      <c r="DC88" s="258"/>
      <c r="DD88" s="156"/>
      <c r="DE88" s="156"/>
      <c r="DF88" s="156"/>
      <c r="DG88" s="156"/>
      <c r="DH88" s="156"/>
      <c r="DI88" s="156"/>
      <c r="DJ88" s="156"/>
      <c r="DK88" s="156"/>
      <c r="DL88" s="156"/>
      <c r="DM88" s="156"/>
      <c r="DN88" s="156"/>
      <c r="DO88" s="156"/>
      <c r="DP88" s="156"/>
      <c r="DQ88" s="156"/>
      <c r="DR88" s="156"/>
      <c r="DS88" s="156"/>
      <c r="DT88" s="156"/>
      <c r="DU88" s="156"/>
      <c r="DV88" s="156"/>
      <c r="DW88" s="156"/>
      <c r="DX88" s="156"/>
      <c r="DY88" s="156"/>
      <c r="DZ88" s="156"/>
      <c r="EA88" s="156"/>
      <c r="EB88" s="156"/>
      <c r="EC88" s="156"/>
      <c r="ED88" s="156"/>
      <c r="EE88" s="156"/>
      <c r="EF88" s="156"/>
      <c r="EG88" s="156"/>
      <c r="EH88" s="156"/>
      <c r="EI88" s="156"/>
      <c r="EJ88" s="156"/>
      <c r="EK88" s="156"/>
      <c r="EL88" s="156"/>
      <c r="EM88" s="156"/>
      <c r="EN88" s="156"/>
      <c r="EO88" s="156"/>
      <c r="EP88" s="156"/>
      <c r="EQ88" s="156"/>
      <c r="ER88" s="156"/>
      <c r="ES88" s="156"/>
      <c r="ET88" s="156"/>
      <c r="EU88" s="156"/>
      <c r="EV88" s="156"/>
      <c r="EW88" s="156"/>
      <c r="EX88" s="156"/>
      <c r="EY88" s="156"/>
      <c r="EZ88" s="156"/>
      <c r="FA88" s="156"/>
      <c r="FB88" s="156"/>
      <c r="FC88" s="156"/>
      <c r="FD88" s="156"/>
      <c r="FE88" s="156"/>
      <c r="FF88" s="156"/>
      <c r="FG88" s="156"/>
      <c r="FH88" s="156"/>
      <c r="FI88" s="156"/>
      <c r="FJ88" s="156"/>
      <c r="FK88" s="156"/>
      <c r="FL88" s="156"/>
      <c r="FM88" s="156"/>
      <c r="FN88" s="156"/>
      <c r="FO88" s="156"/>
      <c r="FP88" s="156"/>
      <c r="FQ88" s="156"/>
    </row>
    <row r="89" spans="1:173" s="168" customFormat="1">
      <c r="A89" s="156"/>
      <c r="B89" s="205">
        <f>ANACO!B85</f>
        <v>0</v>
      </c>
      <c r="C89" s="204">
        <f>ANACO!C85</f>
        <v>0</v>
      </c>
      <c r="D89" s="165">
        <f>ANACO!H85</f>
        <v>0</v>
      </c>
      <c r="E89" s="165"/>
      <c r="F89" s="203">
        <f>ANACO!G85</f>
        <v>0</v>
      </c>
      <c r="G89" s="203">
        <f>ANACO!I85</f>
        <v>0</v>
      </c>
      <c r="H89" s="166">
        <f>ANACO!BS85</f>
        <v>0</v>
      </c>
      <c r="I89" s="172">
        <f>ANACO!BT85</f>
        <v>0</v>
      </c>
      <c r="J89" s="161"/>
      <c r="K89" s="161">
        <f t="shared" si="9"/>
        <v>0</v>
      </c>
      <c r="L89" s="244">
        <v>0</v>
      </c>
      <c r="M89" s="244"/>
      <c r="N89" s="244"/>
      <c r="O89" s="244"/>
      <c r="P89" s="244"/>
      <c r="Q89" s="244"/>
      <c r="R89" s="244"/>
      <c r="S89" s="244"/>
      <c r="T89" s="244"/>
      <c r="U89" s="244"/>
      <c r="V89" s="244"/>
      <c r="W89" s="244"/>
      <c r="X89" s="244"/>
      <c r="Y89" s="244"/>
      <c r="Z89" s="244"/>
      <c r="AA89" s="244"/>
      <c r="AB89" s="244"/>
      <c r="AC89" s="244"/>
      <c r="AD89" s="244"/>
      <c r="AE89" s="244"/>
      <c r="AF89" s="244"/>
      <c r="AG89" s="244"/>
      <c r="AH89" s="244"/>
      <c r="AI89" s="244"/>
      <c r="AJ89" s="244"/>
      <c r="AK89" s="244"/>
      <c r="AL89" s="244"/>
      <c r="AM89" s="244"/>
      <c r="AN89" s="244"/>
      <c r="AO89" s="244"/>
      <c r="AP89" s="244"/>
      <c r="AQ89" s="244"/>
      <c r="AR89" s="244"/>
      <c r="AS89" s="244"/>
      <c r="AT89" s="244"/>
      <c r="AU89" s="244"/>
      <c r="AV89" s="161"/>
      <c r="AW89" s="161"/>
      <c r="AX89" s="243">
        <v>0</v>
      </c>
      <c r="AY89" s="161"/>
      <c r="AZ89" s="161"/>
      <c r="BA89" s="243">
        <v>0</v>
      </c>
      <c r="BB89" s="212">
        <f t="shared" si="10"/>
        <v>0</v>
      </c>
      <c r="BC89" s="256"/>
      <c r="BD89" s="162" t="e">
        <f t="shared" si="11"/>
        <v>#DIV/0!</v>
      </c>
      <c r="BE89" s="162" t="e">
        <f t="shared" si="12"/>
        <v>#DIV/0!</v>
      </c>
      <c r="BF89" s="243"/>
      <c r="BG89" s="243"/>
      <c r="BH89" s="243"/>
      <c r="BI89" s="257"/>
      <c r="BJ89" s="257"/>
      <c r="BK89" s="243"/>
      <c r="BL89" s="243"/>
      <c r="BM89" s="243"/>
      <c r="BN89" s="243"/>
      <c r="BO89" s="243"/>
      <c r="BP89" s="243"/>
      <c r="BQ89" s="243"/>
      <c r="BR89" s="243"/>
      <c r="BS89" s="243"/>
      <c r="BT89" s="243"/>
      <c r="BU89" s="243"/>
      <c r="BV89" s="243"/>
      <c r="BW89" s="243"/>
      <c r="BX89" s="243"/>
      <c r="BY89" s="243"/>
      <c r="BZ89" s="243"/>
      <c r="CA89" s="243"/>
      <c r="CB89" s="243"/>
      <c r="CC89" s="243"/>
      <c r="CD89" s="243"/>
      <c r="CE89" s="245">
        <v>0</v>
      </c>
      <c r="CF89" s="245">
        <v>0</v>
      </c>
      <c r="CG89" s="245">
        <v>1</v>
      </c>
      <c r="CH89" s="246">
        <v>0</v>
      </c>
      <c r="CI89" s="219" t="e">
        <f t="shared" si="13"/>
        <v>#DIV/0!</v>
      </c>
      <c r="CJ89" s="245">
        <v>1</v>
      </c>
      <c r="CK89" s="246">
        <v>0</v>
      </c>
      <c r="CL89" s="163" t="e">
        <f t="shared" si="14"/>
        <v>#DIV/0!</v>
      </c>
      <c r="CM89" s="245">
        <v>1</v>
      </c>
      <c r="CN89" s="246">
        <v>0</v>
      </c>
      <c r="CO89" s="163" t="e">
        <f t="shared" si="15"/>
        <v>#DIV/0!</v>
      </c>
      <c r="CP89" s="245">
        <v>1</v>
      </c>
      <c r="CQ89" s="246">
        <v>0</v>
      </c>
      <c r="CR89" s="163" t="e">
        <f t="shared" si="16"/>
        <v>#DIV/0!</v>
      </c>
      <c r="CS89" s="207" t="e">
        <f t="shared" si="17"/>
        <v>#DIV/0!</v>
      </c>
      <c r="CT89" s="258"/>
      <c r="CU89" s="258"/>
      <c r="CV89" s="258"/>
      <c r="CW89" s="258"/>
      <c r="CX89" s="258"/>
      <c r="CY89" s="258"/>
      <c r="CZ89" s="258"/>
      <c r="DA89" s="258"/>
      <c r="DB89" s="258"/>
      <c r="DC89" s="258"/>
      <c r="DD89" s="156"/>
      <c r="DE89" s="156"/>
      <c r="DF89" s="156"/>
      <c r="DG89" s="156"/>
      <c r="DH89" s="156"/>
      <c r="DI89" s="156"/>
      <c r="DJ89" s="156"/>
      <c r="DK89" s="156"/>
      <c r="DL89" s="156"/>
      <c r="DM89" s="156"/>
      <c r="DN89" s="156"/>
      <c r="DO89" s="156"/>
      <c r="DP89" s="156"/>
      <c r="DQ89" s="156"/>
      <c r="DR89" s="156"/>
      <c r="DS89" s="156"/>
      <c r="DT89" s="156"/>
      <c r="DU89" s="156"/>
      <c r="DV89" s="156"/>
      <c r="DW89" s="156"/>
      <c r="DX89" s="156"/>
      <c r="DY89" s="156"/>
      <c r="DZ89" s="156"/>
      <c r="EA89" s="156"/>
      <c r="EB89" s="156"/>
      <c r="EC89" s="156"/>
      <c r="ED89" s="156"/>
      <c r="EE89" s="156"/>
      <c r="EF89" s="156"/>
      <c r="EG89" s="156"/>
      <c r="EH89" s="156"/>
      <c r="EI89" s="156"/>
      <c r="EJ89" s="156"/>
      <c r="EK89" s="156"/>
      <c r="EL89" s="156"/>
      <c r="EM89" s="156"/>
      <c r="EN89" s="156"/>
      <c r="EO89" s="156"/>
      <c r="EP89" s="156"/>
      <c r="EQ89" s="156"/>
      <c r="ER89" s="156"/>
      <c r="ES89" s="156"/>
      <c r="ET89" s="156"/>
      <c r="EU89" s="156"/>
      <c r="EV89" s="156"/>
      <c r="EW89" s="156"/>
      <c r="EX89" s="156"/>
      <c r="EY89" s="156"/>
      <c r="EZ89" s="156"/>
      <c r="FA89" s="156"/>
      <c r="FB89" s="156"/>
      <c r="FC89" s="156"/>
      <c r="FD89" s="156"/>
      <c r="FE89" s="156"/>
      <c r="FF89" s="156"/>
      <c r="FG89" s="156"/>
      <c r="FH89" s="156"/>
      <c r="FI89" s="156"/>
      <c r="FJ89" s="156"/>
      <c r="FK89" s="156"/>
      <c r="FL89" s="156"/>
      <c r="FM89" s="156"/>
      <c r="FN89" s="156"/>
      <c r="FO89" s="156"/>
      <c r="FP89" s="156"/>
      <c r="FQ89" s="156"/>
    </row>
    <row r="90" spans="1:173" s="168" customFormat="1">
      <c r="A90" s="156"/>
      <c r="B90" s="205">
        <f>ANACO!B86</f>
        <v>0</v>
      </c>
      <c r="C90" s="204">
        <f>ANACO!C86</f>
        <v>0</v>
      </c>
      <c r="D90" s="165">
        <f>ANACO!H86</f>
        <v>0</v>
      </c>
      <c r="E90" s="165"/>
      <c r="F90" s="203">
        <f>ANACO!G86</f>
        <v>0</v>
      </c>
      <c r="G90" s="203">
        <f>ANACO!I86</f>
        <v>0</v>
      </c>
      <c r="H90" s="166">
        <f>ANACO!BS86</f>
        <v>0</v>
      </c>
      <c r="I90" s="172">
        <f>ANACO!BT86</f>
        <v>0</v>
      </c>
      <c r="J90" s="161"/>
      <c r="K90" s="161">
        <f t="shared" si="9"/>
        <v>0</v>
      </c>
      <c r="L90" s="244">
        <v>0</v>
      </c>
      <c r="M90" s="244"/>
      <c r="N90" s="244"/>
      <c r="O90" s="244"/>
      <c r="P90" s="244"/>
      <c r="Q90" s="244"/>
      <c r="R90" s="244"/>
      <c r="S90" s="244"/>
      <c r="T90" s="244"/>
      <c r="U90" s="244"/>
      <c r="V90" s="244"/>
      <c r="W90" s="244"/>
      <c r="X90" s="244"/>
      <c r="Y90" s="244"/>
      <c r="Z90" s="244"/>
      <c r="AA90" s="244"/>
      <c r="AB90" s="244"/>
      <c r="AC90" s="244"/>
      <c r="AD90" s="244"/>
      <c r="AE90" s="244"/>
      <c r="AF90" s="244"/>
      <c r="AG90" s="244"/>
      <c r="AH90" s="244"/>
      <c r="AI90" s="244"/>
      <c r="AJ90" s="244"/>
      <c r="AK90" s="244"/>
      <c r="AL90" s="244"/>
      <c r="AM90" s="244"/>
      <c r="AN90" s="244"/>
      <c r="AO90" s="244"/>
      <c r="AP90" s="244"/>
      <c r="AQ90" s="244"/>
      <c r="AR90" s="244"/>
      <c r="AS90" s="244"/>
      <c r="AT90" s="244"/>
      <c r="AU90" s="244"/>
      <c r="AV90" s="161"/>
      <c r="AW90" s="161"/>
      <c r="AX90" s="243">
        <v>0</v>
      </c>
      <c r="AY90" s="161"/>
      <c r="AZ90" s="161"/>
      <c r="BA90" s="243">
        <v>0</v>
      </c>
      <c r="BB90" s="212">
        <f t="shared" si="10"/>
        <v>0</v>
      </c>
      <c r="BC90" s="256"/>
      <c r="BD90" s="162" t="e">
        <f t="shared" si="11"/>
        <v>#DIV/0!</v>
      </c>
      <c r="BE90" s="162" t="e">
        <f t="shared" si="12"/>
        <v>#DIV/0!</v>
      </c>
      <c r="BF90" s="243"/>
      <c r="BG90" s="243"/>
      <c r="BH90" s="243"/>
      <c r="BI90" s="257"/>
      <c r="BJ90" s="257"/>
      <c r="BK90" s="243"/>
      <c r="BL90" s="243"/>
      <c r="BM90" s="243"/>
      <c r="BN90" s="243"/>
      <c r="BO90" s="243"/>
      <c r="BP90" s="243"/>
      <c r="BQ90" s="243"/>
      <c r="BR90" s="243"/>
      <c r="BS90" s="243"/>
      <c r="BT90" s="243"/>
      <c r="BU90" s="243"/>
      <c r="BV90" s="243"/>
      <c r="BW90" s="243"/>
      <c r="BX90" s="243"/>
      <c r="BY90" s="243"/>
      <c r="BZ90" s="243"/>
      <c r="CA90" s="243"/>
      <c r="CB90" s="243"/>
      <c r="CC90" s="243"/>
      <c r="CD90" s="243"/>
      <c r="CE90" s="245">
        <v>0</v>
      </c>
      <c r="CF90" s="245">
        <v>0</v>
      </c>
      <c r="CG90" s="245">
        <v>1</v>
      </c>
      <c r="CH90" s="246">
        <v>0</v>
      </c>
      <c r="CI90" s="219" t="e">
        <f t="shared" si="13"/>
        <v>#DIV/0!</v>
      </c>
      <c r="CJ90" s="245">
        <v>1</v>
      </c>
      <c r="CK90" s="246">
        <v>0</v>
      </c>
      <c r="CL90" s="163" t="e">
        <f t="shared" si="14"/>
        <v>#DIV/0!</v>
      </c>
      <c r="CM90" s="245">
        <v>1</v>
      </c>
      <c r="CN90" s="246">
        <v>0</v>
      </c>
      <c r="CO90" s="163" t="e">
        <f t="shared" si="15"/>
        <v>#DIV/0!</v>
      </c>
      <c r="CP90" s="245">
        <v>1</v>
      </c>
      <c r="CQ90" s="246">
        <v>0</v>
      </c>
      <c r="CR90" s="163" t="e">
        <f t="shared" si="16"/>
        <v>#DIV/0!</v>
      </c>
      <c r="CS90" s="207" t="e">
        <f t="shared" si="17"/>
        <v>#DIV/0!</v>
      </c>
      <c r="CT90" s="258"/>
      <c r="CU90" s="258"/>
      <c r="CV90" s="258"/>
      <c r="CW90" s="258"/>
      <c r="CX90" s="258"/>
      <c r="CY90" s="258"/>
      <c r="CZ90" s="258"/>
      <c r="DA90" s="258"/>
      <c r="DB90" s="258"/>
      <c r="DC90" s="258"/>
      <c r="DD90" s="156"/>
      <c r="DE90" s="156"/>
      <c r="DF90" s="156"/>
      <c r="DG90" s="156"/>
      <c r="DH90" s="156"/>
      <c r="DI90" s="156"/>
      <c r="DJ90" s="156"/>
      <c r="DK90" s="156"/>
      <c r="DL90" s="156"/>
      <c r="DM90" s="156"/>
      <c r="DN90" s="156"/>
      <c r="DO90" s="156"/>
      <c r="DP90" s="156"/>
      <c r="DQ90" s="156"/>
      <c r="DR90" s="156"/>
      <c r="DS90" s="156"/>
      <c r="DT90" s="156"/>
      <c r="DU90" s="156"/>
      <c r="DV90" s="156"/>
      <c r="DW90" s="156"/>
      <c r="DX90" s="156"/>
      <c r="DY90" s="156"/>
      <c r="DZ90" s="156"/>
      <c r="EA90" s="156"/>
      <c r="EB90" s="156"/>
      <c r="EC90" s="156"/>
      <c r="ED90" s="156"/>
      <c r="EE90" s="156"/>
      <c r="EF90" s="156"/>
      <c r="EG90" s="156"/>
      <c r="EH90" s="156"/>
      <c r="EI90" s="156"/>
      <c r="EJ90" s="156"/>
      <c r="EK90" s="156"/>
      <c r="EL90" s="156"/>
      <c r="EM90" s="156"/>
      <c r="EN90" s="156"/>
      <c r="EO90" s="156"/>
      <c r="EP90" s="156"/>
      <c r="EQ90" s="156"/>
      <c r="ER90" s="156"/>
      <c r="ES90" s="156"/>
      <c r="ET90" s="156"/>
      <c r="EU90" s="156"/>
      <c r="EV90" s="156"/>
      <c r="EW90" s="156"/>
      <c r="EX90" s="156"/>
      <c r="EY90" s="156"/>
      <c r="EZ90" s="156"/>
      <c r="FA90" s="156"/>
      <c r="FB90" s="156"/>
      <c r="FC90" s="156"/>
      <c r="FD90" s="156"/>
      <c r="FE90" s="156"/>
      <c r="FF90" s="156"/>
      <c r="FG90" s="156"/>
      <c r="FH90" s="156"/>
      <c r="FI90" s="156"/>
      <c r="FJ90" s="156"/>
      <c r="FK90" s="156"/>
      <c r="FL90" s="156"/>
      <c r="FM90" s="156"/>
      <c r="FN90" s="156"/>
      <c r="FO90" s="156"/>
      <c r="FP90" s="156"/>
      <c r="FQ90" s="156"/>
    </row>
    <row r="91" spans="1:173">
      <c r="B91" s="205">
        <f>ANACO!B87</f>
        <v>0</v>
      </c>
      <c r="C91" s="204">
        <f>ANACO!C87</f>
        <v>0</v>
      </c>
      <c r="D91" s="165">
        <f>ANACO!H87</f>
        <v>0</v>
      </c>
      <c r="E91" s="165"/>
      <c r="F91" s="203">
        <f>ANACO!G87</f>
        <v>0</v>
      </c>
      <c r="G91" s="203">
        <f>ANACO!I87</f>
        <v>0</v>
      </c>
      <c r="H91" s="166">
        <f>ANACO!BS87</f>
        <v>0</v>
      </c>
      <c r="I91" s="172">
        <f>ANACO!BT87</f>
        <v>0</v>
      </c>
      <c r="J91" s="161"/>
      <c r="K91" s="161">
        <f t="shared" si="9"/>
        <v>0</v>
      </c>
      <c r="L91" s="244">
        <v>0</v>
      </c>
      <c r="M91" s="244"/>
      <c r="N91" s="244"/>
      <c r="O91" s="244"/>
      <c r="P91" s="244"/>
      <c r="Q91" s="244"/>
      <c r="R91" s="244"/>
      <c r="S91" s="244"/>
      <c r="T91" s="244"/>
      <c r="U91" s="244"/>
      <c r="V91" s="244"/>
      <c r="W91" s="244"/>
      <c r="X91" s="244"/>
      <c r="Y91" s="244"/>
      <c r="Z91" s="244"/>
      <c r="AA91" s="244"/>
      <c r="AB91" s="244"/>
      <c r="AC91" s="244"/>
      <c r="AD91" s="244"/>
      <c r="AE91" s="244"/>
      <c r="AF91" s="244"/>
      <c r="AG91" s="244"/>
      <c r="AH91" s="244"/>
      <c r="AI91" s="244"/>
      <c r="AJ91" s="244"/>
      <c r="AK91" s="244"/>
      <c r="AL91" s="244"/>
      <c r="AM91" s="244"/>
      <c r="AN91" s="244"/>
      <c r="AO91" s="244"/>
      <c r="AP91" s="244"/>
      <c r="AQ91" s="244"/>
      <c r="AR91" s="244"/>
      <c r="AS91" s="244"/>
      <c r="AT91" s="244"/>
      <c r="AU91" s="244"/>
      <c r="AV91" s="161"/>
      <c r="AW91" s="161"/>
      <c r="AX91" s="243">
        <v>0</v>
      </c>
      <c r="AY91" s="161"/>
      <c r="AZ91" s="161"/>
      <c r="BA91" s="243">
        <v>0</v>
      </c>
      <c r="BB91" s="212">
        <f t="shared" si="10"/>
        <v>0</v>
      </c>
      <c r="BC91" s="256"/>
      <c r="BD91" s="162" t="e">
        <f t="shared" si="11"/>
        <v>#DIV/0!</v>
      </c>
      <c r="BE91" s="162" t="e">
        <f t="shared" si="12"/>
        <v>#DIV/0!</v>
      </c>
      <c r="BF91" s="243"/>
      <c r="BG91" s="243"/>
      <c r="BH91" s="243"/>
      <c r="BI91" s="257"/>
      <c r="BJ91" s="257"/>
      <c r="BK91" s="243"/>
      <c r="BL91" s="243"/>
      <c r="BM91" s="243"/>
      <c r="BN91" s="243"/>
      <c r="BO91" s="243"/>
      <c r="BP91" s="243"/>
      <c r="BQ91" s="243"/>
      <c r="BR91" s="243"/>
      <c r="BS91" s="243"/>
      <c r="BT91" s="243"/>
      <c r="BU91" s="243"/>
      <c r="BV91" s="243"/>
      <c r="BW91" s="243"/>
      <c r="BX91" s="243"/>
      <c r="BY91" s="243"/>
      <c r="BZ91" s="243"/>
      <c r="CA91" s="243"/>
      <c r="CB91" s="243"/>
      <c r="CC91" s="243"/>
      <c r="CD91" s="243"/>
      <c r="CE91" s="245">
        <v>0</v>
      </c>
      <c r="CF91" s="245">
        <v>0</v>
      </c>
      <c r="CG91" s="245">
        <v>1</v>
      </c>
      <c r="CH91" s="246">
        <v>0</v>
      </c>
      <c r="CI91" s="219" t="e">
        <f t="shared" si="13"/>
        <v>#DIV/0!</v>
      </c>
      <c r="CJ91" s="245">
        <v>1</v>
      </c>
      <c r="CK91" s="246">
        <v>0</v>
      </c>
      <c r="CL91" s="163" t="e">
        <f t="shared" si="14"/>
        <v>#DIV/0!</v>
      </c>
      <c r="CM91" s="245">
        <v>1</v>
      </c>
      <c r="CN91" s="246">
        <v>0</v>
      </c>
      <c r="CO91" s="163" t="e">
        <f t="shared" si="15"/>
        <v>#DIV/0!</v>
      </c>
      <c r="CP91" s="245">
        <v>1</v>
      </c>
      <c r="CQ91" s="246">
        <v>0</v>
      </c>
      <c r="CR91" s="163" t="e">
        <f t="shared" si="16"/>
        <v>#DIV/0!</v>
      </c>
      <c r="CS91" s="207" t="e">
        <f t="shared" si="17"/>
        <v>#DIV/0!</v>
      </c>
      <c r="CT91" s="258"/>
      <c r="CU91" s="258"/>
      <c r="CV91" s="258"/>
      <c r="CW91" s="258"/>
      <c r="CX91" s="258"/>
      <c r="CY91" s="258"/>
      <c r="CZ91" s="258"/>
      <c r="DA91" s="258"/>
      <c r="DB91" s="258"/>
      <c r="DC91" s="258"/>
    </row>
    <row r="92" spans="1:173">
      <c r="B92" s="205">
        <f>ANACO!B88</f>
        <v>0</v>
      </c>
      <c r="C92" s="204">
        <f>ANACO!C88</f>
        <v>0</v>
      </c>
      <c r="D92" s="165">
        <f>ANACO!H88</f>
        <v>0</v>
      </c>
      <c r="E92" s="165"/>
      <c r="F92" s="203">
        <f>ANACO!G88</f>
        <v>0</v>
      </c>
      <c r="G92" s="203">
        <f>ANACO!I88</f>
        <v>0</v>
      </c>
      <c r="H92" s="166">
        <f>ANACO!BS88</f>
        <v>0</v>
      </c>
      <c r="I92" s="172">
        <f>ANACO!BT88</f>
        <v>0</v>
      </c>
      <c r="J92" s="161"/>
      <c r="K92" s="161">
        <f t="shared" si="9"/>
        <v>0</v>
      </c>
      <c r="L92" s="244">
        <v>0</v>
      </c>
      <c r="M92" s="244"/>
      <c r="N92" s="244"/>
      <c r="O92" s="244"/>
      <c r="P92" s="244"/>
      <c r="Q92" s="244"/>
      <c r="R92" s="244"/>
      <c r="S92" s="244"/>
      <c r="T92" s="244"/>
      <c r="U92" s="244"/>
      <c r="V92" s="244"/>
      <c r="W92" s="244"/>
      <c r="X92" s="244"/>
      <c r="Y92" s="244"/>
      <c r="Z92" s="244"/>
      <c r="AA92" s="244"/>
      <c r="AB92" s="244"/>
      <c r="AC92" s="244"/>
      <c r="AD92" s="244"/>
      <c r="AE92" s="244"/>
      <c r="AF92" s="244"/>
      <c r="AG92" s="244"/>
      <c r="AH92" s="244"/>
      <c r="AI92" s="244"/>
      <c r="AJ92" s="244"/>
      <c r="AK92" s="244"/>
      <c r="AL92" s="244"/>
      <c r="AM92" s="244"/>
      <c r="AN92" s="244"/>
      <c r="AO92" s="244"/>
      <c r="AP92" s="244"/>
      <c r="AQ92" s="244"/>
      <c r="AR92" s="244"/>
      <c r="AS92" s="244"/>
      <c r="AT92" s="244"/>
      <c r="AU92" s="244"/>
      <c r="AV92" s="161"/>
      <c r="AW92" s="161"/>
      <c r="AX92" s="243">
        <v>0</v>
      </c>
      <c r="AY92" s="161"/>
      <c r="AZ92" s="161"/>
      <c r="BA92" s="243">
        <v>0</v>
      </c>
      <c r="BB92" s="212">
        <f t="shared" si="10"/>
        <v>0</v>
      </c>
      <c r="BC92" s="256"/>
      <c r="BD92" s="162" t="e">
        <f t="shared" si="11"/>
        <v>#DIV/0!</v>
      </c>
      <c r="BE92" s="162" t="e">
        <f t="shared" si="12"/>
        <v>#DIV/0!</v>
      </c>
      <c r="BF92" s="243"/>
      <c r="BG92" s="243"/>
      <c r="BH92" s="243"/>
      <c r="BI92" s="257"/>
      <c r="BJ92" s="257"/>
      <c r="BK92" s="243"/>
      <c r="BL92" s="243"/>
      <c r="BM92" s="243"/>
      <c r="BN92" s="243"/>
      <c r="BO92" s="243"/>
      <c r="BP92" s="243"/>
      <c r="BQ92" s="243"/>
      <c r="BR92" s="243"/>
      <c r="BS92" s="243"/>
      <c r="BT92" s="243"/>
      <c r="BU92" s="243"/>
      <c r="BV92" s="243"/>
      <c r="BW92" s="243"/>
      <c r="BX92" s="243"/>
      <c r="BY92" s="243"/>
      <c r="BZ92" s="243"/>
      <c r="CA92" s="243"/>
      <c r="CB92" s="243"/>
      <c r="CC92" s="243"/>
      <c r="CD92" s="243"/>
      <c r="CE92" s="245">
        <v>0</v>
      </c>
      <c r="CF92" s="245">
        <v>0</v>
      </c>
      <c r="CG92" s="245">
        <v>1</v>
      </c>
      <c r="CH92" s="246">
        <v>0</v>
      </c>
      <c r="CI92" s="219" t="e">
        <f t="shared" si="13"/>
        <v>#DIV/0!</v>
      </c>
      <c r="CJ92" s="245">
        <v>1</v>
      </c>
      <c r="CK92" s="246">
        <v>0</v>
      </c>
      <c r="CL92" s="163" t="e">
        <f t="shared" si="14"/>
        <v>#DIV/0!</v>
      </c>
      <c r="CM92" s="245">
        <v>1</v>
      </c>
      <c r="CN92" s="246">
        <v>0</v>
      </c>
      <c r="CO92" s="163" t="e">
        <f t="shared" si="15"/>
        <v>#DIV/0!</v>
      </c>
      <c r="CP92" s="245">
        <v>1</v>
      </c>
      <c r="CQ92" s="246">
        <v>0</v>
      </c>
      <c r="CR92" s="163" t="e">
        <f t="shared" si="16"/>
        <v>#DIV/0!</v>
      </c>
      <c r="CS92" s="207" t="e">
        <f t="shared" si="17"/>
        <v>#DIV/0!</v>
      </c>
      <c r="CT92" s="258"/>
      <c r="CU92" s="258"/>
      <c r="CV92" s="258"/>
      <c r="CW92" s="258"/>
      <c r="CX92" s="258"/>
      <c r="CY92" s="258"/>
      <c r="CZ92" s="258"/>
      <c r="DA92" s="258"/>
      <c r="DB92" s="258"/>
      <c r="DC92" s="258"/>
    </row>
    <row r="93" spans="1:173">
      <c r="B93" s="205">
        <f>ANACO!B89</f>
        <v>0</v>
      </c>
      <c r="C93" s="204">
        <f>ANACO!C89</f>
        <v>0</v>
      </c>
      <c r="D93" s="165">
        <f>ANACO!H89</f>
        <v>0</v>
      </c>
      <c r="E93" s="165"/>
      <c r="F93" s="203">
        <f>ANACO!G89</f>
        <v>0</v>
      </c>
      <c r="G93" s="203">
        <f>ANACO!I89</f>
        <v>0</v>
      </c>
      <c r="H93" s="166">
        <f>ANACO!BS89</f>
        <v>0</v>
      </c>
      <c r="I93" s="172">
        <f>ANACO!BT89</f>
        <v>0</v>
      </c>
      <c r="J93" s="161"/>
      <c r="K93" s="161">
        <f t="shared" si="9"/>
        <v>0</v>
      </c>
      <c r="L93" s="244">
        <v>0</v>
      </c>
      <c r="M93" s="244"/>
      <c r="N93" s="244"/>
      <c r="O93" s="244"/>
      <c r="P93" s="244"/>
      <c r="Q93" s="244"/>
      <c r="R93" s="244"/>
      <c r="S93" s="244"/>
      <c r="T93" s="244"/>
      <c r="U93" s="244"/>
      <c r="V93" s="244"/>
      <c r="W93" s="244"/>
      <c r="X93" s="244"/>
      <c r="Y93" s="244"/>
      <c r="Z93" s="244"/>
      <c r="AA93" s="244"/>
      <c r="AB93" s="244"/>
      <c r="AC93" s="244"/>
      <c r="AD93" s="244"/>
      <c r="AE93" s="244"/>
      <c r="AF93" s="244"/>
      <c r="AG93" s="244"/>
      <c r="AH93" s="244"/>
      <c r="AI93" s="244"/>
      <c r="AJ93" s="244"/>
      <c r="AK93" s="244"/>
      <c r="AL93" s="244"/>
      <c r="AM93" s="244"/>
      <c r="AN93" s="244"/>
      <c r="AO93" s="244"/>
      <c r="AP93" s="244"/>
      <c r="AQ93" s="244"/>
      <c r="AR93" s="244"/>
      <c r="AS93" s="244"/>
      <c r="AT93" s="244"/>
      <c r="AU93" s="244"/>
      <c r="AV93" s="161"/>
      <c r="AW93" s="161"/>
      <c r="AX93" s="243">
        <v>0</v>
      </c>
      <c r="AY93" s="161"/>
      <c r="AZ93" s="161"/>
      <c r="BA93" s="243">
        <v>0</v>
      </c>
      <c r="BB93" s="212">
        <f t="shared" si="10"/>
        <v>0</v>
      </c>
      <c r="BC93" s="256"/>
      <c r="BD93" s="162" t="e">
        <f t="shared" si="11"/>
        <v>#DIV/0!</v>
      </c>
      <c r="BE93" s="162" t="e">
        <f t="shared" si="12"/>
        <v>#DIV/0!</v>
      </c>
      <c r="BF93" s="243"/>
      <c r="BG93" s="243"/>
      <c r="BH93" s="243"/>
      <c r="BI93" s="257"/>
      <c r="BJ93" s="257"/>
      <c r="BK93" s="243"/>
      <c r="BL93" s="243"/>
      <c r="BM93" s="243"/>
      <c r="BN93" s="243"/>
      <c r="BO93" s="243"/>
      <c r="BP93" s="243"/>
      <c r="BQ93" s="243"/>
      <c r="BR93" s="243"/>
      <c r="BS93" s="243"/>
      <c r="BT93" s="243"/>
      <c r="BU93" s="243"/>
      <c r="BV93" s="243"/>
      <c r="BW93" s="243"/>
      <c r="BX93" s="243"/>
      <c r="BY93" s="243"/>
      <c r="BZ93" s="243"/>
      <c r="CA93" s="243"/>
      <c r="CB93" s="243"/>
      <c r="CC93" s="243"/>
      <c r="CD93" s="243"/>
      <c r="CE93" s="245">
        <v>0</v>
      </c>
      <c r="CF93" s="245">
        <v>0</v>
      </c>
      <c r="CG93" s="245">
        <v>1</v>
      </c>
      <c r="CH93" s="246">
        <v>0</v>
      </c>
      <c r="CI93" s="219" t="e">
        <f t="shared" si="13"/>
        <v>#DIV/0!</v>
      </c>
      <c r="CJ93" s="245">
        <v>1</v>
      </c>
      <c r="CK93" s="246">
        <v>0</v>
      </c>
      <c r="CL93" s="163" t="e">
        <f t="shared" si="14"/>
        <v>#DIV/0!</v>
      </c>
      <c r="CM93" s="245">
        <v>1</v>
      </c>
      <c r="CN93" s="246">
        <v>0</v>
      </c>
      <c r="CO93" s="163" t="e">
        <f t="shared" si="15"/>
        <v>#DIV/0!</v>
      </c>
      <c r="CP93" s="245">
        <v>1</v>
      </c>
      <c r="CQ93" s="246">
        <v>0</v>
      </c>
      <c r="CR93" s="163" t="e">
        <f t="shared" si="16"/>
        <v>#DIV/0!</v>
      </c>
      <c r="CS93" s="207" t="e">
        <f t="shared" si="17"/>
        <v>#DIV/0!</v>
      </c>
      <c r="CT93" s="258"/>
      <c r="CU93" s="258"/>
      <c r="CV93" s="258"/>
      <c r="CW93" s="258"/>
      <c r="CX93" s="258"/>
      <c r="CY93" s="258"/>
      <c r="CZ93" s="258"/>
      <c r="DA93" s="258"/>
      <c r="DB93" s="258"/>
      <c r="DC93" s="258"/>
    </row>
    <row r="94" spans="1:173">
      <c r="B94" s="205">
        <f>ANACO!B90</f>
        <v>0</v>
      </c>
      <c r="C94" s="204">
        <f>ANACO!C90</f>
        <v>0</v>
      </c>
      <c r="D94" s="165">
        <f>ANACO!H90</f>
        <v>0</v>
      </c>
      <c r="E94" s="165"/>
      <c r="F94" s="203">
        <f>ANACO!G90</f>
        <v>0</v>
      </c>
      <c r="G94" s="203">
        <f>ANACO!I90</f>
        <v>0</v>
      </c>
      <c r="H94" s="166">
        <f>ANACO!BS90</f>
        <v>0</v>
      </c>
      <c r="I94" s="172">
        <f>ANACO!BT90</f>
        <v>0</v>
      </c>
      <c r="J94" s="161"/>
      <c r="K94" s="161">
        <f t="shared" si="9"/>
        <v>0</v>
      </c>
      <c r="L94" s="244">
        <v>0</v>
      </c>
      <c r="M94" s="244"/>
      <c r="N94" s="244"/>
      <c r="O94" s="244"/>
      <c r="P94" s="244"/>
      <c r="Q94" s="244"/>
      <c r="R94" s="244"/>
      <c r="S94" s="244"/>
      <c r="T94" s="244"/>
      <c r="U94" s="244"/>
      <c r="V94" s="244"/>
      <c r="W94" s="244"/>
      <c r="X94" s="244"/>
      <c r="Y94" s="244"/>
      <c r="Z94" s="244"/>
      <c r="AA94" s="244"/>
      <c r="AB94" s="244"/>
      <c r="AC94" s="244"/>
      <c r="AD94" s="244"/>
      <c r="AE94" s="244"/>
      <c r="AF94" s="244"/>
      <c r="AG94" s="244"/>
      <c r="AH94" s="244"/>
      <c r="AI94" s="244"/>
      <c r="AJ94" s="244"/>
      <c r="AK94" s="244"/>
      <c r="AL94" s="244"/>
      <c r="AM94" s="244"/>
      <c r="AN94" s="244"/>
      <c r="AO94" s="244"/>
      <c r="AP94" s="244"/>
      <c r="AQ94" s="244"/>
      <c r="AR94" s="244"/>
      <c r="AS94" s="244"/>
      <c r="AT94" s="244"/>
      <c r="AU94" s="244"/>
      <c r="AV94" s="161"/>
      <c r="AW94" s="161"/>
      <c r="AX94" s="243">
        <v>0</v>
      </c>
      <c r="AY94" s="161"/>
      <c r="AZ94" s="161"/>
      <c r="BA94" s="243">
        <v>0</v>
      </c>
      <c r="BB94" s="212">
        <f t="shared" si="10"/>
        <v>0</v>
      </c>
      <c r="BC94" s="256"/>
      <c r="BD94" s="162" t="e">
        <f t="shared" si="11"/>
        <v>#DIV/0!</v>
      </c>
      <c r="BE94" s="162" t="e">
        <f t="shared" si="12"/>
        <v>#DIV/0!</v>
      </c>
      <c r="BF94" s="243"/>
      <c r="BG94" s="243"/>
      <c r="BH94" s="243"/>
      <c r="BI94" s="257"/>
      <c r="BJ94" s="257"/>
      <c r="BK94" s="243"/>
      <c r="BL94" s="243"/>
      <c r="BM94" s="243"/>
      <c r="BN94" s="243"/>
      <c r="BO94" s="243"/>
      <c r="BP94" s="243"/>
      <c r="BQ94" s="243"/>
      <c r="BR94" s="243"/>
      <c r="BS94" s="243"/>
      <c r="BT94" s="243"/>
      <c r="BU94" s="243"/>
      <c r="BV94" s="243"/>
      <c r="BW94" s="243"/>
      <c r="BX94" s="243"/>
      <c r="BY94" s="243"/>
      <c r="BZ94" s="243"/>
      <c r="CA94" s="243"/>
      <c r="CB94" s="243"/>
      <c r="CC94" s="243"/>
      <c r="CD94" s="243"/>
      <c r="CE94" s="245">
        <v>0</v>
      </c>
      <c r="CF94" s="245">
        <v>0</v>
      </c>
      <c r="CG94" s="245">
        <v>1</v>
      </c>
      <c r="CH94" s="246">
        <v>0</v>
      </c>
      <c r="CI94" s="219" t="e">
        <f t="shared" si="13"/>
        <v>#DIV/0!</v>
      </c>
      <c r="CJ94" s="245">
        <v>1</v>
      </c>
      <c r="CK94" s="246">
        <v>0</v>
      </c>
      <c r="CL94" s="163" t="e">
        <f t="shared" si="14"/>
        <v>#DIV/0!</v>
      </c>
      <c r="CM94" s="245">
        <v>1</v>
      </c>
      <c r="CN94" s="246">
        <v>0</v>
      </c>
      <c r="CO94" s="163" t="e">
        <f t="shared" si="15"/>
        <v>#DIV/0!</v>
      </c>
      <c r="CP94" s="245">
        <v>1</v>
      </c>
      <c r="CQ94" s="246">
        <v>0</v>
      </c>
      <c r="CR94" s="163" t="e">
        <f t="shared" si="16"/>
        <v>#DIV/0!</v>
      </c>
      <c r="CS94" s="207" t="e">
        <f t="shared" si="17"/>
        <v>#DIV/0!</v>
      </c>
      <c r="CT94" s="258"/>
      <c r="CU94" s="258"/>
      <c r="CV94" s="258"/>
      <c r="CW94" s="258"/>
      <c r="CX94" s="258"/>
      <c r="CY94" s="258"/>
      <c r="CZ94" s="258"/>
      <c r="DA94" s="258"/>
      <c r="DB94" s="258"/>
      <c r="DC94" s="258"/>
    </row>
    <row r="95" spans="1:173" s="168" customFormat="1">
      <c r="A95" s="156"/>
      <c r="B95" s="205">
        <f>ANACO!B91</f>
        <v>0</v>
      </c>
      <c r="C95" s="204">
        <f>ANACO!C91</f>
        <v>0</v>
      </c>
      <c r="D95" s="165">
        <f>ANACO!H91</f>
        <v>0</v>
      </c>
      <c r="E95" s="165"/>
      <c r="F95" s="203">
        <f>ANACO!G91</f>
        <v>0</v>
      </c>
      <c r="G95" s="203">
        <f>ANACO!I91</f>
        <v>0</v>
      </c>
      <c r="H95" s="166">
        <f>ANACO!BS91</f>
        <v>0</v>
      </c>
      <c r="I95" s="172">
        <f>ANACO!BT91</f>
        <v>0</v>
      </c>
      <c r="J95" s="161"/>
      <c r="K95" s="161">
        <f t="shared" si="9"/>
        <v>0</v>
      </c>
      <c r="L95" s="244">
        <v>0</v>
      </c>
      <c r="M95" s="244"/>
      <c r="N95" s="244"/>
      <c r="O95" s="244"/>
      <c r="P95" s="244"/>
      <c r="Q95" s="244"/>
      <c r="R95" s="244"/>
      <c r="S95" s="244"/>
      <c r="T95" s="244"/>
      <c r="U95" s="244"/>
      <c r="V95" s="244"/>
      <c r="W95" s="244"/>
      <c r="X95" s="244"/>
      <c r="Y95" s="244"/>
      <c r="Z95" s="244"/>
      <c r="AA95" s="244"/>
      <c r="AB95" s="244"/>
      <c r="AC95" s="244"/>
      <c r="AD95" s="244"/>
      <c r="AE95" s="244"/>
      <c r="AF95" s="244"/>
      <c r="AG95" s="244"/>
      <c r="AH95" s="244"/>
      <c r="AI95" s="244"/>
      <c r="AJ95" s="244"/>
      <c r="AK95" s="244"/>
      <c r="AL95" s="244"/>
      <c r="AM95" s="244"/>
      <c r="AN95" s="244"/>
      <c r="AO95" s="244"/>
      <c r="AP95" s="244"/>
      <c r="AQ95" s="244"/>
      <c r="AR95" s="244"/>
      <c r="AS95" s="244"/>
      <c r="AT95" s="244"/>
      <c r="AU95" s="244"/>
      <c r="AV95" s="161"/>
      <c r="AW95" s="161"/>
      <c r="AX95" s="243">
        <v>0</v>
      </c>
      <c r="AY95" s="161"/>
      <c r="AZ95" s="161"/>
      <c r="BA95" s="243">
        <v>0</v>
      </c>
      <c r="BB95" s="212">
        <f t="shared" si="10"/>
        <v>0</v>
      </c>
      <c r="BC95" s="256"/>
      <c r="BD95" s="162" t="e">
        <f t="shared" si="11"/>
        <v>#DIV/0!</v>
      </c>
      <c r="BE95" s="162" t="e">
        <f t="shared" si="12"/>
        <v>#DIV/0!</v>
      </c>
      <c r="BF95" s="243"/>
      <c r="BG95" s="243"/>
      <c r="BH95" s="243"/>
      <c r="BI95" s="257"/>
      <c r="BJ95" s="257"/>
      <c r="BK95" s="243"/>
      <c r="BL95" s="243"/>
      <c r="BM95" s="243"/>
      <c r="BN95" s="243"/>
      <c r="BO95" s="243"/>
      <c r="BP95" s="243"/>
      <c r="BQ95" s="243"/>
      <c r="BR95" s="243"/>
      <c r="BS95" s="243"/>
      <c r="BT95" s="243"/>
      <c r="BU95" s="243"/>
      <c r="BV95" s="243"/>
      <c r="BW95" s="243"/>
      <c r="BX95" s="243"/>
      <c r="BY95" s="243"/>
      <c r="BZ95" s="243"/>
      <c r="CA95" s="243"/>
      <c r="CB95" s="243"/>
      <c r="CC95" s="243"/>
      <c r="CD95" s="243"/>
      <c r="CE95" s="245">
        <v>0</v>
      </c>
      <c r="CF95" s="245">
        <v>0</v>
      </c>
      <c r="CG95" s="245">
        <v>1</v>
      </c>
      <c r="CH95" s="246">
        <v>0</v>
      </c>
      <c r="CI95" s="219" t="e">
        <f t="shared" si="13"/>
        <v>#DIV/0!</v>
      </c>
      <c r="CJ95" s="245">
        <v>1</v>
      </c>
      <c r="CK95" s="246">
        <v>0</v>
      </c>
      <c r="CL95" s="163" t="e">
        <f t="shared" si="14"/>
        <v>#DIV/0!</v>
      </c>
      <c r="CM95" s="245">
        <v>1</v>
      </c>
      <c r="CN95" s="246">
        <v>0</v>
      </c>
      <c r="CO95" s="163" t="e">
        <f t="shared" si="15"/>
        <v>#DIV/0!</v>
      </c>
      <c r="CP95" s="245">
        <v>1</v>
      </c>
      <c r="CQ95" s="246">
        <v>0</v>
      </c>
      <c r="CR95" s="163" t="e">
        <f t="shared" si="16"/>
        <v>#DIV/0!</v>
      </c>
      <c r="CS95" s="207" t="e">
        <f t="shared" si="17"/>
        <v>#DIV/0!</v>
      </c>
      <c r="CT95" s="258"/>
      <c r="CU95" s="258"/>
      <c r="CV95" s="258"/>
      <c r="CW95" s="258"/>
      <c r="CX95" s="258"/>
      <c r="CY95" s="258"/>
      <c r="CZ95" s="258"/>
      <c r="DA95" s="258"/>
      <c r="DB95" s="258"/>
      <c r="DC95" s="258"/>
      <c r="DD95" s="156"/>
      <c r="DE95" s="156"/>
      <c r="DF95" s="156"/>
      <c r="DG95" s="156"/>
      <c r="DH95" s="156"/>
      <c r="DI95" s="156"/>
      <c r="DJ95" s="156"/>
      <c r="DK95" s="156"/>
      <c r="DL95" s="156"/>
      <c r="DM95" s="156"/>
      <c r="DN95" s="156"/>
      <c r="DO95" s="156"/>
      <c r="DP95" s="156"/>
      <c r="DQ95" s="156"/>
      <c r="DR95" s="156"/>
      <c r="DS95" s="156"/>
      <c r="DT95" s="156"/>
      <c r="DU95" s="156"/>
      <c r="DV95" s="156"/>
      <c r="DW95" s="156"/>
      <c r="DX95" s="156"/>
      <c r="DY95" s="156"/>
      <c r="DZ95" s="156"/>
      <c r="EA95" s="156"/>
      <c r="EB95" s="156"/>
      <c r="EC95" s="156"/>
      <c r="ED95" s="156"/>
      <c r="EE95" s="156"/>
      <c r="EF95" s="156"/>
      <c r="EG95" s="156"/>
      <c r="EH95" s="156"/>
      <c r="EI95" s="156"/>
      <c r="EJ95" s="156"/>
      <c r="EK95" s="156"/>
      <c r="EL95" s="156"/>
      <c r="EM95" s="156"/>
      <c r="EN95" s="156"/>
      <c r="EO95" s="156"/>
      <c r="EP95" s="156"/>
      <c r="EQ95" s="156"/>
      <c r="ER95" s="156"/>
      <c r="ES95" s="156"/>
      <c r="ET95" s="156"/>
      <c r="EU95" s="156"/>
      <c r="EV95" s="156"/>
      <c r="EW95" s="156"/>
      <c r="EX95" s="156"/>
      <c r="EY95" s="156"/>
      <c r="EZ95" s="156"/>
      <c r="FA95" s="156"/>
      <c r="FB95" s="156"/>
      <c r="FC95" s="156"/>
      <c r="FD95" s="156"/>
      <c r="FE95" s="156"/>
      <c r="FF95" s="156"/>
      <c r="FG95" s="156"/>
      <c r="FH95" s="156"/>
      <c r="FI95" s="156"/>
      <c r="FJ95" s="156"/>
      <c r="FK95" s="156"/>
      <c r="FL95" s="156"/>
      <c r="FM95" s="156"/>
      <c r="FN95" s="156"/>
      <c r="FO95" s="156"/>
      <c r="FP95" s="156"/>
      <c r="FQ95" s="156"/>
    </row>
    <row r="96" spans="1:173">
      <c r="B96" s="205">
        <f>ANACO!B92</f>
        <v>0</v>
      </c>
      <c r="C96" s="204">
        <f>ANACO!C92</f>
        <v>0</v>
      </c>
      <c r="D96" s="165">
        <f>ANACO!H92</f>
        <v>0</v>
      </c>
      <c r="E96" s="165"/>
      <c r="F96" s="203">
        <f>ANACO!G92</f>
        <v>0</v>
      </c>
      <c r="G96" s="203">
        <f>ANACO!I92</f>
        <v>0</v>
      </c>
      <c r="H96" s="166">
        <f>ANACO!BS92</f>
        <v>0</v>
      </c>
      <c r="I96" s="172">
        <f>ANACO!BT92</f>
        <v>0</v>
      </c>
      <c r="J96" s="161"/>
      <c r="K96" s="161">
        <f t="shared" si="9"/>
        <v>0</v>
      </c>
      <c r="L96" s="244">
        <v>0</v>
      </c>
      <c r="M96" s="244"/>
      <c r="N96" s="244"/>
      <c r="O96" s="244"/>
      <c r="P96" s="244"/>
      <c r="Q96" s="244"/>
      <c r="R96" s="244"/>
      <c r="S96" s="244"/>
      <c r="T96" s="244"/>
      <c r="U96" s="244"/>
      <c r="V96" s="244"/>
      <c r="W96" s="244"/>
      <c r="X96" s="244"/>
      <c r="Y96" s="244"/>
      <c r="Z96" s="244"/>
      <c r="AA96" s="244"/>
      <c r="AB96" s="244"/>
      <c r="AC96" s="244"/>
      <c r="AD96" s="244"/>
      <c r="AE96" s="244"/>
      <c r="AF96" s="244"/>
      <c r="AG96" s="244"/>
      <c r="AH96" s="244"/>
      <c r="AI96" s="244"/>
      <c r="AJ96" s="244"/>
      <c r="AK96" s="244"/>
      <c r="AL96" s="244"/>
      <c r="AM96" s="244"/>
      <c r="AN96" s="244"/>
      <c r="AO96" s="244"/>
      <c r="AP96" s="244"/>
      <c r="AQ96" s="244"/>
      <c r="AR96" s="244"/>
      <c r="AS96" s="244"/>
      <c r="AT96" s="244"/>
      <c r="AU96" s="244"/>
      <c r="AV96" s="161"/>
      <c r="AW96" s="161"/>
      <c r="AX96" s="243">
        <v>0</v>
      </c>
      <c r="AY96" s="161"/>
      <c r="AZ96" s="161"/>
      <c r="BA96" s="243">
        <v>0</v>
      </c>
      <c r="BB96" s="212">
        <f t="shared" si="10"/>
        <v>0</v>
      </c>
      <c r="BC96" s="256"/>
      <c r="BD96" s="162" t="e">
        <f t="shared" si="11"/>
        <v>#DIV/0!</v>
      </c>
      <c r="BE96" s="162" t="e">
        <f t="shared" si="12"/>
        <v>#DIV/0!</v>
      </c>
      <c r="BF96" s="243"/>
      <c r="BG96" s="243"/>
      <c r="BH96" s="243"/>
      <c r="BI96" s="257"/>
      <c r="BJ96" s="257"/>
      <c r="BK96" s="243"/>
      <c r="BL96" s="243"/>
      <c r="BM96" s="243"/>
      <c r="BN96" s="243"/>
      <c r="BO96" s="243"/>
      <c r="BP96" s="243"/>
      <c r="BQ96" s="243"/>
      <c r="BR96" s="243"/>
      <c r="BS96" s="243"/>
      <c r="BT96" s="243"/>
      <c r="BU96" s="243"/>
      <c r="BV96" s="243"/>
      <c r="BW96" s="243"/>
      <c r="BX96" s="243"/>
      <c r="BY96" s="243"/>
      <c r="BZ96" s="243"/>
      <c r="CA96" s="243"/>
      <c r="CB96" s="243"/>
      <c r="CC96" s="243"/>
      <c r="CD96" s="243"/>
      <c r="CE96" s="245">
        <v>0</v>
      </c>
      <c r="CF96" s="245">
        <v>0</v>
      </c>
      <c r="CG96" s="245">
        <v>1</v>
      </c>
      <c r="CH96" s="246">
        <v>0</v>
      </c>
      <c r="CI96" s="219" t="e">
        <f t="shared" si="13"/>
        <v>#DIV/0!</v>
      </c>
      <c r="CJ96" s="245">
        <v>1</v>
      </c>
      <c r="CK96" s="246">
        <v>0</v>
      </c>
      <c r="CL96" s="163" t="e">
        <f t="shared" si="14"/>
        <v>#DIV/0!</v>
      </c>
      <c r="CM96" s="245">
        <v>1</v>
      </c>
      <c r="CN96" s="246">
        <v>0</v>
      </c>
      <c r="CO96" s="163" t="e">
        <f t="shared" si="15"/>
        <v>#DIV/0!</v>
      </c>
      <c r="CP96" s="245">
        <v>1</v>
      </c>
      <c r="CQ96" s="246">
        <v>0</v>
      </c>
      <c r="CR96" s="163" t="e">
        <f t="shared" si="16"/>
        <v>#DIV/0!</v>
      </c>
      <c r="CS96" s="207" t="e">
        <f t="shared" si="17"/>
        <v>#DIV/0!</v>
      </c>
      <c r="CT96" s="258"/>
      <c r="CU96" s="258"/>
      <c r="CV96" s="258"/>
      <c r="CW96" s="258"/>
      <c r="CX96" s="258"/>
      <c r="CY96" s="258"/>
      <c r="CZ96" s="258"/>
      <c r="DA96" s="258"/>
      <c r="DB96" s="258"/>
      <c r="DC96" s="258"/>
    </row>
    <row r="97" spans="2:107">
      <c r="B97" s="205">
        <f>ANACO!B93</f>
        <v>0</v>
      </c>
      <c r="C97" s="204">
        <f>ANACO!C93</f>
        <v>0</v>
      </c>
      <c r="D97" s="165">
        <f>ANACO!H93</f>
        <v>0</v>
      </c>
      <c r="E97" s="165"/>
      <c r="F97" s="203">
        <f>ANACO!G93</f>
        <v>0</v>
      </c>
      <c r="G97" s="203">
        <f>ANACO!I93</f>
        <v>0</v>
      </c>
      <c r="H97" s="166">
        <f>ANACO!BS93</f>
        <v>0</v>
      </c>
      <c r="I97" s="172">
        <f>ANACO!BT93</f>
        <v>0</v>
      </c>
      <c r="J97" s="161"/>
      <c r="K97" s="161">
        <f t="shared" si="9"/>
        <v>0</v>
      </c>
      <c r="L97" s="244">
        <v>0</v>
      </c>
      <c r="M97" s="244"/>
      <c r="N97" s="244"/>
      <c r="O97" s="244"/>
      <c r="P97" s="244"/>
      <c r="Q97" s="244"/>
      <c r="R97" s="244"/>
      <c r="S97" s="244"/>
      <c r="T97" s="244"/>
      <c r="U97" s="244"/>
      <c r="V97" s="244"/>
      <c r="W97" s="244"/>
      <c r="X97" s="244"/>
      <c r="Y97" s="244"/>
      <c r="Z97" s="244"/>
      <c r="AA97" s="244"/>
      <c r="AB97" s="244"/>
      <c r="AC97" s="244"/>
      <c r="AD97" s="244"/>
      <c r="AE97" s="244"/>
      <c r="AF97" s="244"/>
      <c r="AG97" s="244"/>
      <c r="AH97" s="244"/>
      <c r="AI97" s="244"/>
      <c r="AJ97" s="244"/>
      <c r="AK97" s="244"/>
      <c r="AL97" s="244"/>
      <c r="AM97" s="244"/>
      <c r="AN97" s="244"/>
      <c r="AO97" s="244"/>
      <c r="AP97" s="244"/>
      <c r="AQ97" s="244"/>
      <c r="AR97" s="244"/>
      <c r="AS97" s="244"/>
      <c r="AT97" s="244"/>
      <c r="AU97" s="244"/>
      <c r="AV97" s="161"/>
      <c r="AW97" s="161"/>
      <c r="AX97" s="243">
        <v>0</v>
      </c>
      <c r="AY97" s="161"/>
      <c r="AZ97" s="161"/>
      <c r="BA97" s="243">
        <v>0</v>
      </c>
      <c r="BB97" s="212">
        <f t="shared" si="10"/>
        <v>0</v>
      </c>
      <c r="BC97" s="256"/>
      <c r="BD97" s="162" t="e">
        <f t="shared" si="11"/>
        <v>#DIV/0!</v>
      </c>
      <c r="BE97" s="162" t="e">
        <f t="shared" si="12"/>
        <v>#DIV/0!</v>
      </c>
      <c r="BF97" s="243"/>
      <c r="BG97" s="243"/>
      <c r="BH97" s="243"/>
      <c r="BI97" s="257"/>
      <c r="BJ97" s="257"/>
      <c r="BK97" s="243"/>
      <c r="BL97" s="243"/>
      <c r="BM97" s="243"/>
      <c r="BN97" s="243"/>
      <c r="BO97" s="243"/>
      <c r="BP97" s="243"/>
      <c r="BQ97" s="243"/>
      <c r="BR97" s="243"/>
      <c r="BS97" s="243"/>
      <c r="BT97" s="243"/>
      <c r="BU97" s="243"/>
      <c r="BV97" s="243"/>
      <c r="BW97" s="243"/>
      <c r="BX97" s="243"/>
      <c r="BY97" s="243"/>
      <c r="BZ97" s="243"/>
      <c r="CA97" s="243"/>
      <c r="CB97" s="243"/>
      <c r="CC97" s="243"/>
      <c r="CD97" s="243"/>
      <c r="CE97" s="245">
        <v>0</v>
      </c>
      <c r="CF97" s="245">
        <v>0</v>
      </c>
      <c r="CG97" s="245">
        <v>1</v>
      </c>
      <c r="CH97" s="246">
        <v>0</v>
      </c>
      <c r="CI97" s="219" t="e">
        <f t="shared" si="13"/>
        <v>#DIV/0!</v>
      </c>
      <c r="CJ97" s="245">
        <v>1</v>
      </c>
      <c r="CK97" s="246">
        <v>0</v>
      </c>
      <c r="CL97" s="163" t="e">
        <f t="shared" si="14"/>
        <v>#DIV/0!</v>
      </c>
      <c r="CM97" s="245">
        <v>1</v>
      </c>
      <c r="CN97" s="246">
        <v>0</v>
      </c>
      <c r="CO97" s="163" t="e">
        <f t="shared" si="15"/>
        <v>#DIV/0!</v>
      </c>
      <c r="CP97" s="245">
        <v>1</v>
      </c>
      <c r="CQ97" s="246">
        <v>0</v>
      </c>
      <c r="CR97" s="163" t="e">
        <f t="shared" si="16"/>
        <v>#DIV/0!</v>
      </c>
      <c r="CS97" s="207" t="e">
        <f t="shared" si="17"/>
        <v>#DIV/0!</v>
      </c>
      <c r="CT97" s="258"/>
      <c r="CU97" s="258"/>
      <c r="CV97" s="258"/>
      <c r="CW97" s="258"/>
      <c r="CX97" s="258"/>
      <c r="CY97" s="258"/>
      <c r="CZ97" s="258"/>
      <c r="DA97" s="258"/>
      <c r="DB97" s="258"/>
      <c r="DC97" s="258"/>
    </row>
    <row r="98" spans="2:107" ht="15.75" customHeight="1">
      <c r="B98" s="205">
        <f>ANACO!B94</f>
        <v>0</v>
      </c>
      <c r="C98" s="204">
        <f>ANACO!C94</f>
        <v>0</v>
      </c>
      <c r="D98" s="165">
        <f>ANACO!H94</f>
        <v>0</v>
      </c>
      <c r="E98" s="165"/>
      <c r="F98" s="203">
        <f>ANACO!G94</f>
        <v>0</v>
      </c>
      <c r="G98" s="203">
        <f>ANACO!I94</f>
        <v>0</v>
      </c>
      <c r="H98" s="166">
        <f>ANACO!BS94</f>
        <v>0</v>
      </c>
      <c r="I98" s="172">
        <f>ANACO!BT94</f>
        <v>0</v>
      </c>
      <c r="J98" s="161"/>
      <c r="K98" s="161">
        <f t="shared" si="9"/>
        <v>0</v>
      </c>
      <c r="L98" s="244">
        <v>0</v>
      </c>
      <c r="M98" s="244"/>
      <c r="N98" s="244"/>
      <c r="O98" s="244"/>
      <c r="P98" s="244"/>
      <c r="Q98" s="244"/>
      <c r="R98" s="244"/>
      <c r="S98" s="244"/>
      <c r="T98" s="244"/>
      <c r="U98" s="244"/>
      <c r="V98" s="244"/>
      <c r="W98" s="244"/>
      <c r="X98" s="244"/>
      <c r="Y98" s="244"/>
      <c r="Z98" s="244"/>
      <c r="AA98" s="244"/>
      <c r="AB98" s="244"/>
      <c r="AC98" s="244"/>
      <c r="AD98" s="244"/>
      <c r="AE98" s="244"/>
      <c r="AF98" s="244"/>
      <c r="AG98" s="244"/>
      <c r="AH98" s="244"/>
      <c r="AI98" s="244"/>
      <c r="AJ98" s="244"/>
      <c r="AK98" s="244"/>
      <c r="AL98" s="244"/>
      <c r="AM98" s="244"/>
      <c r="AN98" s="244"/>
      <c r="AO98" s="244"/>
      <c r="AP98" s="244"/>
      <c r="AQ98" s="244"/>
      <c r="AR98" s="244"/>
      <c r="AS98" s="244"/>
      <c r="AT98" s="244"/>
      <c r="AU98" s="244"/>
      <c r="AV98" s="161"/>
      <c r="AW98" s="161"/>
      <c r="AX98" s="243">
        <v>0</v>
      </c>
      <c r="AY98" s="161"/>
      <c r="AZ98" s="161"/>
      <c r="BA98" s="243">
        <v>0</v>
      </c>
      <c r="BB98" s="212">
        <f t="shared" si="10"/>
        <v>0</v>
      </c>
      <c r="BC98" s="256"/>
      <c r="BD98" s="162" t="e">
        <f t="shared" si="11"/>
        <v>#DIV/0!</v>
      </c>
      <c r="BE98" s="162" t="e">
        <f t="shared" si="12"/>
        <v>#DIV/0!</v>
      </c>
      <c r="BF98" s="243"/>
      <c r="BG98" s="243"/>
      <c r="BH98" s="243"/>
      <c r="BI98" s="257"/>
      <c r="BJ98" s="257"/>
      <c r="BK98" s="243"/>
      <c r="BL98" s="243"/>
      <c r="BM98" s="243"/>
      <c r="BN98" s="243"/>
      <c r="BO98" s="243"/>
      <c r="BP98" s="243"/>
      <c r="BQ98" s="243"/>
      <c r="BR98" s="243"/>
      <c r="BS98" s="243"/>
      <c r="BT98" s="243"/>
      <c r="BU98" s="243"/>
      <c r="BV98" s="243"/>
      <c r="BW98" s="243"/>
      <c r="BX98" s="243"/>
      <c r="BY98" s="243"/>
      <c r="BZ98" s="243"/>
      <c r="CA98" s="243"/>
      <c r="CB98" s="243"/>
      <c r="CC98" s="243"/>
      <c r="CD98" s="243"/>
      <c r="CE98" s="245">
        <v>0</v>
      </c>
      <c r="CF98" s="245">
        <v>0</v>
      </c>
      <c r="CG98" s="245">
        <v>1</v>
      </c>
      <c r="CH98" s="246">
        <v>0</v>
      </c>
      <c r="CI98" s="219" t="e">
        <f t="shared" si="13"/>
        <v>#DIV/0!</v>
      </c>
      <c r="CJ98" s="245">
        <v>1</v>
      </c>
      <c r="CK98" s="246">
        <v>0</v>
      </c>
      <c r="CL98" s="163" t="e">
        <f t="shared" si="14"/>
        <v>#DIV/0!</v>
      </c>
      <c r="CM98" s="245">
        <v>1</v>
      </c>
      <c r="CN98" s="246">
        <v>0</v>
      </c>
      <c r="CO98" s="163" t="e">
        <f t="shared" si="15"/>
        <v>#DIV/0!</v>
      </c>
      <c r="CP98" s="245">
        <v>1</v>
      </c>
      <c r="CQ98" s="246">
        <v>0</v>
      </c>
      <c r="CR98" s="163" t="e">
        <f t="shared" si="16"/>
        <v>#DIV/0!</v>
      </c>
      <c r="CS98" s="207" t="e">
        <f t="shared" si="17"/>
        <v>#DIV/0!</v>
      </c>
      <c r="CT98" s="258"/>
      <c r="CU98" s="258"/>
      <c r="CV98" s="258"/>
      <c r="CW98" s="258"/>
      <c r="CX98" s="258"/>
      <c r="CY98" s="258"/>
      <c r="CZ98" s="258"/>
      <c r="DA98" s="258"/>
      <c r="DB98" s="258"/>
      <c r="DC98" s="258"/>
    </row>
    <row r="99" spans="2:107" ht="15.75" customHeight="1">
      <c r="B99" s="205">
        <f>ANACO!B95</f>
        <v>0</v>
      </c>
      <c r="C99" s="204">
        <f>ANACO!C95</f>
        <v>0</v>
      </c>
      <c r="D99" s="165">
        <f>ANACO!H95</f>
        <v>0</v>
      </c>
      <c r="E99" s="165"/>
      <c r="F99" s="203">
        <f>ANACO!G95</f>
        <v>0</v>
      </c>
      <c r="G99" s="203">
        <f>ANACO!I95</f>
        <v>0</v>
      </c>
      <c r="H99" s="166">
        <f>ANACO!BS95</f>
        <v>0</v>
      </c>
      <c r="I99" s="172">
        <f>ANACO!BT95</f>
        <v>0</v>
      </c>
      <c r="J99" s="161"/>
      <c r="K99" s="161">
        <f t="shared" si="9"/>
        <v>0</v>
      </c>
      <c r="L99" s="244">
        <v>0</v>
      </c>
      <c r="M99" s="244"/>
      <c r="N99" s="244"/>
      <c r="O99" s="244"/>
      <c r="P99" s="244"/>
      <c r="Q99" s="244"/>
      <c r="R99" s="244"/>
      <c r="S99" s="244"/>
      <c r="T99" s="244"/>
      <c r="U99" s="244"/>
      <c r="V99" s="244"/>
      <c r="W99" s="244"/>
      <c r="X99" s="244"/>
      <c r="Y99" s="244"/>
      <c r="Z99" s="244"/>
      <c r="AA99" s="244"/>
      <c r="AB99" s="244"/>
      <c r="AC99" s="244"/>
      <c r="AD99" s="244"/>
      <c r="AE99" s="244"/>
      <c r="AF99" s="244"/>
      <c r="AG99" s="244"/>
      <c r="AH99" s="244"/>
      <c r="AI99" s="244"/>
      <c r="AJ99" s="244"/>
      <c r="AK99" s="244"/>
      <c r="AL99" s="244"/>
      <c r="AM99" s="244"/>
      <c r="AN99" s="244"/>
      <c r="AO99" s="244"/>
      <c r="AP99" s="244"/>
      <c r="AQ99" s="244"/>
      <c r="AR99" s="244"/>
      <c r="AS99" s="244"/>
      <c r="AT99" s="244"/>
      <c r="AU99" s="244"/>
      <c r="AV99" s="161"/>
      <c r="AW99" s="161"/>
      <c r="AX99" s="243">
        <v>0</v>
      </c>
      <c r="AY99" s="161"/>
      <c r="AZ99" s="161"/>
      <c r="BA99" s="243">
        <v>0</v>
      </c>
      <c r="BB99" s="212">
        <f t="shared" si="10"/>
        <v>0</v>
      </c>
      <c r="BC99" s="256"/>
      <c r="BD99" s="162" t="e">
        <f t="shared" si="11"/>
        <v>#DIV/0!</v>
      </c>
      <c r="BE99" s="162" t="e">
        <f t="shared" si="12"/>
        <v>#DIV/0!</v>
      </c>
      <c r="BF99" s="243"/>
      <c r="BG99" s="243"/>
      <c r="BH99" s="243"/>
      <c r="BI99" s="257"/>
      <c r="BJ99" s="257"/>
      <c r="BK99" s="243"/>
      <c r="BL99" s="243"/>
      <c r="BM99" s="243"/>
      <c r="BN99" s="243"/>
      <c r="BO99" s="243"/>
      <c r="BP99" s="243"/>
      <c r="BQ99" s="243"/>
      <c r="BR99" s="243"/>
      <c r="BS99" s="243"/>
      <c r="BT99" s="243"/>
      <c r="BU99" s="243"/>
      <c r="BV99" s="243"/>
      <c r="BW99" s="243"/>
      <c r="BX99" s="243"/>
      <c r="BY99" s="243"/>
      <c r="BZ99" s="243"/>
      <c r="CA99" s="243"/>
      <c r="CB99" s="243"/>
      <c r="CC99" s="243"/>
      <c r="CD99" s="243"/>
      <c r="CE99" s="245">
        <v>0</v>
      </c>
      <c r="CF99" s="245">
        <v>0</v>
      </c>
      <c r="CG99" s="245">
        <v>1</v>
      </c>
      <c r="CH99" s="246">
        <v>0</v>
      </c>
      <c r="CI99" s="219" t="e">
        <f t="shared" si="13"/>
        <v>#DIV/0!</v>
      </c>
      <c r="CJ99" s="245">
        <v>1</v>
      </c>
      <c r="CK99" s="246">
        <v>0</v>
      </c>
      <c r="CL99" s="163" t="e">
        <f t="shared" si="14"/>
        <v>#DIV/0!</v>
      </c>
      <c r="CM99" s="245">
        <v>1</v>
      </c>
      <c r="CN99" s="246">
        <v>0</v>
      </c>
      <c r="CO99" s="163" t="e">
        <f t="shared" si="15"/>
        <v>#DIV/0!</v>
      </c>
      <c r="CP99" s="245">
        <v>1</v>
      </c>
      <c r="CQ99" s="246">
        <v>0</v>
      </c>
      <c r="CR99" s="163" t="e">
        <f t="shared" si="16"/>
        <v>#DIV/0!</v>
      </c>
      <c r="CS99" s="207" t="e">
        <f t="shared" si="17"/>
        <v>#DIV/0!</v>
      </c>
      <c r="CT99" s="258"/>
      <c r="CU99" s="258"/>
      <c r="CV99" s="258"/>
      <c r="CW99" s="258"/>
      <c r="CX99" s="258"/>
      <c r="CY99" s="258"/>
      <c r="CZ99" s="258"/>
      <c r="DA99" s="258"/>
      <c r="DB99" s="258"/>
      <c r="DC99" s="258"/>
    </row>
    <row r="100" spans="2:107">
      <c r="B100" s="205">
        <f>ANACO!B96</f>
        <v>0</v>
      </c>
      <c r="C100" s="204">
        <f>ANACO!C96</f>
        <v>0</v>
      </c>
      <c r="D100" s="165">
        <f>ANACO!H96</f>
        <v>0</v>
      </c>
      <c r="E100" s="165"/>
      <c r="F100" s="203">
        <f>ANACO!G96</f>
        <v>0</v>
      </c>
      <c r="G100" s="203">
        <f>ANACO!I96</f>
        <v>0</v>
      </c>
      <c r="H100" s="166">
        <f>ANACO!BS96</f>
        <v>0</v>
      </c>
      <c r="I100" s="172">
        <f>ANACO!BT96</f>
        <v>0</v>
      </c>
      <c r="J100" s="161"/>
      <c r="K100" s="161">
        <f t="shared" si="9"/>
        <v>0</v>
      </c>
      <c r="L100" s="244">
        <v>0</v>
      </c>
      <c r="M100" s="244"/>
      <c r="N100" s="244"/>
      <c r="O100" s="244"/>
      <c r="P100" s="244"/>
      <c r="Q100" s="244"/>
      <c r="R100" s="244"/>
      <c r="S100" s="244"/>
      <c r="T100" s="244"/>
      <c r="U100" s="244"/>
      <c r="V100" s="244"/>
      <c r="W100" s="244"/>
      <c r="X100" s="244"/>
      <c r="Y100" s="244"/>
      <c r="Z100" s="244"/>
      <c r="AA100" s="244"/>
      <c r="AB100" s="244"/>
      <c r="AC100" s="244"/>
      <c r="AD100" s="244"/>
      <c r="AE100" s="244"/>
      <c r="AF100" s="244"/>
      <c r="AG100" s="244"/>
      <c r="AH100" s="244"/>
      <c r="AI100" s="244"/>
      <c r="AJ100" s="244"/>
      <c r="AK100" s="244"/>
      <c r="AL100" s="244"/>
      <c r="AM100" s="244"/>
      <c r="AN100" s="244"/>
      <c r="AO100" s="244"/>
      <c r="AP100" s="244"/>
      <c r="AQ100" s="244"/>
      <c r="AR100" s="244"/>
      <c r="AS100" s="244"/>
      <c r="AT100" s="244"/>
      <c r="AU100" s="244"/>
      <c r="AV100" s="161"/>
      <c r="AW100" s="161"/>
      <c r="AX100" s="243">
        <v>0</v>
      </c>
      <c r="AY100" s="161"/>
      <c r="AZ100" s="161"/>
      <c r="BA100" s="243">
        <v>0</v>
      </c>
      <c r="BB100" s="212">
        <f t="shared" si="10"/>
        <v>0</v>
      </c>
      <c r="BC100" s="256"/>
      <c r="BD100" s="162" t="e">
        <f t="shared" si="11"/>
        <v>#DIV/0!</v>
      </c>
      <c r="BE100" s="162" t="e">
        <f t="shared" si="12"/>
        <v>#DIV/0!</v>
      </c>
      <c r="BF100" s="243"/>
      <c r="BG100" s="243"/>
      <c r="BH100" s="243"/>
      <c r="BI100" s="257"/>
      <c r="BJ100" s="257"/>
      <c r="BK100" s="243"/>
      <c r="BL100" s="243"/>
      <c r="BM100" s="243"/>
      <c r="BN100" s="243"/>
      <c r="BO100" s="243"/>
      <c r="BP100" s="243"/>
      <c r="BQ100" s="243"/>
      <c r="BR100" s="243"/>
      <c r="BS100" s="243"/>
      <c r="BT100" s="243"/>
      <c r="BU100" s="243"/>
      <c r="BV100" s="243"/>
      <c r="BW100" s="243"/>
      <c r="BX100" s="243"/>
      <c r="BY100" s="243"/>
      <c r="BZ100" s="243"/>
      <c r="CA100" s="243"/>
      <c r="CB100" s="243"/>
      <c r="CC100" s="243"/>
      <c r="CD100" s="243"/>
      <c r="CE100" s="245">
        <v>0</v>
      </c>
      <c r="CF100" s="245">
        <v>0</v>
      </c>
      <c r="CG100" s="245">
        <v>1</v>
      </c>
      <c r="CH100" s="246">
        <v>0</v>
      </c>
      <c r="CI100" s="219" t="e">
        <f t="shared" si="13"/>
        <v>#DIV/0!</v>
      </c>
      <c r="CJ100" s="245">
        <v>1</v>
      </c>
      <c r="CK100" s="246">
        <v>0</v>
      </c>
      <c r="CL100" s="163" t="e">
        <f t="shared" si="14"/>
        <v>#DIV/0!</v>
      </c>
      <c r="CM100" s="245">
        <v>1</v>
      </c>
      <c r="CN100" s="246">
        <v>0</v>
      </c>
      <c r="CO100" s="163" t="e">
        <f t="shared" si="15"/>
        <v>#DIV/0!</v>
      </c>
      <c r="CP100" s="245">
        <v>1</v>
      </c>
      <c r="CQ100" s="246">
        <v>0</v>
      </c>
      <c r="CR100" s="163" t="e">
        <f t="shared" si="16"/>
        <v>#DIV/0!</v>
      </c>
      <c r="CS100" s="207" t="e">
        <f t="shared" si="17"/>
        <v>#DIV/0!</v>
      </c>
      <c r="CT100" s="258"/>
      <c r="CU100" s="258"/>
      <c r="CV100" s="258"/>
      <c r="CW100" s="258"/>
      <c r="CX100" s="258"/>
      <c r="CY100" s="258"/>
      <c r="CZ100" s="258"/>
      <c r="DA100" s="258"/>
      <c r="DB100" s="258"/>
      <c r="DC100" s="258"/>
    </row>
    <row r="101" spans="2:107">
      <c r="B101" s="205">
        <f>ANACO!B97</f>
        <v>0</v>
      </c>
      <c r="C101" s="204">
        <f>ANACO!C97</f>
        <v>0</v>
      </c>
      <c r="D101" s="165">
        <f>ANACO!H97</f>
        <v>0</v>
      </c>
      <c r="E101" s="165"/>
      <c r="F101" s="203">
        <f>ANACO!G97</f>
        <v>0</v>
      </c>
      <c r="G101" s="203">
        <f>ANACO!I97</f>
        <v>0</v>
      </c>
      <c r="H101" s="166">
        <f>ANACO!BS97</f>
        <v>0</v>
      </c>
      <c r="I101" s="172">
        <f>ANACO!BT97</f>
        <v>0</v>
      </c>
      <c r="J101" s="161"/>
      <c r="K101" s="161">
        <f t="shared" si="9"/>
        <v>0</v>
      </c>
      <c r="L101" s="244">
        <v>0</v>
      </c>
      <c r="M101" s="244"/>
      <c r="N101" s="244"/>
      <c r="O101" s="244"/>
      <c r="P101" s="244"/>
      <c r="Q101" s="244"/>
      <c r="R101" s="244"/>
      <c r="S101" s="244"/>
      <c r="T101" s="244"/>
      <c r="U101" s="244"/>
      <c r="V101" s="244"/>
      <c r="W101" s="244"/>
      <c r="X101" s="244"/>
      <c r="Y101" s="244"/>
      <c r="Z101" s="244"/>
      <c r="AA101" s="244"/>
      <c r="AB101" s="244"/>
      <c r="AC101" s="244"/>
      <c r="AD101" s="244"/>
      <c r="AE101" s="244"/>
      <c r="AF101" s="244"/>
      <c r="AG101" s="244"/>
      <c r="AH101" s="244"/>
      <c r="AI101" s="244"/>
      <c r="AJ101" s="244"/>
      <c r="AK101" s="244"/>
      <c r="AL101" s="244"/>
      <c r="AM101" s="244"/>
      <c r="AN101" s="244"/>
      <c r="AO101" s="244"/>
      <c r="AP101" s="244"/>
      <c r="AQ101" s="244"/>
      <c r="AR101" s="244"/>
      <c r="AS101" s="244"/>
      <c r="AT101" s="244"/>
      <c r="AU101" s="244"/>
      <c r="AV101" s="161"/>
      <c r="AW101" s="161"/>
      <c r="AX101" s="243">
        <v>0</v>
      </c>
      <c r="AY101" s="161"/>
      <c r="AZ101" s="161"/>
      <c r="BA101" s="243">
        <v>0</v>
      </c>
      <c r="BB101" s="212">
        <f t="shared" si="10"/>
        <v>0</v>
      </c>
      <c r="BC101" s="256"/>
      <c r="BD101" s="162" t="e">
        <f t="shared" si="11"/>
        <v>#DIV/0!</v>
      </c>
      <c r="BE101" s="162" t="e">
        <f t="shared" si="12"/>
        <v>#DIV/0!</v>
      </c>
      <c r="BF101" s="243"/>
      <c r="BG101" s="243"/>
      <c r="BH101" s="243"/>
      <c r="BI101" s="257"/>
      <c r="BJ101" s="257"/>
      <c r="BK101" s="243"/>
      <c r="BL101" s="243"/>
      <c r="BM101" s="243"/>
      <c r="BN101" s="243"/>
      <c r="BO101" s="243"/>
      <c r="BP101" s="243"/>
      <c r="BQ101" s="243"/>
      <c r="BR101" s="243"/>
      <c r="BS101" s="243"/>
      <c r="BT101" s="243"/>
      <c r="BU101" s="243"/>
      <c r="BV101" s="243"/>
      <c r="BW101" s="243"/>
      <c r="BX101" s="243"/>
      <c r="BY101" s="243"/>
      <c r="BZ101" s="243"/>
      <c r="CA101" s="243"/>
      <c r="CB101" s="243"/>
      <c r="CC101" s="243"/>
      <c r="CD101" s="243"/>
      <c r="CE101" s="245">
        <v>0</v>
      </c>
      <c r="CF101" s="245">
        <v>0</v>
      </c>
      <c r="CG101" s="245">
        <v>1</v>
      </c>
      <c r="CH101" s="246">
        <v>0</v>
      </c>
      <c r="CI101" s="219" t="e">
        <f t="shared" si="13"/>
        <v>#DIV/0!</v>
      </c>
      <c r="CJ101" s="245">
        <v>1</v>
      </c>
      <c r="CK101" s="246">
        <v>0</v>
      </c>
      <c r="CL101" s="163" t="e">
        <f t="shared" si="14"/>
        <v>#DIV/0!</v>
      </c>
      <c r="CM101" s="245">
        <v>1</v>
      </c>
      <c r="CN101" s="246">
        <v>0</v>
      </c>
      <c r="CO101" s="163" t="e">
        <f t="shared" si="15"/>
        <v>#DIV/0!</v>
      </c>
      <c r="CP101" s="245">
        <v>1</v>
      </c>
      <c r="CQ101" s="246">
        <v>0</v>
      </c>
      <c r="CR101" s="163" t="e">
        <f t="shared" si="16"/>
        <v>#DIV/0!</v>
      </c>
      <c r="CS101" s="207" t="e">
        <f t="shared" si="17"/>
        <v>#DIV/0!</v>
      </c>
      <c r="CT101" s="258"/>
      <c r="CU101" s="258"/>
      <c r="CV101" s="258"/>
      <c r="CW101" s="258"/>
      <c r="CX101" s="258"/>
      <c r="CY101" s="258"/>
      <c r="CZ101" s="258"/>
      <c r="DA101" s="258"/>
      <c r="DB101" s="258"/>
      <c r="DC101" s="258"/>
    </row>
    <row r="102" spans="2:107">
      <c r="B102" s="205">
        <f>ANACO!B98</f>
        <v>0</v>
      </c>
      <c r="C102" s="204">
        <f>ANACO!C98</f>
        <v>0</v>
      </c>
      <c r="D102" s="165">
        <f>ANACO!H98</f>
        <v>0</v>
      </c>
      <c r="E102" s="165"/>
      <c r="F102" s="203">
        <f>ANACO!G98</f>
        <v>0</v>
      </c>
      <c r="G102" s="203">
        <f>ANACO!I98</f>
        <v>0</v>
      </c>
      <c r="H102" s="166">
        <f>ANACO!BS98</f>
        <v>0</v>
      </c>
      <c r="I102" s="172">
        <f>ANACO!BT98</f>
        <v>0</v>
      </c>
      <c r="J102" s="161"/>
      <c r="K102" s="161">
        <f t="shared" si="9"/>
        <v>0</v>
      </c>
      <c r="L102" s="244">
        <v>0</v>
      </c>
      <c r="M102" s="244"/>
      <c r="N102" s="244"/>
      <c r="O102" s="244"/>
      <c r="P102" s="244"/>
      <c r="Q102" s="244"/>
      <c r="R102" s="244"/>
      <c r="S102" s="244"/>
      <c r="T102" s="244"/>
      <c r="U102" s="244"/>
      <c r="V102" s="244"/>
      <c r="W102" s="244"/>
      <c r="X102" s="244"/>
      <c r="Y102" s="244"/>
      <c r="Z102" s="244"/>
      <c r="AA102" s="244"/>
      <c r="AB102" s="244"/>
      <c r="AC102" s="244"/>
      <c r="AD102" s="244"/>
      <c r="AE102" s="244"/>
      <c r="AF102" s="244"/>
      <c r="AG102" s="244"/>
      <c r="AH102" s="244"/>
      <c r="AI102" s="244"/>
      <c r="AJ102" s="244"/>
      <c r="AK102" s="244"/>
      <c r="AL102" s="244"/>
      <c r="AM102" s="244"/>
      <c r="AN102" s="244"/>
      <c r="AO102" s="244"/>
      <c r="AP102" s="244"/>
      <c r="AQ102" s="244"/>
      <c r="AR102" s="244"/>
      <c r="AS102" s="244"/>
      <c r="AT102" s="244"/>
      <c r="AU102" s="244"/>
      <c r="AV102" s="161"/>
      <c r="AW102" s="161"/>
      <c r="AX102" s="243">
        <v>0</v>
      </c>
      <c r="AY102" s="161"/>
      <c r="AZ102" s="161"/>
      <c r="BA102" s="243">
        <v>0</v>
      </c>
      <c r="BB102" s="212">
        <f t="shared" si="10"/>
        <v>0</v>
      </c>
      <c r="BC102" s="256"/>
      <c r="BD102" s="162" t="e">
        <f t="shared" si="11"/>
        <v>#DIV/0!</v>
      </c>
      <c r="BE102" s="162" t="e">
        <f t="shared" si="12"/>
        <v>#DIV/0!</v>
      </c>
      <c r="BF102" s="243"/>
      <c r="BG102" s="243"/>
      <c r="BH102" s="243"/>
      <c r="BI102" s="257"/>
      <c r="BJ102" s="257"/>
      <c r="BK102" s="243"/>
      <c r="BL102" s="243"/>
      <c r="BM102" s="243"/>
      <c r="BN102" s="243"/>
      <c r="BO102" s="243"/>
      <c r="BP102" s="243"/>
      <c r="BQ102" s="243"/>
      <c r="BR102" s="243"/>
      <c r="BS102" s="243"/>
      <c r="BT102" s="243"/>
      <c r="BU102" s="243"/>
      <c r="BV102" s="243"/>
      <c r="BW102" s="243"/>
      <c r="BX102" s="243"/>
      <c r="BY102" s="243"/>
      <c r="BZ102" s="243"/>
      <c r="CA102" s="243"/>
      <c r="CB102" s="243"/>
      <c r="CC102" s="243"/>
      <c r="CD102" s="243"/>
      <c r="CE102" s="245">
        <v>0</v>
      </c>
      <c r="CF102" s="245">
        <v>0</v>
      </c>
      <c r="CG102" s="245">
        <v>1</v>
      </c>
      <c r="CH102" s="246">
        <v>0</v>
      </c>
      <c r="CI102" s="219" t="e">
        <f t="shared" si="13"/>
        <v>#DIV/0!</v>
      </c>
      <c r="CJ102" s="245">
        <v>1</v>
      </c>
      <c r="CK102" s="246">
        <v>0</v>
      </c>
      <c r="CL102" s="163" t="e">
        <f t="shared" si="14"/>
        <v>#DIV/0!</v>
      </c>
      <c r="CM102" s="245">
        <v>1</v>
      </c>
      <c r="CN102" s="246">
        <v>0</v>
      </c>
      <c r="CO102" s="163" t="e">
        <f t="shared" si="15"/>
        <v>#DIV/0!</v>
      </c>
      <c r="CP102" s="245">
        <v>1</v>
      </c>
      <c r="CQ102" s="246">
        <v>0</v>
      </c>
      <c r="CR102" s="163" t="e">
        <f t="shared" si="16"/>
        <v>#DIV/0!</v>
      </c>
      <c r="CS102" s="207" t="e">
        <f t="shared" si="17"/>
        <v>#DIV/0!</v>
      </c>
      <c r="CT102" s="258"/>
      <c r="CU102" s="258"/>
      <c r="CV102" s="258"/>
      <c r="CW102" s="258"/>
      <c r="CX102" s="258"/>
      <c r="CY102" s="258"/>
      <c r="CZ102" s="258"/>
      <c r="DA102" s="258"/>
      <c r="DB102" s="258"/>
      <c r="DC102" s="258"/>
    </row>
    <row r="103" spans="2:107">
      <c r="B103" s="205">
        <f>ANACO!B99</f>
        <v>0</v>
      </c>
      <c r="C103" s="204">
        <f>ANACO!C99</f>
        <v>0</v>
      </c>
      <c r="D103" s="165">
        <f>ANACO!H99</f>
        <v>0</v>
      </c>
      <c r="E103" s="165"/>
      <c r="F103" s="203">
        <f>ANACO!G99</f>
        <v>0</v>
      </c>
      <c r="G103" s="203">
        <f>ANACO!I99</f>
        <v>0</v>
      </c>
      <c r="H103" s="166">
        <f>ANACO!BS99</f>
        <v>0</v>
      </c>
      <c r="I103" s="172">
        <f>ANACO!BT99</f>
        <v>0</v>
      </c>
      <c r="J103" s="161"/>
      <c r="K103" s="161">
        <f t="shared" si="9"/>
        <v>0</v>
      </c>
      <c r="L103" s="244">
        <v>0</v>
      </c>
      <c r="M103" s="244"/>
      <c r="N103" s="244"/>
      <c r="O103" s="244"/>
      <c r="P103" s="244"/>
      <c r="Q103" s="244"/>
      <c r="R103" s="244"/>
      <c r="S103" s="244"/>
      <c r="T103" s="244"/>
      <c r="U103" s="244"/>
      <c r="V103" s="244"/>
      <c r="W103" s="244"/>
      <c r="X103" s="244"/>
      <c r="Y103" s="244"/>
      <c r="Z103" s="244"/>
      <c r="AA103" s="244"/>
      <c r="AB103" s="244"/>
      <c r="AC103" s="244"/>
      <c r="AD103" s="244"/>
      <c r="AE103" s="244"/>
      <c r="AF103" s="244"/>
      <c r="AG103" s="244"/>
      <c r="AH103" s="244"/>
      <c r="AI103" s="244"/>
      <c r="AJ103" s="244"/>
      <c r="AK103" s="244"/>
      <c r="AL103" s="244"/>
      <c r="AM103" s="244"/>
      <c r="AN103" s="244"/>
      <c r="AO103" s="244"/>
      <c r="AP103" s="244"/>
      <c r="AQ103" s="244"/>
      <c r="AR103" s="244"/>
      <c r="AS103" s="244"/>
      <c r="AT103" s="244"/>
      <c r="AU103" s="244"/>
      <c r="AV103" s="161"/>
      <c r="AW103" s="161"/>
      <c r="AX103" s="243">
        <v>0</v>
      </c>
      <c r="AY103" s="161"/>
      <c r="AZ103" s="161"/>
      <c r="BA103" s="243">
        <v>0</v>
      </c>
      <c r="BB103" s="212">
        <f t="shared" si="10"/>
        <v>0</v>
      </c>
      <c r="BC103" s="256"/>
      <c r="BD103" s="162" t="e">
        <f t="shared" si="11"/>
        <v>#DIV/0!</v>
      </c>
      <c r="BE103" s="162" t="e">
        <f t="shared" si="12"/>
        <v>#DIV/0!</v>
      </c>
      <c r="BF103" s="243"/>
      <c r="BG103" s="243"/>
      <c r="BH103" s="243"/>
      <c r="BI103" s="257"/>
      <c r="BJ103" s="257"/>
      <c r="BK103" s="243"/>
      <c r="BL103" s="243"/>
      <c r="BM103" s="243"/>
      <c r="BN103" s="243"/>
      <c r="BO103" s="243"/>
      <c r="BP103" s="243"/>
      <c r="BQ103" s="243"/>
      <c r="BR103" s="243"/>
      <c r="BS103" s="243"/>
      <c r="BT103" s="243"/>
      <c r="BU103" s="243"/>
      <c r="BV103" s="243"/>
      <c r="BW103" s="243"/>
      <c r="BX103" s="243"/>
      <c r="BY103" s="243"/>
      <c r="BZ103" s="243"/>
      <c r="CA103" s="243"/>
      <c r="CB103" s="243"/>
      <c r="CC103" s="243"/>
      <c r="CD103" s="243"/>
      <c r="CE103" s="245">
        <v>0</v>
      </c>
      <c r="CF103" s="245">
        <v>0</v>
      </c>
      <c r="CG103" s="245">
        <v>1</v>
      </c>
      <c r="CH103" s="246">
        <v>0</v>
      </c>
      <c r="CI103" s="219" t="e">
        <f t="shared" si="13"/>
        <v>#DIV/0!</v>
      </c>
      <c r="CJ103" s="245">
        <v>1</v>
      </c>
      <c r="CK103" s="246">
        <v>0</v>
      </c>
      <c r="CL103" s="163" t="e">
        <f t="shared" si="14"/>
        <v>#DIV/0!</v>
      </c>
      <c r="CM103" s="245">
        <v>1</v>
      </c>
      <c r="CN103" s="246">
        <v>0</v>
      </c>
      <c r="CO103" s="163" t="e">
        <f t="shared" si="15"/>
        <v>#DIV/0!</v>
      </c>
      <c r="CP103" s="245">
        <v>1</v>
      </c>
      <c r="CQ103" s="246">
        <v>0</v>
      </c>
      <c r="CR103" s="163" t="e">
        <f t="shared" si="16"/>
        <v>#DIV/0!</v>
      </c>
      <c r="CS103" s="207" t="e">
        <f t="shared" si="17"/>
        <v>#DIV/0!</v>
      </c>
      <c r="CT103" s="258"/>
      <c r="CU103" s="258"/>
      <c r="CV103" s="258"/>
      <c r="CW103" s="258"/>
      <c r="CX103" s="258"/>
      <c r="CY103" s="258"/>
      <c r="CZ103" s="258"/>
      <c r="DA103" s="258"/>
      <c r="DB103" s="258"/>
      <c r="DC103" s="258"/>
    </row>
    <row r="104" spans="2:107">
      <c r="B104" s="205">
        <f>ANACO!B100</f>
        <v>0</v>
      </c>
      <c r="C104" s="204">
        <f>ANACO!C100</f>
        <v>0</v>
      </c>
      <c r="D104" s="165">
        <f>ANACO!H100</f>
        <v>0</v>
      </c>
      <c r="E104" s="165"/>
      <c r="F104" s="203">
        <f>ANACO!G100</f>
        <v>0</v>
      </c>
      <c r="G104" s="203">
        <f>ANACO!I100</f>
        <v>0</v>
      </c>
      <c r="H104" s="166">
        <f>ANACO!BS100</f>
        <v>0</v>
      </c>
      <c r="I104" s="172">
        <f>ANACO!BT100</f>
        <v>0</v>
      </c>
      <c r="J104" s="161"/>
      <c r="K104" s="161">
        <f t="shared" si="9"/>
        <v>0</v>
      </c>
      <c r="L104" s="244">
        <v>0</v>
      </c>
      <c r="M104" s="244"/>
      <c r="N104" s="244"/>
      <c r="O104" s="244"/>
      <c r="P104" s="244"/>
      <c r="Q104" s="244"/>
      <c r="R104" s="244"/>
      <c r="S104" s="244"/>
      <c r="T104" s="244"/>
      <c r="U104" s="244"/>
      <c r="V104" s="244"/>
      <c r="W104" s="244"/>
      <c r="X104" s="244"/>
      <c r="Y104" s="244"/>
      <c r="Z104" s="244"/>
      <c r="AA104" s="244"/>
      <c r="AB104" s="244"/>
      <c r="AC104" s="244"/>
      <c r="AD104" s="244"/>
      <c r="AE104" s="244"/>
      <c r="AF104" s="244"/>
      <c r="AG104" s="244"/>
      <c r="AH104" s="244"/>
      <c r="AI104" s="244"/>
      <c r="AJ104" s="244"/>
      <c r="AK104" s="244"/>
      <c r="AL104" s="244"/>
      <c r="AM104" s="244"/>
      <c r="AN104" s="244"/>
      <c r="AO104" s="244"/>
      <c r="AP104" s="244"/>
      <c r="AQ104" s="244"/>
      <c r="AR104" s="244"/>
      <c r="AS104" s="244"/>
      <c r="AT104" s="244"/>
      <c r="AU104" s="244"/>
      <c r="AV104" s="161"/>
      <c r="AW104" s="161"/>
      <c r="AX104" s="243">
        <v>0</v>
      </c>
      <c r="AY104" s="161"/>
      <c r="AZ104" s="161"/>
      <c r="BA104" s="243">
        <v>0</v>
      </c>
      <c r="BB104" s="212">
        <f t="shared" si="10"/>
        <v>0</v>
      </c>
      <c r="BC104" s="256"/>
      <c r="BD104" s="162" t="e">
        <f t="shared" si="11"/>
        <v>#DIV/0!</v>
      </c>
      <c r="BE104" s="162" t="e">
        <f t="shared" si="12"/>
        <v>#DIV/0!</v>
      </c>
      <c r="BF104" s="243"/>
      <c r="BG104" s="243"/>
      <c r="BH104" s="243"/>
      <c r="BI104" s="257"/>
      <c r="BJ104" s="257"/>
      <c r="BK104" s="243"/>
      <c r="BL104" s="243"/>
      <c r="BM104" s="243"/>
      <c r="BN104" s="243"/>
      <c r="BO104" s="243"/>
      <c r="BP104" s="243"/>
      <c r="BQ104" s="243"/>
      <c r="BR104" s="243"/>
      <c r="BS104" s="243"/>
      <c r="BT104" s="243"/>
      <c r="BU104" s="243"/>
      <c r="BV104" s="243"/>
      <c r="BW104" s="243"/>
      <c r="BX104" s="243"/>
      <c r="BY104" s="243"/>
      <c r="BZ104" s="243"/>
      <c r="CA104" s="243"/>
      <c r="CB104" s="243"/>
      <c r="CC104" s="243"/>
      <c r="CD104" s="243"/>
      <c r="CE104" s="245">
        <v>0</v>
      </c>
      <c r="CF104" s="245">
        <v>0</v>
      </c>
      <c r="CG104" s="245">
        <v>1</v>
      </c>
      <c r="CH104" s="246">
        <v>0</v>
      </c>
      <c r="CI104" s="219" t="e">
        <f t="shared" si="13"/>
        <v>#DIV/0!</v>
      </c>
      <c r="CJ104" s="245">
        <v>1</v>
      </c>
      <c r="CK104" s="246">
        <v>0</v>
      </c>
      <c r="CL104" s="163" t="e">
        <f t="shared" si="14"/>
        <v>#DIV/0!</v>
      </c>
      <c r="CM104" s="245">
        <v>1</v>
      </c>
      <c r="CN104" s="246">
        <v>0</v>
      </c>
      <c r="CO104" s="163" t="e">
        <f t="shared" si="15"/>
        <v>#DIV/0!</v>
      </c>
      <c r="CP104" s="245">
        <v>1</v>
      </c>
      <c r="CQ104" s="246">
        <v>0</v>
      </c>
      <c r="CR104" s="163" t="e">
        <f t="shared" si="16"/>
        <v>#DIV/0!</v>
      </c>
      <c r="CS104" s="207" t="e">
        <f t="shared" si="17"/>
        <v>#DIV/0!</v>
      </c>
      <c r="CT104" s="258"/>
      <c r="CU104" s="258"/>
      <c r="CV104" s="258"/>
      <c r="CW104" s="258"/>
      <c r="CX104" s="258"/>
      <c r="CY104" s="258"/>
      <c r="CZ104" s="258"/>
      <c r="DA104" s="258"/>
      <c r="DB104" s="258"/>
      <c r="DC104" s="258"/>
    </row>
    <row r="105" spans="2:107">
      <c r="B105" s="205">
        <f>ANACO!B101</f>
        <v>0</v>
      </c>
      <c r="C105" s="204">
        <f>ANACO!C101</f>
        <v>0</v>
      </c>
      <c r="D105" s="165">
        <f>ANACO!H101</f>
        <v>0</v>
      </c>
      <c r="E105" s="165"/>
      <c r="F105" s="203">
        <f>ANACO!G101</f>
        <v>0</v>
      </c>
      <c r="G105" s="203">
        <f>ANACO!I101</f>
        <v>0</v>
      </c>
      <c r="H105" s="166">
        <f>ANACO!BS101</f>
        <v>0</v>
      </c>
      <c r="I105" s="172">
        <f>ANACO!BT101</f>
        <v>0</v>
      </c>
      <c r="J105" s="161"/>
      <c r="K105" s="161">
        <f t="shared" si="9"/>
        <v>0</v>
      </c>
      <c r="L105" s="244">
        <v>0</v>
      </c>
      <c r="M105" s="244"/>
      <c r="N105" s="244"/>
      <c r="O105" s="244"/>
      <c r="P105" s="244"/>
      <c r="Q105" s="244"/>
      <c r="R105" s="244"/>
      <c r="S105" s="244"/>
      <c r="T105" s="244"/>
      <c r="U105" s="244"/>
      <c r="V105" s="244"/>
      <c r="W105" s="244"/>
      <c r="X105" s="244"/>
      <c r="Y105" s="244"/>
      <c r="Z105" s="244"/>
      <c r="AA105" s="244"/>
      <c r="AB105" s="244"/>
      <c r="AC105" s="244"/>
      <c r="AD105" s="244"/>
      <c r="AE105" s="244"/>
      <c r="AF105" s="244"/>
      <c r="AG105" s="244"/>
      <c r="AH105" s="244"/>
      <c r="AI105" s="244"/>
      <c r="AJ105" s="244"/>
      <c r="AK105" s="244"/>
      <c r="AL105" s="244"/>
      <c r="AM105" s="244"/>
      <c r="AN105" s="244"/>
      <c r="AO105" s="244"/>
      <c r="AP105" s="244"/>
      <c r="AQ105" s="244"/>
      <c r="AR105" s="244"/>
      <c r="AS105" s="244"/>
      <c r="AT105" s="244"/>
      <c r="AU105" s="244"/>
      <c r="AV105" s="161"/>
      <c r="AW105" s="161"/>
      <c r="AX105" s="243">
        <v>0</v>
      </c>
      <c r="AY105" s="161"/>
      <c r="AZ105" s="161"/>
      <c r="BA105" s="243">
        <v>0</v>
      </c>
      <c r="BB105" s="212">
        <f t="shared" si="10"/>
        <v>0</v>
      </c>
      <c r="BC105" s="256"/>
      <c r="BD105" s="162" t="e">
        <f t="shared" si="11"/>
        <v>#DIV/0!</v>
      </c>
      <c r="BE105" s="162" t="e">
        <f t="shared" si="12"/>
        <v>#DIV/0!</v>
      </c>
      <c r="BF105" s="243"/>
      <c r="BG105" s="243"/>
      <c r="BH105" s="243"/>
      <c r="BI105" s="257"/>
      <c r="BJ105" s="257"/>
      <c r="BK105" s="243"/>
      <c r="BL105" s="243"/>
      <c r="BM105" s="243"/>
      <c r="BN105" s="243"/>
      <c r="BO105" s="243"/>
      <c r="BP105" s="243"/>
      <c r="BQ105" s="243"/>
      <c r="BR105" s="243"/>
      <c r="BS105" s="243"/>
      <c r="BT105" s="243"/>
      <c r="BU105" s="243"/>
      <c r="BV105" s="243"/>
      <c r="BW105" s="243"/>
      <c r="BX105" s="243"/>
      <c r="BY105" s="243"/>
      <c r="BZ105" s="243"/>
      <c r="CA105" s="243"/>
      <c r="CB105" s="243"/>
      <c r="CC105" s="243"/>
      <c r="CD105" s="243"/>
      <c r="CE105" s="245">
        <v>0</v>
      </c>
      <c r="CF105" s="245">
        <v>0</v>
      </c>
      <c r="CG105" s="245">
        <v>1</v>
      </c>
      <c r="CH105" s="246">
        <v>0</v>
      </c>
      <c r="CI105" s="219" t="e">
        <f t="shared" si="13"/>
        <v>#DIV/0!</v>
      </c>
      <c r="CJ105" s="245">
        <v>1</v>
      </c>
      <c r="CK105" s="246">
        <v>0</v>
      </c>
      <c r="CL105" s="163" t="e">
        <f t="shared" si="14"/>
        <v>#DIV/0!</v>
      </c>
      <c r="CM105" s="245">
        <v>1</v>
      </c>
      <c r="CN105" s="246">
        <v>0</v>
      </c>
      <c r="CO105" s="163" t="e">
        <f t="shared" si="15"/>
        <v>#DIV/0!</v>
      </c>
      <c r="CP105" s="245">
        <v>1</v>
      </c>
      <c r="CQ105" s="246">
        <v>0</v>
      </c>
      <c r="CR105" s="163" t="e">
        <f t="shared" si="16"/>
        <v>#DIV/0!</v>
      </c>
      <c r="CS105" s="207" t="e">
        <f t="shared" si="17"/>
        <v>#DIV/0!</v>
      </c>
      <c r="CT105" s="258"/>
      <c r="CU105" s="258"/>
      <c r="CV105" s="258"/>
      <c r="CW105" s="258"/>
      <c r="CX105" s="258"/>
      <c r="CY105" s="258"/>
      <c r="CZ105" s="258"/>
      <c r="DA105" s="258"/>
      <c r="DB105" s="258"/>
      <c r="DC105" s="258"/>
    </row>
    <row r="106" spans="2:107">
      <c r="B106" s="205">
        <f>ANACO!B102</f>
        <v>0</v>
      </c>
      <c r="C106" s="204">
        <f>ANACO!C102</f>
        <v>0</v>
      </c>
      <c r="D106" s="165">
        <f>ANACO!H102</f>
        <v>0</v>
      </c>
      <c r="E106" s="165"/>
      <c r="F106" s="203">
        <f>ANACO!G102</f>
        <v>0</v>
      </c>
      <c r="G106" s="203">
        <f>ANACO!I102</f>
        <v>0</v>
      </c>
      <c r="H106" s="166">
        <f>ANACO!BS102</f>
        <v>0</v>
      </c>
      <c r="I106" s="172">
        <f>ANACO!BT102</f>
        <v>0</v>
      </c>
      <c r="J106" s="161"/>
      <c r="K106" s="161">
        <f t="shared" si="9"/>
        <v>0</v>
      </c>
      <c r="L106" s="244">
        <v>0</v>
      </c>
      <c r="M106" s="244"/>
      <c r="N106" s="244"/>
      <c r="O106" s="244"/>
      <c r="P106" s="244"/>
      <c r="Q106" s="244"/>
      <c r="R106" s="244"/>
      <c r="S106" s="244"/>
      <c r="T106" s="244"/>
      <c r="U106" s="244"/>
      <c r="V106" s="244"/>
      <c r="W106" s="244"/>
      <c r="X106" s="244"/>
      <c r="Y106" s="244"/>
      <c r="Z106" s="244"/>
      <c r="AA106" s="244"/>
      <c r="AB106" s="244"/>
      <c r="AC106" s="244"/>
      <c r="AD106" s="244"/>
      <c r="AE106" s="244"/>
      <c r="AF106" s="244"/>
      <c r="AG106" s="244"/>
      <c r="AH106" s="244"/>
      <c r="AI106" s="244"/>
      <c r="AJ106" s="244"/>
      <c r="AK106" s="244"/>
      <c r="AL106" s="244"/>
      <c r="AM106" s="244"/>
      <c r="AN106" s="244"/>
      <c r="AO106" s="244"/>
      <c r="AP106" s="244"/>
      <c r="AQ106" s="244"/>
      <c r="AR106" s="244"/>
      <c r="AS106" s="244"/>
      <c r="AT106" s="244"/>
      <c r="AU106" s="244"/>
      <c r="AV106" s="161"/>
      <c r="AW106" s="161"/>
      <c r="AX106" s="243">
        <v>0</v>
      </c>
      <c r="AY106" s="161"/>
      <c r="AZ106" s="161"/>
      <c r="BA106" s="243">
        <v>0</v>
      </c>
      <c r="BB106" s="212">
        <f t="shared" si="10"/>
        <v>0</v>
      </c>
      <c r="BC106" s="256"/>
      <c r="BD106" s="162" t="e">
        <f t="shared" si="11"/>
        <v>#DIV/0!</v>
      </c>
      <c r="BE106" s="162" t="e">
        <f t="shared" si="12"/>
        <v>#DIV/0!</v>
      </c>
      <c r="BF106" s="243"/>
      <c r="BG106" s="243"/>
      <c r="BH106" s="243"/>
      <c r="BI106" s="257"/>
      <c r="BJ106" s="257"/>
      <c r="BK106" s="243"/>
      <c r="BL106" s="243"/>
      <c r="BM106" s="243"/>
      <c r="BN106" s="243"/>
      <c r="BO106" s="243"/>
      <c r="BP106" s="243"/>
      <c r="BQ106" s="243"/>
      <c r="BR106" s="243"/>
      <c r="BS106" s="243"/>
      <c r="BT106" s="243"/>
      <c r="BU106" s="243"/>
      <c r="BV106" s="243"/>
      <c r="BW106" s="243"/>
      <c r="BX106" s="243"/>
      <c r="BY106" s="243"/>
      <c r="BZ106" s="243"/>
      <c r="CA106" s="243"/>
      <c r="CB106" s="243"/>
      <c r="CC106" s="243"/>
      <c r="CD106" s="243"/>
      <c r="CE106" s="245">
        <v>0</v>
      </c>
      <c r="CF106" s="245">
        <v>0</v>
      </c>
      <c r="CG106" s="245">
        <v>1</v>
      </c>
      <c r="CH106" s="246">
        <v>0</v>
      </c>
      <c r="CI106" s="219" t="e">
        <f t="shared" si="13"/>
        <v>#DIV/0!</v>
      </c>
      <c r="CJ106" s="245">
        <v>1</v>
      </c>
      <c r="CK106" s="246">
        <v>0</v>
      </c>
      <c r="CL106" s="163" t="e">
        <f t="shared" si="14"/>
        <v>#DIV/0!</v>
      </c>
      <c r="CM106" s="245">
        <v>1</v>
      </c>
      <c r="CN106" s="246">
        <v>0</v>
      </c>
      <c r="CO106" s="163" t="e">
        <f t="shared" si="15"/>
        <v>#DIV/0!</v>
      </c>
      <c r="CP106" s="245">
        <v>1</v>
      </c>
      <c r="CQ106" s="246">
        <v>0</v>
      </c>
      <c r="CR106" s="163" t="e">
        <f t="shared" si="16"/>
        <v>#DIV/0!</v>
      </c>
      <c r="CS106" s="207" t="e">
        <f t="shared" si="17"/>
        <v>#DIV/0!</v>
      </c>
      <c r="CT106" s="258"/>
      <c r="CU106" s="258"/>
      <c r="CV106" s="258"/>
      <c r="CW106" s="258"/>
      <c r="CX106" s="258"/>
      <c r="CY106" s="258"/>
      <c r="CZ106" s="258"/>
      <c r="DA106" s="258"/>
      <c r="DB106" s="258"/>
      <c r="DC106" s="258"/>
    </row>
    <row r="107" spans="2:107">
      <c r="B107" s="205">
        <f>ANACO!B103</f>
        <v>0</v>
      </c>
      <c r="C107" s="204">
        <f>ANACO!C103</f>
        <v>0</v>
      </c>
      <c r="D107" s="165">
        <f>ANACO!H103</f>
        <v>0</v>
      </c>
      <c r="E107" s="165"/>
      <c r="F107" s="203">
        <f>ANACO!G103</f>
        <v>0</v>
      </c>
      <c r="G107" s="203">
        <f>ANACO!I103</f>
        <v>0</v>
      </c>
      <c r="H107" s="166">
        <f>ANACO!BS103</f>
        <v>0</v>
      </c>
      <c r="I107" s="172">
        <f>ANACO!BT103</f>
        <v>0</v>
      </c>
      <c r="J107" s="161"/>
      <c r="K107" s="161">
        <f t="shared" si="9"/>
        <v>0</v>
      </c>
      <c r="L107" s="244">
        <v>0</v>
      </c>
      <c r="M107" s="244"/>
      <c r="N107" s="244"/>
      <c r="O107" s="244"/>
      <c r="P107" s="244"/>
      <c r="Q107" s="244"/>
      <c r="R107" s="244"/>
      <c r="S107" s="244"/>
      <c r="T107" s="244"/>
      <c r="U107" s="244"/>
      <c r="V107" s="244"/>
      <c r="W107" s="244"/>
      <c r="X107" s="244"/>
      <c r="Y107" s="244"/>
      <c r="Z107" s="244"/>
      <c r="AA107" s="244"/>
      <c r="AB107" s="244"/>
      <c r="AC107" s="244"/>
      <c r="AD107" s="244"/>
      <c r="AE107" s="244"/>
      <c r="AF107" s="244"/>
      <c r="AG107" s="244"/>
      <c r="AH107" s="244"/>
      <c r="AI107" s="244"/>
      <c r="AJ107" s="244"/>
      <c r="AK107" s="244"/>
      <c r="AL107" s="244"/>
      <c r="AM107" s="244"/>
      <c r="AN107" s="244"/>
      <c r="AO107" s="244"/>
      <c r="AP107" s="244"/>
      <c r="AQ107" s="244"/>
      <c r="AR107" s="244"/>
      <c r="AS107" s="244"/>
      <c r="AT107" s="244"/>
      <c r="AU107" s="244"/>
      <c r="AV107" s="161"/>
      <c r="AW107" s="161"/>
      <c r="AX107" s="243">
        <v>0</v>
      </c>
      <c r="AY107" s="161"/>
      <c r="AZ107" s="161"/>
      <c r="BA107" s="243">
        <v>0</v>
      </c>
      <c r="BB107" s="212">
        <f t="shared" si="10"/>
        <v>0</v>
      </c>
      <c r="BC107" s="256"/>
      <c r="BD107" s="162" t="e">
        <f t="shared" si="11"/>
        <v>#DIV/0!</v>
      </c>
      <c r="BE107" s="162" t="e">
        <f t="shared" si="12"/>
        <v>#DIV/0!</v>
      </c>
      <c r="BF107" s="243"/>
      <c r="BG107" s="243"/>
      <c r="BH107" s="243"/>
      <c r="BI107" s="257"/>
      <c r="BJ107" s="257"/>
      <c r="BK107" s="243"/>
      <c r="BL107" s="243"/>
      <c r="BM107" s="243"/>
      <c r="BN107" s="243"/>
      <c r="BO107" s="243"/>
      <c r="BP107" s="243"/>
      <c r="BQ107" s="243"/>
      <c r="BR107" s="243"/>
      <c r="BS107" s="243"/>
      <c r="BT107" s="243"/>
      <c r="BU107" s="243"/>
      <c r="BV107" s="243"/>
      <c r="BW107" s="243"/>
      <c r="BX107" s="243"/>
      <c r="BY107" s="243"/>
      <c r="BZ107" s="243"/>
      <c r="CA107" s="243"/>
      <c r="CB107" s="243"/>
      <c r="CC107" s="243"/>
      <c r="CD107" s="243"/>
      <c r="CE107" s="245">
        <v>0</v>
      </c>
      <c r="CF107" s="245">
        <v>0</v>
      </c>
      <c r="CG107" s="245">
        <v>1</v>
      </c>
      <c r="CH107" s="246">
        <v>0</v>
      </c>
      <c r="CI107" s="219" t="e">
        <f t="shared" si="13"/>
        <v>#DIV/0!</v>
      </c>
      <c r="CJ107" s="245">
        <v>1</v>
      </c>
      <c r="CK107" s="246">
        <v>0</v>
      </c>
      <c r="CL107" s="163" t="e">
        <f t="shared" si="14"/>
        <v>#DIV/0!</v>
      </c>
      <c r="CM107" s="245">
        <v>1</v>
      </c>
      <c r="CN107" s="246">
        <v>0</v>
      </c>
      <c r="CO107" s="163" t="e">
        <f t="shared" si="15"/>
        <v>#DIV/0!</v>
      </c>
      <c r="CP107" s="245">
        <v>1</v>
      </c>
      <c r="CQ107" s="246">
        <v>0</v>
      </c>
      <c r="CR107" s="163" t="e">
        <f t="shared" si="16"/>
        <v>#DIV/0!</v>
      </c>
      <c r="CS107" s="207" t="e">
        <f t="shared" si="17"/>
        <v>#DIV/0!</v>
      </c>
      <c r="CT107" s="258"/>
      <c r="CU107" s="258"/>
      <c r="CV107" s="258"/>
      <c r="CW107" s="258"/>
      <c r="CX107" s="258"/>
      <c r="CY107" s="258"/>
      <c r="CZ107" s="258"/>
      <c r="DA107" s="258"/>
      <c r="DB107" s="258"/>
      <c r="DC107" s="258"/>
    </row>
    <row r="108" spans="2:107">
      <c r="B108" s="205">
        <f>ANACO!B104</f>
        <v>0</v>
      </c>
      <c r="C108" s="204">
        <f>ANACO!C104</f>
        <v>0</v>
      </c>
      <c r="D108" s="165">
        <f>ANACO!H104</f>
        <v>0</v>
      </c>
      <c r="E108" s="165"/>
      <c r="F108" s="203">
        <f>ANACO!G104</f>
        <v>0</v>
      </c>
      <c r="G108" s="203">
        <f>ANACO!I104</f>
        <v>0</v>
      </c>
      <c r="H108" s="166">
        <f>ANACO!BS104</f>
        <v>0</v>
      </c>
      <c r="I108" s="172">
        <f>ANACO!BT104</f>
        <v>0</v>
      </c>
      <c r="J108" s="161"/>
      <c r="K108" s="161">
        <f t="shared" si="9"/>
        <v>0</v>
      </c>
      <c r="L108" s="244">
        <v>0</v>
      </c>
      <c r="M108" s="244"/>
      <c r="N108" s="244"/>
      <c r="O108" s="244"/>
      <c r="P108" s="244"/>
      <c r="Q108" s="244"/>
      <c r="R108" s="244"/>
      <c r="S108" s="244"/>
      <c r="T108" s="244"/>
      <c r="U108" s="244"/>
      <c r="V108" s="244"/>
      <c r="W108" s="244"/>
      <c r="X108" s="244"/>
      <c r="Y108" s="244"/>
      <c r="Z108" s="244"/>
      <c r="AA108" s="244"/>
      <c r="AB108" s="244"/>
      <c r="AC108" s="244"/>
      <c r="AD108" s="244"/>
      <c r="AE108" s="244"/>
      <c r="AF108" s="244"/>
      <c r="AG108" s="244"/>
      <c r="AH108" s="244"/>
      <c r="AI108" s="244"/>
      <c r="AJ108" s="244"/>
      <c r="AK108" s="244"/>
      <c r="AL108" s="244"/>
      <c r="AM108" s="244"/>
      <c r="AN108" s="244"/>
      <c r="AO108" s="244"/>
      <c r="AP108" s="244"/>
      <c r="AQ108" s="244"/>
      <c r="AR108" s="244"/>
      <c r="AS108" s="244"/>
      <c r="AT108" s="244"/>
      <c r="AU108" s="244"/>
      <c r="AV108" s="161"/>
      <c r="AW108" s="161"/>
      <c r="AX108" s="243">
        <v>0</v>
      </c>
      <c r="AY108" s="161"/>
      <c r="AZ108" s="161"/>
      <c r="BA108" s="243">
        <v>0</v>
      </c>
      <c r="BB108" s="212">
        <f t="shared" si="10"/>
        <v>0</v>
      </c>
      <c r="BC108" s="256"/>
      <c r="BD108" s="162" t="e">
        <f t="shared" si="11"/>
        <v>#DIV/0!</v>
      </c>
      <c r="BE108" s="162" t="e">
        <f t="shared" si="12"/>
        <v>#DIV/0!</v>
      </c>
      <c r="BF108" s="243"/>
      <c r="BG108" s="243"/>
      <c r="BH108" s="243"/>
      <c r="BI108" s="257"/>
      <c r="BJ108" s="257"/>
      <c r="BK108" s="243"/>
      <c r="BL108" s="243"/>
      <c r="BM108" s="243"/>
      <c r="BN108" s="243"/>
      <c r="BO108" s="243"/>
      <c r="BP108" s="243"/>
      <c r="BQ108" s="243"/>
      <c r="BR108" s="243"/>
      <c r="BS108" s="243"/>
      <c r="BT108" s="243"/>
      <c r="BU108" s="243"/>
      <c r="BV108" s="243"/>
      <c r="BW108" s="243"/>
      <c r="BX108" s="243"/>
      <c r="BY108" s="243"/>
      <c r="BZ108" s="243"/>
      <c r="CA108" s="243"/>
      <c r="CB108" s="243"/>
      <c r="CC108" s="243"/>
      <c r="CD108" s="243"/>
      <c r="CE108" s="245">
        <v>0</v>
      </c>
      <c r="CF108" s="245">
        <v>0</v>
      </c>
      <c r="CG108" s="245">
        <v>1</v>
      </c>
      <c r="CH108" s="246">
        <v>0</v>
      </c>
      <c r="CI108" s="219" t="e">
        <f t="shared" si="13"/>
        <v>#DIV/0!</v>
      </c>
      <c r="CJ108" s="245">
        <v>1</v>
      </c>
      <c r="CK108" s="246">
        <v>0</v>
      </c>
      <c r="CL108" s="163" t="e">
        <f t="shared" si="14"/>
        <v>#DIV/0!</v>
      </c>
      <c r="CM108" s="245">
        <v>1</v>
      </c>
      <c r="CN108" s="246">
        <v>0</v>
      </c>
      <c r="CO108" s="163" t="e">
        <f t="shared" si="15"/>
        <v>#DIV/0!</v>
      </c>
      <c r="CP108" s="245">
        <v>1</v>
      </c>
      <c r="CQ108" s="246">
        <v>0</v>
      </c>
      <c r="CR108" s="163" t="e">
        <f t="shared" si="16"/>
        <v>#DIV/0!</v>
      </c>
      <c r="CS108" s="207" t="e">
        <f t="shared" si="17"/>
        <v>#DIV/0!</v>
      </c>
      <c r="CT108" s="258"/>
      <c r="CU108" s="258"/>
      <c r="CV108" s="258"/>
      <c r="CW108" s="258"/>
      <c r="CX108" s="258"/>
      <c r="CY108" s="258"/>
      <c r="CZ108" s="258"/>
      <c r="DA108" s="258"/>
      <c r="DB108" s="258"/>
      <c r="DC108" s="258"/>
    </row>
    <row r="109" spans="2:107">
      <c r="B109" s="205">
        <f>ANACO!B105</f>
        <v>0</v>
      </c>
      <c r="C109" s="204">
        <f>ANACO!C105</f>
        <v>0</v>
      </c>
      <c r="D109" s="165">
        <f>ANACO!H105</f>
        <v>0</v>
      </c>
      <c r="E109" s="165"/>
      <c r="F109" s="203">
        <f>ANACO!G105</f>
        <v>0</v>
      </c>
      <c r="G109" s="203">
        <f>ANACO!I105</f>
        <v>0</v>
      </c>
      <c r="H109" s="166">
        <f>ANACO!BS105</f>
        <v>0</v>
      </c>
      <c r="I109" s="172">
        <f>ANACO!BT105</f>
        <v>0</v>
      </c>
      <c r="J109" s="161"/>
      <c r="K109" s="161">
        <f t="shared" si="9"/>
        <v>0</v>
      </c>
      <c r="L109" s="244">
        <v>0</v>
      </c>
      <c r="M109" s="244"/>
      <c r="N109" s="244"/>
      <c r="O109" s="244"/>
      <c r="P109" s="244"/>
      <c r="Q109" s="244"/>
      <c r="R109" s="244"/>
      <c r="S109" s="244"/>
      <c r="T109" s="244"/>
      <c r="U109" s="244"/>
      <c r="V109" s="244"/>
      <c r="W109" s="244"/>
      <c r="X109" s="244"/>
      <c r="Y109" s="244"/>
      <c r="Z109" s="244"/>
      <c r="AA109" s="244"/>
      <c r="AB109" s="244"/>
      <c r="AC109" s="244"/>
      <c r="AD109" s="244"/>
      <c r="AE109" s="244"/>
      <c r="AF109" s="244"/>
      <c r="AG109" s="244"/>
      <c r="AH109" s="244"/>
      <c r="AI109" s="244"/>
      <c r="AJ109" s="244"/>
      <c r="AK109" s="244"/>
      <c r="AL109" s="244"/>
      <c r="AM109" s="244"/>
      <c r="AN109" s="244"/>
      <c r="AO109" s="244"/>
      <c r="AP109" s="244"/>
      <c r="AQ109" s="244"/>
      <c r="AR109" s="244"/>
      <c r="AS109" s="244"/>
      <c r="AT109" s="244"/>
      <c r="AU109" s="244"/>
      <c r="AV109" s="161"/>
      <c r="AW109" s="161"/>
      <c r="AX109" s="243">
        <v>0</v>
      </c>
      <c r="AY109" s="161"/>
      <c r="AZ109" s="161"/>
      <c r="BA109" s="243">
        <v>0</v>
      </c>
      <c r="BB109" s="212">
        <f t="shared" si="10"/>
        <v>0</v>
      </c>
      <c r="BC109" s="256"/>
      <c r="BD109" s="162" t="e">
        <f t="shared" si="11"/>
        <v>#DIV/0!</v>
      </c>
      <c r="BE109" s="162" t="e">
        <f t="shared" si="12"/>
        <v>#DIV/0!</v>
      </c>
      <c r="BF109" s="243"/>
      <c r="BG109" s="243"/>
      <c r="BH109" s="243"/>
      <c r="BI109" s="257"/>
      <c r="BJ109" s="257"/>
      <c r="BK109" s="243"/>
      <c r="BL109" s="243"/>
      <c r="BM109" s="243"/>
      <c r="BN109" s="243"/>
      <c r="BO109" s="243"/>
      <c r="BP109" s="243"/>
      <c r="BQ109" s="243"/>
      <c r="BR109" s="243"/>
      <c r="BS109" s="243"/>
      <c r="BT109" s="243"/>
      <c r="BU109" s="243"/>
      <c r="BV109" s="243"/>
      <c r="BW109" s="243"/>
      <c r="BX109" s="243"/>
      <c r="BY109" s="243"/>
      <c r="BZ109" s="243"/>
      <c r="CA109" s="243"/>
      <c r="CB109" s="243"/>
      <c r="CC109" s="243"/>
      <c r="CD109" s="243"/>
      <c r="CE109" s="245">
        <v>0</v>
      </c>
      <c r="CF109" s="245">
        <v>0</v>
      </c>
      <c r="CG109" s="245">
        <v>1</v>
      </c>
      <c r="CH109" s="246">
        <v>0</v>
      </c>
      <c r="CI109" s="219" t="e">
        <f t="shared" si="13"/>
        <v>#DIV/0!</v>
      </c>
      <c r="CJ109" s="245">
        <v>1</v>
      </c>
      <c r="CK109" s="246">
        <v>0</v>
      </c>
      <c r="CL109" s="163" t="e">
        <f t="shared" si="14"/>
        <v>#DIV/0!</v>
      </c>
      <c r="CM109" s="245">
        <v>1</v>
      </c>
      <c r="CN109" s="246">
        <v>0</v>
      </c>
      <c r="CO109" s="163" t="e">
        <f t="shared" si="15"/>
        <v>#DIV/0!</v>
      </c>
      <c r="CP109" s="245">
        <v>1</v>
      </c>
      <c r="CQ109" s="246">
        <v>0</v>
      </c>
      <c r="CR109" s="163" t="e">
        <f t="shared" si="16"/>
        <v>#DIV/0!</v>
      </c>
      <c r="CS109" s="207" t="e">
        <f t="shared" si="17"/>
        <v>#DIV/0!</v>
      </c>
      <c r="CT109" s="258"/>
      <c r="CU109" s="258"/>
      <c r="CV109" s="258"/>
      <c r="CW109" s="258"/>
      <c r="CX109" s="258"/>
      <c r="CY109" s="258"/>
      <c r="CZ109" s="258"/>
      <c r="DA109" s="258"/>
      <c r="DB109" s="258"/>
      <c r="DC109" s="258"/>
    </row>
    <row r="110" spans="2:107">
      <c r="B110" s="205">
        <f>ANACO!B106</f>
        <v>0</v>
      </c>
      <c r="C110" s="204">
        <f>ANACO!C106</f>
        <v>0</v>
      </c>
      <c r="D110" s="165">
        <f>ANACO!H106</f>
        <v>0</v>
      </c>
      <c r="E110" s="165"/>
      <c r="F110" s="203">
        <f>ANACO!G106</f>
        <v>0</v>
      </c>
      <c r="G110" s="203">
        <f>ANACO!I106</f>
        <v>0</v>
      </c>
      <c r="H110" s="166">
        <f>ANACO!BS106</f>
        <v>0</v>
      </c>
      <c r="I110" s="172">
        <f>ANACO!BT106</f>
        <v>0</v>
      </c>
      <c r="J110" s="161"/>
      <c r="K110" s="161">
        <f t="shared" si="9"/>
        <v>0</v>
      </c>
      <c r="L110" s="244">
        <v>0</v>
      </c>
      <c r="M110" s="244"/>
      <c r="N110" s="244"/>
      <c r="O110" s="244"/>
      <c r="P110" s="244"/>
      <c r="Q110" s="244"/>
      <c r="R110" s="244"/>
      <c r="S110" s="244"/>
      <c r="T110" s="244"/>
      <c r="U110" s="244"/>
      <c r="V110" s="244"/>
      <c r="W110" s="244"/>
      <c r="X110" s="244"/>
      <c r="Y110" s="244"/>
      <c r="Z110" s="244"/>
      <c r="AA110" s="244"/>
      <c r="AB110" s="244"/>
      <c r="AC110" s="244"/>
      <c r="AD110" s="244"/>
      <c r="AE110" s="244"/>
      <c r="AF110" s="244"/>
      <c r="AG110" s="244"/>
      <c r="AH110" s="244"/>
      <c r="AI110" s="244"/>
      <c r="AJ110" s="244"/>
      <c r="AK110" s="244"/>
      <c r="AL110" s="244"/>
      <c r="AM110" s="244"/>
      <c r="AN110" s="244"/>
      <c r="AO110" s="244"/>
      <c r="AP110" s="244"/>
      <c r="AQ110" s="244"/>
      <c r="AR110" s="244"/>
      <c r="AS110" s="244"/>
      <c r="AT110" s="244"/>
      <c r="AU110" s="244"/>
      <c r="AV110" s="161"/>
      <c r="AW110" s="161"/>
      <c r="AX110" s="243">
        <v>0</v>
      </c>
      <c r="AY110" s="161"/>
      <c r="AZ110" s="161"/>
      <c r="BA110" s="243">
        <v>0</v>
      </c>
      <c r="BB110" s="212">
        <f t="shared" si="10"/>
        <v>0</v>
      </c>
      <c r="BC110" s="256"/>
      <c r="BD110" s="162" t="e">
        <f t="shared" si="11"/>
        <v>#DIV/0!</v>
      </c>
      <c r="BE110" s="162" t="e">
        <f t="shared" si="12"/>
        <v>#DIV/0!</v>
      </c>
      <c r="BF110" s="243"/>
      <c r="BG110" s="243"/>
      <c r="BH110" s="243"/>
      <c r="BI110" s="257"/>
      <c r="BJ110" s="257"/>
      <c r="BK110" s="243"/>
      <c r="BL110" s="243"/>
      <c r="BM110" s="243"/>
      <c r="BN110" s="243"/>
      <c r="BO110" s="243"/>
      <c r="BP110" s="243"/>
      <c r="BQ110" s="243"/>
      <c r="BR110" s="243"/>
      <c r="BS110" s="243"/>
      <c r="BT110" s="243"/>
      <c r="BU110" s="243"/>
      <c r="BV110" s="243"/>
      <c r="BW110" s="243"/>
      <c r="BX110" s="243"/>
      <c r="BY110" s="243"/>
      <c r="BZ110" s="243"/>
      <c r="CA110" s="243"/>
      <c r="CB110" s="243"/>
      <c r="CC110" s="243"/>
      <c r="CD110" s="243"/>
      <c r="CE110" s="245">
        <v>0</v>
      </c>
      <c r="CF110" s="245">
        <v>0</v>
      </c>
      <c r="CG110" s="245">
        <v>1</v>
      </c>
      <c r="CH110" s="246">
        <v>0</v>
      </c>
      <c r="CI110" s="219" t="e">
        <f t="shared" si="13"/>
        <v>#DIV/0!</v>
      </c>
      <c r="CJ110" s="245">
        <v>1</v>
      </c>
      <c r="CK110" s="246">
        <v>0</v>
      </c>
      <c r="CL110" s="163" t="e">
        <f t="shared" si="14"/>
        <v>#DIV/0!</v>
      </c>
      <c r="CM110" s="245">
        <v>1</v>
      </c>
      <c r="CN110" s="246">
        <v>0</v>
      </c>
      <c r="CO110" s="163" t="e">
        <f t="shared" si="15"/>
        <v>#DIV/0!</v>
      </c>
      <c r="CP110" s="245">
        <v>1</v>
      </c>
      <c r="CQ110" s="246">
        <v>0</v>
      </c>
      <c r="CR110" s="163" t="e">
        <f t="shared" si="16"/>
        <v>#DIV/0!</v>
      </c>
      <c r="CS110" s="207" t="e">
        <f t="shared" si="17"/>
        <v>#DIV/0!</v>
      </c>
      <c r="CT110" s="258"/>
      <c r="CU110" s="258"/>
      <c r="CV110" s="258"/>
      <c r="CW110" s="258"/>
      <c r="CX110" s="258"/>
      <c r="CY110" s="258"/>
      <c r="CZ110" s="258"/>
      <c r="DA110" s="258"/>
      <c r="DB110" s="258"/>
      <c r="DC110" s="258"/>
    </row>
    <row r="111" spans="2:107">
      <c r="B111" s="205">
        <f>ANACO!B107</f>
        <v>0</v>
      </c>
      <c r="C111" s="204">
        <f>ANACO!C107</f>
        <v>0</v>
      </c>
      <c r="D111" s="165">
        <f>ANACO!H107</f>
        <v>0</v>
      </c>
      <c r="E111" s="165"/>
      <c r="F111" s="203">
        <f>ANACO!G107</f>
        <v>0</v>
      </c>
      <c r="G111" s="203">
        <f>ANACO!I107</f>
        <v>0</v>
      </c>
      <c r="H111" s="166">
        <f>ANACO!BS107</f>
        <v>0</v>
      </c>
      <c r="I111" s="172">
        <f>ANACO!BT107</f>
        <v>0</v>
      </c>
      <c r="J111" s="161"/>
      <c r="K111" s="161">
        <f t="shared" si="9"/>
        <v>0</v>
      </c>
      <c r="L111" s="244">
        <v>0</v>
      </c>
      <c r="M111" s="244"/>
      <c r="N111" s="244"/>
      <c r="O111" s="244"/>
      <c r="P111" s="244"/>
      <c r="Q111" s="244"/>
      <c r="R111" s="244"/>
      <c r="S111" s="244"/>
      <c r="T111" s="244"/>
      <c r="U111" s="244"/>
      <c r="V111" s="244"/>
      <c r="W111" s="244"/>
      <c r="X111" s="244"/>
      <c r="Y111" s="244"/>
      <c r="Z111" s="244"/>
      <c r="AA111" s="244"/>
      <c r="AB111" s="244"/>
      <c r="AC111" s="244"/>
      <c r="AD111" s="244"/>
      <c r="AE111" s="244"/>
      <c r="AF111" s="244"/>
      <c r="AG111" s="244"/>
      <c r="AH111" s="244"/>
      <c r="AI111" s="244"/>
      <c r="AJ111" s="244"/>
      <c r="AK111" s="244"/>
      <c r="AL111" s="244"/>
      <c r="AM111" s="244"/>
      <c r="AN111" s="244"/>
      <c r="AO111" s="244"/>
      <c r="AP111" s="244"/>
      <c r="AQ111" s="244"/>
      <c r="AR111" s="244"/>
      <c r="AS111" s="244"/>
      <c r="AT111" s="244"/>
      <c r="AU111" s="244"/>
      <c r="AV111" s="161"/>
      <c r="AW111" s="161"/>
      <c r="AX111" s="243">
        <v>0</v>
      </c>
      <c r="AY111" s="161"/>
      <c r="AZ111" s="161"/>
      <c r="BA111" s="243">
        <v>0</v>
      </c>
      <c r="BB111" s="212">
        <f t="shared" si="10"/>
        <v>0</v>
      </c>
      <c r="BC111" s="256"/>
      <c r="BD111" s="162" t="e">
        <f t="shared" si="11"/>
        <v>#DIV/0!</v>
      </c>
      <c r="BE111" s="162" t="e">
        <f t="shared" si="12"/>
        <v>#DIV/0!</v>
      </c>
      <c r="BF111" s="243"/>
      <c r="BG111" s="243"/>
      <c r="BH111" s="243"/>
      <c r="BI111" s="257"/>
      <c r="BJ111" s="257"/>
      <c r="BK111" s="243"/>
      <c r="BL111" s="243"/>
      <c r="BM111" s="243"/>
      <c r="BN111" s="243"/>
      <c r="BO111" s="243"/>
      <c r="BP111" s="243"/>
      <c r="BQ111" s="243"/>
      <c r="BR111" s="243"/>
      <c r="BS111" s="243"/>
      <c r="BT111" s="243"/>
      <c r="BU111" s="243"/>
      <c r="BV111" s="243"/>
      <c r="BW111" s="243"/>
      <c r="BX111" s="243"/>
      <c r="BY111" s="243"/>
      <c r="BZ111" s="243"/>
      <c r="CA111" s="243"/>
      <c r="CB111" s="243"/>
      <c r="CC111" s="243"/>
      <c r="CD111" s="243"/>
      <c r="CE111" s="245">
        <v>0</v>
      </c>
      <c r="CF111" s="245">
        <v>0</v>
      </c>
      <c r="CG111" s="245">
        <v>1</v>
      </c>
      <c r="CH111" s="246">
        <v>0</v>
      </c>
      <c r="CI111" s="219" t="e">
        <f t="shared" si="13"/>
        <v>#DIV/0!</v>
      </c>
      <c r="CJ111" s="245">
        <v>1</v>
      </c>
      <c r="CK111" s="246">
        <v>0</v>
      </c>
      <c r="CL111" s="163" t="e">
        <f t="shared" si="14"/>
        <v>#DIV/0!</v>
      </c>
      <c r="CM111" s="245">
        <v>1</v>
      </c>
      <c r="CN111" s="246">
        <v>0</v>
      </c>
      <c r="CO111" s="163" t="e">
        <f t="shared" si="15"/>
        <v>#DIV/0!</v>
      </c>
      <c r="CP111" s="245">
        <v>1</v>
      </c>
      <c r="CQ111" s="246">
        <v>0</v>
      </c>
      <c r="CR111" s="163" t="e">
        <f t="shared" si="16"/>
        <v>#DIV/0!</v>
      </c>
      <c r="CS111" s="207" t="e">
        <f t="shared" si="17"/>
        <v>#DIV/0!</v>
      </c>
      <c r="CT111" s="258"/>
      <c r="CU111" s="258"/>
      <c r="CV111" s="258"/>
      <c r="CW111" s="258"/>
      <c r="CX111" s="258"/>
      <c r="CY111" s="258"/>
      <c r="CZ111" s="258"/>
      <c r="DA111" s="258"/>
      <c r="DB111" s="258"/>
      <c r="DC111" s="258"/>
    </row>
    <row r="112" spans="2:107">
      <c r="B112" s="205">
        <f>ANACO!B108</f>
        <v>0</v>
      </c>
      <c r="C112" s="204">
        <f>ANACO!C108</f>
        <v>0</v>
      </c>
      <c r="D112" s="165">
        <f>ANACO!H108</f>
        <v>0</v>
      </c>
      <c r="E112" s="165"/>
      <c r="F112" s="203">
        <f>ANACO!G108</f>
        <v>0</v>
      </c>
      <c r="G112" s="203">
        <f>ANACO!I108</f>
        <v>0</v>
      </c>
      <c r="H112" s="166">
        <f>ANACO!BS108</f>
        <v>0</v>
      </c>
      <c r="I112" s="172">
        <f>ANACO!BT108</f>
        <v>0</v>
      </c>
      <c r="J112" s="161"/>
      <c r="K112" s="161">
        <f t="shared" si="9"/>
        <v>0</v>
      </c>
      <c r="L112" s="244">
        <v>0</v>
      </c>
      <c r="M112" s="244"/>
      <c r="N112" s="244"/>
      <c r="O112" s="244"/>
      <c r="P112" s="244"/>
      <c r="Q112" s="244"/>
      <c r="R112" s="244"/>
      <c r="S112" s="244"/>
      <c r="T112" s="244"/>
      <c r="U112" s="244"/>
      <c r="V112" s="244"/>
      <c r="W112" s="244"/>
      <c r="X112" s="244"/>
      <c r="Y112" s="244"/>
      <c r="Z112" s="244"/>
      <c r="AA112" s="244"/>
      <c r="AB112" s="244"/>
      <c r="AC112" s="244"/>
      <c r="AD112" s="244"/>
      <c r="AE112" s="244"/>
      <c r="AF112" s="244"/>
      <c r="AG112" s="244"/>
      <c r="AH112" s="244"/>
      <c r="AI112" s="244"/>
      <c r="AJ112" s="244"/>
      <c r="AK112" s="244"/>
      <c r="AL112" s="244"/>
      <c r="AM112" s="244"/>
      <c r="AN112" s="244"/>
      <c r="AO112" s="244"/>
      <c r="AP112" s="244"/>
      <c r="AQ112" s="244"/>
      <c r="AR112" s="244"/>
      <c r="AS112" s="244"/>
      <c r="AT112" s="244"/>
      <c r="AU112" s="244"/>
      <c r="AV112" s="161"/>
      <c r="AW112" s="161"/>
      <c r="AX112" s="243">
        <v>0</v>
      </c>
      <c r="AY112" s="161"/>
      <c r="AZ112" s="161"/>
      <c r="BA112" s="243">
        <v>0</v>
      </c>
      <c r="BB112" s="212">
        <f t="shared" si="10"/>
        <v>0</v>
      </c>
      <c r="BC112" s="256"/>
      <c r="BD112" s="162" t="e">
        <f t="shared" si="11"/>
        <v>#DIV/0!</v>
      </c>
      <c r="BE112" s="162" t="e">
        <f t="shared" si="12"/>
        <v>#DIV/0!</v>
      </c>
      <c r="BF112" s="243"/>
      <c r="BG112" s="243"/>
      <c r="BH112" s="243"/>
      <c r="BI112" s="257"/>
      <c r="BJ112" s="257"/>
      <c r="BK112" s="243"/>
      <c r="BL112" s="243"/>
      <c r="BM112" s="243"/>
      <c r="BN112" s="243"/>
      <c r="BO112" s="243"/>
      <c r="BP112" s="243"/>
      <c r="BQ112" s="243"/>
      <c r="BR112" s="243"/>
      <c r="BS112" s="243"/>
      <c r="BT112" s="243"/>
      <c r="BU112" s="243"/>
      <c r="BV112" s="243"/>
      <c r="BW112" s="243"/>
      <c r="BX112" s="243"/>
      <c r="BY112" s="243"/>
      <c r="BZ112" s="243"/>
      <c r="CA112" s="243"/>
      <c r="CB112" s="243"/>
      <c r="CC112" s="243"/>
      <c r="CD112" s="243"/>
      <c r="CE112" s="245">
        <v>0</v>
      </c>
      <c r="CF112" s="245">
        <v>0</v>
      </c>
      <c r="CG112" s="245">
        <v>1</v>
      </c>
      <c r="CH112" s="246">
        <v>0</v>
      </c>
      <c r="CI112" s="219" t="e">
        <f t="shared" si="13"/>
        <v>#DIV/0!</v>
      </c>
      <c r="CJ112" s="245">
        <v>1</v>
      </c>
      <c r="CK112" s="246">
        <v>0</v>
      </c>
      <c r="CL112" s="163" t="e">
        <f t="shared" si="14"/>
        <v>#DIV/0!</v>
      </c>
      <c r="CM112" s="245">
        <v>1</v>
      </c>
      <c r="CN112" s="246">
        <v>0</v>
      </c>
      <c r="CO112" s="163" t="e">
        <f t="shared" si="15"/>
        <v>#DIV/0!</v>
      </c>
      <c r="CP112" s="245">
        <v>1</v>
      </c>
      <c r="CQ112" s="246">
        <v>0</v>
      </c>
      <c r="CR112" s="163" t="e">
        <f t="shared" si="16"/>
        <v>#DIV/0!</v>
      </c>
      <c r="CS112" s="207" t="e">
        <f t="shared" si="17"/>
        <v>#DIV/0!</v>
      </c>
      <c r="CT112" s="258"/>
      <c r="CU112" s="258"/>
      <c r="CV112" s="258"/>
      <c r="CW112" s="258"/>
      <c r="CX112" s="258"/>
      <c r="CY112" s="258"/>
      <c r="CZ112" s="258"/>
      <c r="DA112" s="258"/>
      <c r="DB112" s="258"/>
      <c r="DC112" s="258"/>
    </row>
    <row r="113" spans="1:173">
      <c r="B113" s="205">
        <f>ANACO!B109</f>
        <v>0</v>
      </c>
      <c r="C113" s="204">
        <f>ANACO!C109</f>
        <v>0</v>
      </c>
      <c r="D113" s="165">
        <f>ANACO!H109</f>
        <v>0</v>
      </c>
      <c r="E113" s="165"/>
      <c r="F113" s="203">
        <f>ANACO!G109</f>
        <v>0</v>
      </c>
      <c r="G113" s="203">
        <f>ANACO!I109</f>
        <v>0</v>
      </c>
      <c r="H113" s="166">
        <f>ANACO!BS109</f>
        <v>0</v>
      </c>
      <c r="I113" s="172">
        <f>ANACO!BT109</f>
        <v>0</v>
      </c>
      <c r="J113" s="161"/>
      <c r="K113" s="161">
        <f t="shared" si="9"/>
        <v>0</v>
      </c>
      <c r="L113" s="244">
        <v>0</v>
      </c>
      <c r="M113" s="244"/>
      <c r="N113" s="244"/>
      <c r="O113" s="244"/>
      <c r="P113" s="244"/>
      <c r="Q113" s="244"/>
      <c r="R113" s="244"/>
      <c r="S113" s="244"/>
      <c r="T113" s="244"/>
      <c r="U113" s="244"/>
      <c r="V113" s="244"/>
      <c r="W113" s="244"/>
      <c r="X113" s="244"/>
      <c r="Y113" s="244"/>
      <c r="Z113" s="244"/>
      <c r="AA113" s="244"/>
      <c r="AB113" s="244"/>
      <c r="AC113" s="244"/>
      <c r="AD113" s="244"/>
      <c r="AE113" s="244"/>
      <c r="AF113" s="244"/>
      <c r="AG113" s="244"/>
      <c r="AH113" s="244"/>
      <c r="AI113" s="244"/>
      <c r="AJ113" s="244"/>
      <c r="AK113" s="244"/>
      <c r="AL113" s="244"/>
      <c r="AM113" s="244"/>
      <c r="AN113" s="244"/>
      <c r="AO113" s="244"/>
      <c r="AP113" s="244"/>
      <c r="AQ113" s="244"/>
      <c r="AR113" s="244"/>
      <c r="AS113" s="244"/>
      <c r="AT113" s="244"/>
      <c r="AU113" s="244"/>
      <c r="AV113" s="161"/>
      <c r="AW113" s="161"/>
      <c r="AX113" s="243">
        <v>0</v>
      </c>
      <c r="AY113" s="161"/>
      <c r="AZ113" s="161"/>
      <c r="BA113" s="243">
        <v>0</v>
      </c>
      <c r="BB113" s="212">
        <f t="shared" si="10"/>
        <v>0</v>
      </c>
      <c r="BC113" s="256"/>
      <c r="BD113" s="162" t="e">
        <f t="shared" si="11"/>
        <v>#DIV/0!</v>
      </c>
      <c r="BE113" s="162" t="e">
        <f t="shared" si="12"/>
        <v>#DIV/0!</v>
      </c>
      <c r="BF113" s="243"/>
      <c r="BG113" s="243"/>
      <c r="BH113" s="243"/>
      <c r="BI113" s="257"/>
      <c r="BJ113" s="257"/>
      <c r="BK113" s="243"/>
      <c r="BL113" s="243"/>
      <c r="BM113" s="243"/>
      <c r="BN113" s="243"/>
      <c r="BO113" s="243"/>
      <c r="BP113" s="243"/>
      <c r="BQ113" s="243"/>
      <c r="BR113" s="243"/>
      <c r="BS113" s="243"/>
      <c r="BT113" s="243"/>
      <c r="BU113" s="243"/>
      <c r="BV113" s="243"/>
      <c r="BW113" s="243"/>
      <c r="BX113" s="243"/>
      <c r="BY113" s="243"/>
      <c r="BZ113" s="243"/>
      <c r="CA113" s="243"/>
      <c r="CB113" s="243"/>
      <c r="CC113" s="243"/>
      <c r="CD113" s="243"/>
      <c r="CE113" s="245">
        <v>0</v>
      </c>
      <c r="CF113" s="245">
        <v>0</v>
      </c>
      <c r="CG113" s="245">
        <v>1</v>
      </c>
      <c r="CH113" s="246">
        <v>0</v>
      </c>
      <c r="CI113" s="219" t="e">
        <f t="shared" si="13"/>
        <v>#DIV/0!</v>
      </c>
      <c r="CJ113" s="245">
        <v>1</v>
      </c>
      <c r="CK113" s="246">
        <v>0</v>
      </c>
      <c r="CL113" s="163" t="e">
        <f t="shared" si="14"/>
        <v>#DIV/0!</v>
      </c>
      <c r="CM113" s="245">
        <v>1</v>
      </c>
      <c r="CN113" s="246">
        <v>0</v>
      </c>
      <c r="CO113" s="163" t="e">
        <f t="shared" si="15"/>
        <v>#DIV/0!</v>
      </c>
      <c r="CP113" s="245">
        <v>1</v>
      </c>
      <c r="CQ113" s="246">
        <v>0</v>
      </c>
      <c r="CR113" s="163" t="e">
        <f t="shared" si="16"/>
        <v>#DIV/0!</v>
      </c>
      <c r="CS113" s="207" t="e">
        <f t="shared" si="17"/>
        <v>#DIV/0!</v>
      </c>
      <c r="CT113" s="258"/>
      <c r="CU113" s="258"/>
      <c r="CV113" s="258"/>
      <c r="CW113" s="258"/>
      <c r="CX113" s="258"/>
      <c r="CY113" s="258"/>
      <c r="CZ113" s="258"/>
      <c r="DA113" s="258"/>
      <c r="DB113" s="258"/>
      <c r="DC113" s="258"/>
    </row>
    <row r="114" spans="1:173">
      <c r="B114" s="205">
        <f>ANACO!B110</f>
        <v>0</v>
      </c>
      <c r="C114" s="204">
        <f>ANACO!C110</f>
        <v>0</v>
      </c>
      <c r="D114" s="165">
        <f>ANACO!H110</f>
        <v>0</v>
      </c>
      <c r="E114" s="165"/>
      <c r="F114" s="203">
        <f>ANACO!G110</f>
        <v>0</v>
      </c>
      <c r="G114" s="203">
        <f>ANACO!I110</f>
        <v>0</v>
      </c>
      <c r="H114" s="166">
        <f>ANACO!BS110</f>
        <v>0</v>
      </c>
      <c r="I114" s="172">
        <f>ANACO!BT110</f>
        <v>0</v>
      </c>
      <c r="J114" s="161"/>
      <c r="K114" s="161">
        <f t="shared" si="9"/>
        <v>0</v>
      </c>
      <c r="L114" s="244">
        <v>0</v>
      </c>
      <c r="M114" s="244"/>
      <c r="N114" s="244"/>
      <c r="O114" s="244"/>
      <c r="P114" s="244"/>
      <c r="Q114" s="244"/>
      <c r="R114" s="244"/>
      <c r="S114" s="244"/>
      <c r="T114" s="244"/>
      <c r="U114" s="244"/>
      <c r="V114" s="244"/>
      <c r="W114" s="244"/>
      <c r="X114" s="244"/>
      <c r="Y114" s="244"/>
      <c r="Z114" s="244"/>
      <c r="AA114" s="244"/>
      <c r="AB114" s="244"/>
      <c r="AC114" s="244"/>
      <c r="AD114" s="244"/>
      <c r="AE114" s="244"/>
      <c r="AF114" s="244"/>
      <c r="AG114" s="244"/>
      <c r="AH114" s="244"/>
      <c r="AI114" s="244"/>
      <c r="AJ114" s="244"/>
      <c r="AK114" s="244"/>
      <c r="AL114" s="244"/>
      <c r="AM114" s="244"/>
      <c r="AN114" s="244"/>
      <c r="AO114" s="244"/>
      <c r="AP114" s="244"/>
      <c r="AQ114" s="244"/>
      <c r="AR114" s="244"/>
      <c r="AS114" s="244"/>
      <c r="AT114" s="244"/>
      <c r="AU114" s="244"/>
      <c r="AV114" s="161"/>
      <c r="AW114" s="161"/>
      <c r="AX114" s="243">
        <v>0</v>
      </c>
      <c r="AY114" s="161"/>
      <c r="AZ114" s="161"/>
      <c r="BA114" s="243">
        <v>0</v>
      </c>
      <c r="BB114" s="212">
        <f t="shared" si="10"/>
        <v>0</v>
      </c>
      <c r="BC114" s="256"/>
      <c r="BD114" s="162" t="e">
        <f t="shared" si="11"/>
        <v>#DIV/0!</v>
      </c>
      <c r="BE114" s="162" t="e">
        <f t="shared" si="12"/>
        <v>#DIV/0!</v>
      </c>
      <c r="BF114" s="243"/>
      <c r="BG114" s="243"/>
      <c r="BH114" s="243"/>
      <c r="BI114" s="257"/>
      <c r="BJ114" s="257"/>
      <c r="BK114" s="243"/>
      <c r="BL114" s="243"/>
      <c r="BM114" s="243"/>
      <c r="BN114" s="243"/>
      <c r="BO114" s="243"/>
      <c r="BP114" s="243"/>
      <c r="BQ114" s="243"/>
      <c r="BR114" s="243"/>
      <c r="BS114" s="243"/>
      <c r="BT114" s="243"/>
      <c r="BU114" s="243"/>
      <c r="BV114" s="243"/>
      <c r="BW114" s="243"/>
      <c r="BX114" s="243"/>
      <c r="BY114" s="243"/>
      <c r="BZ114" s="243"/>
      <c r="CA114" s="243"/>
      <c r="CB114" s="243"/>
      <c r="CC114" s="243"/>
      <c r="CD114" s="243"/>
      <c r="CE114" s="245">
        <v>0</v>
      </c>
      <c r="CF114" s="245">
        <v>0</v>
      </c>
      <c r="CG114" s="245">
        <v>1</v>
      </c>
      <c r="CH114" s="246">
        <v>0</v>
      </c>
      <c r="CI114" s="219" t="e">
        <f t="shared" si="13"/>
        <v>#DIV/0!</v>
      </c>
      <c r="CJ114" s="245">
        <v>1</v>
      </c>
      <c r="CK114" s="246">
        <v>0</v>
      </c>
      <c r="CL114" s="163" t="e">
        <f t="shared" si="14"/>
        <v>#DIV/0!</v>
      </c>
      <c r="CM114" s="245">
        <v>1</v>
      </c>
      <c r="CN114" s="246">
        <v>0</v>
      </c>
      <c r="CO114" s="163" t="e">
        <f t="shared" si="15"/>
        <v>#DIV/0!</v>
      </c>
      <c r="CP114" s="245">
        <v>1</v>
      </c>
      <c r="CQ114" s="246">
        <v>0</v>
      </c>
      <c r="CR114" s="163" t="e">
        <f t="shared" si="16"/>
        <v>#DIV/0!</v>
      </c>
      <c r="CS114" s="207" t="e">
        <f t="shared" si="17"/>
        <v>#DIV/0!</v>
      </c>
      <c r="CT114" s="258"/>
      <c r="CU114" s="258"/>
      <c r="CV114" s="258"/>
      <c r="CW114" s="258"/>
      <c r="CX114" s="258"/>
      <c r="CY114" s="258"/>
      <c r="CZ114" s="258"/>
      <c r="DA114" s="258"/>
      <c r="DB114" s="258"/>
      <c r="DC114" s="258"/>
    </row>
    <row r="115" spans="1:173">
      <c r="B115" s="205">
        <f>ANACO!B111</f>
        <v>0</v>
      </c>
      <c r="C115" s="204">
        <f>ANACO!C111</f>
        <v>0</v>
      </c>
      <c r="D115" s="165">
        <f>ANACO!H111</f>
        <v>0</v>
      </c>
      <c r="E115" s="165"/>
      <c r="F115" s="203">
        <f>ANACO!G111</f>
        <v>0</v>
      </c>
      <c r="G115" s="203">
        <f>ANACO!I111</f>
        <v>0</v>
      </c>
      <c r="H115" s="166">
        <f>ANACO!BS111</f>
        <v>0</v>
      </c>
      <c r="I115" s="172">
        <f>ANACO!BT111</f>
        <v>0</v>
      </c>
      <c r="J115" s="161"/>
      <c r="K115" s="161">
        <f t="shared" si="9"/>
        <v>0</v>
      </c>
      <c r="L115" s="244">
        <v>0</v>
      </c>
      <c r="M115" s="244"/>
      <c r="N115" s="244"/>
      <c r="O115" s="244"/>
      <c r="P115" s="244"/>
      <c r="Q115" s="244"/>
      <c r="R115" s="244"/>
      <c r="S115" s="244"/>
      <c r="T115" s="244"/>
      <c r="U115" s="244"/>
      <c r="V115" s="244"/>
      <c r="W115" s="244"/>
      <c r="X115" s="244"/>
      <c r="Y115" s="244"/>
      <c r="Z115" s="244"/>
      <c r="AA115" s="244"/>
      <c r="AB115" s="244"/>
      <c r="AC115" s="244"/>
      <c r="AD115" s="244"/>
      <c r="AE115" s="244"/>
      <c r="AF115" s="244"/>
      <c r="AG115" s="244"/>
      <c r="AH115" s="244"/>
      <c r="AI115" s="244"/>
      <c r="AJ115" s="244"/>
      <c r="AK115" s="244"/>
      <c r="AL115" s="244"/>
      <c r="AM115" s="244"/>
      <c r="AN115" s="244"/>
      <c r="AO115" s="244"/>
      <c r="AP115" s="244"/>
      <c r="AQ115" s="244"/>
      <c r="AR115" s="244"/>
      <c r="AS115" s="244"/>
      <c r="AT115" s="244"/>
      <c r="AU115" s="244"/>
      <c r="AV115" s="161"/>
      <c r="AW115" s="161"/>
      <c r="AX115" s="243">
        <v>0</v>
      </c>
      <c r="AY115" s="161"/>
      <c r="AZ115" s="161"/>
      <c r="BA115" s="243">
        <v>0</v>
      </c>
      <c r="BB115" s="212">
        <f t="shared" si="10"/>
        <v>0</v>
      </c>
      <c r="BC115" s="256"/>
      <c r="BD115" s="162" t="e">
        <f t="shared" si="11"/>
        <v>#DIV/0!</v>
      </c>
      <c r="BE115" s="162" t="e">
        <f t="shared" si="12"/>
        <v>#DIV/0!</v>
      </c>
      <c r="BF115" s="243"/>
      <c r="BG115" s="243"/>
      <c r="BH115" s="243"/>
      <c r="BI115" s="257"/>
      <c r="BJ115" s="257"/>
      <c r="BK115" s="243"/>
      <c r="BL115" s="243"/>
      <c r="BM115" s="243"/>
      <c r="BN115" s="243"/>
      <c r="BO115" s="243"/>
      <c r="BP115" s="243"/>
      <c r="BQ115" s="243"/>
      <c r="BR115" s="243"/>
      <c r="BS115" s="243"/>
      <c r="BT115" s="243"/>
      <c r="BU115" s="243"/>
      <c r="BV115" s="243"/>
      <c r="BW115" s="243"/>
      <c r="BX115" s="243"/>
      <c r="BY115" s="243"/>
      <c r="BZ115" s="243"/>
      <c r="CA115" s="243"/>
      <c r="CB115" s="243"/>
      <c r="CC115" s="243"/>
      <c r="CD115" s="243"/>
      <c r="CE115" s="245">
        <v>0</v>
      </c>
      <c r="CF115" s="245">
        <v>0</v>
      </c>
      <c r="CG115" s="245">
        <v>1</v>
      </c>
      <c r="CH115" s="246">
        <v>0</v>
      </c>
      <c r="CI115" s="219" t="e">
        <f t="shared" si="13"/>
        <v>#DIV/0!</v>
      </c>
      <c r="CJ115" s="245">
        <v>1</v>
      </c>
      <c r="CK115" s="246">
        <v>0</v>
      </c>
      <c r="CL115" s="163" t="e">
        <f t="shared" si="14"/>
        <v>#DIV/0!</v>
      </c>
      <c r="CM115" s="245">
        <v>1</v>
      </c>
      <c r="CN115" s="246">
        <v>0</v>
      </c>
      <c r="CO115" s="163" t="e">
        <f t="shared" si="15"/>
        <v>#DIV/0!</v>
      </c>
      <c r="CP115" s="245">
        <v>1</v>
      </c>
      <c r="CQ115" s="246">
        <v>0</v>
      </c>
      <c r="CR115" s="163" t="e">
        <f t="shared" si="16"/>
        <v>#DIV/0!</v>
      </c>
      <c r="CS115" s="207" t="e">
        <f t="shared" si="17"/>
        <v>#DIV/0!</v>
      </c>
      <c r="CT115" s="258"/>
      <c r="CU115" s="258"/>
      <c r="CV115" s="258"/>
      <c r="CW115" s="258"/>
      <c r="CX115" s="258"/>
      <c r="CY115" s="258"/>
      <c r="CZ115" s="258"/>
      <c r="DA115" s="258"/>
      <c r="DB115" s="258"/>
      <c r="DC115" s="258"/>
    </row>
    <row r="116" spans="1:173">
      <c r="B116" s="205">
        <f>ANACO!B112</f>
        <v>0</v>
      </c>
      <c r="C116" s="204">
        <f>ANACO!C112</f>
        <v>0</v>
      </c>
      <c r="D116" s="165">
        <f>ANACO!H112</f>
        <v>0</v>
      </c>
      <c r="E116" s="165"/>
      <c r="F116" s="203">
        <f>ANACO!G112</f>
        <v>0</v>
      </c>
      <c r="G116" s="203">
        <f>ANACO!I112</f>
        <v>0</v>
      </c>
      <c r="H116" s="166">
        <f>ANACO!BS112</f>
        <v>0</v>
      </c>
      <c r="I116" s="172">
        <f>ANACO!BT112</f>
        <v>0</v>
      </c>
      <c r="J116" s="161"/>
      <c r="K116" s="161">
        <f t="shared" si="9"/>
        <v>0</v>
      </c>
      <c r="L116" s="244">
        <v>0</v>
      </c>
      <c r="M116" s="244"/>
      <c r="N116" s="244"/>
      <c r="O116" s="244"/>
      <c r="P116" s="244"/>
      <c r="Q116" s="244"/>
      <c r="R116" s="244"/>
      <c r="S116" s="244"/>
      <c r="T116" s="244"/>
      <c r="U116" s="244"/>
      <c r="V116" s="244"/>
      <c r="W116" s="244"/>
      <c r="X116" s="244"/>
      <c r="Y116" s="244"/>
      <c r="Z116" s="244"/>
      <c r="AA116" s="244"/>
      <c r="AB116" s="244"/>
      <c r="AC116" s="244"/>
      <c r="AD116" s="244"/>
      <c r="AE116" s="244"/>
      <c r="AF116" s="244"/>
      <c r="AG116" s="244"/>
      <c r="AH116" s="244"/>
      <c r="AI116" s="244"/>
      <c r="AJ116" s="244"/>
      <c r="AK116" s="244"/>
      <c r="AL116" s="244"/>
      <c r="AM116" s="244"/>
      <c r="AN116" s="244"/>
      <c r="AO116" s="244"/>
      <c r="AP116" s="244"/>
      <c r="AQ116" s="244"/>
      <c r="AR116" s="244"/>
      <c r="AS116" s="244"/>
      <c r="AT116" s="244"/>
      <c r="AU116" s="244"/>
      <c r="AV116" s="161"/>
      <c r="AW116" s="161"/>
      <c r="AX116" s="243">
        <v>0</v>
      </c>
      <c r="AY116" s="161"/>
      <c r="AZ116" s="161"/>
      <c r="BA116" s="243">
        <v>0</v>
      </c>
      <c r="BB116" s="212">
        <f t="shared" si="10"/>
        <v>0</v>
      </c>
      <c r="BC116" s="256"/>
      <c r="BD116" s="162" t="e">
        <f t="shared" si="11"/>
        <v>#DIV/0!</v>
      </c>
      <c r="BE116" s="162" t="e">
        <f t="shared" si="12"/>
        <v>#DIV/0!</v>
      </c>
      <c r="BF116" s="243"/>
      <c r="BG116" s="243"/>
      <c r="BH116" s="243"/>
      <c r="BI116" s="257"/>
      <c r="BJ116" s="257"/>
      <c r="BK116" s="243"/>
      <c r="BL116" s="243"/>
      <c r="BM116" s="243"/>
      <c r="BN116" s="243"/>
      <c r="BO116" s="243"/>
      <c r="BP116" s="243"/>
      <c r="BQ116" s="243"/>
      <c r="BR116" s="243"/>
      <c r="BS116" s="243"/>
      <c r="BT116" s="243"/>
      <c r="BU116" s="243"/>
      <c r="BV116" s="243"/>
      <c r="BW116" s="243"/>
      <c r="BX116" s="243"/>
      <c r="BY116" s="243"/>
      <c r="BZ116" s="243"/>
      <c r="CA116" s="243"/>
      <c r="CB116" s="243"/>
      <c r="CC116" s="243"/>
      <c r="CD116" s="243"/>
      <c r="CE116" s="245">
        <v>0</v>
      </c>
      <c r="CF116" s="245">
        <v>0</v>
      </c>
      <c r="CG116" s="245">
        <v>1</v>
      </c>
      <c r="CH116" s="246">
        <v>0</v>
      </c>
      <c r="CI116" s="219" t="e">
        <f t="shared" si="13"/>
        <v>#DIV/0!</v>
      </c>
      <c r="CJ116" s="245">
        <v>1</v>
      </c>
      <c r="CK116" s="246">
        <v>0</v>
      </c>
      <c r="CL116" s="163" t="e">
        <f t="shared" si="14"/>
        <v>#DIV/0!</v>
      </c>
      <c r="CM116" s="245">
        <v>1</v>
      </c>
      <c r="CN116" s="246">
        <v>0</v>
      </c>
      <c r="CO116" s="163" t="e">
        <f t="shared" si="15"/>
        <v>#DIV/0!</v>
      </c>
      <c r="CP116" s="245">
        <v>1</v>
      </c>
      <c r="CQ116" s="246">
        <v>0</v>
      </c>
      <c r="CR116" s="163" t="e">
        <f t="shared" si="16"/>
        <v>#DIV/0!</v>
      </c>
      <c r="CS116" s="207" t="e">
        <f t="shared" si="17"/>
        <v>#DIV/0!</v>
      </c>
      <c r="CT116" s="258"/>
      <c r="CU116" s="258"/>
      <c r="CV116" s="258"/>
      <c r="CW116" s="258"/>
      <c r="CX116" s="258"/>
      <c r="CY116" s="258"/>
      <c r="CZ116" s="258"/>
      <c r="DA116" s="258"/>
      <c r="DB116" s="258"/>
      <c r="DC116" s="258"/>
    </row>
    <row r="117" spans="1:173">
      <c r="B117" s="205">
        <f>ANACO!B113</f>
        <v>0</v>
      </c>
      <c r="C117" s="204">
        <f>ANACO!C113</f>
        <v>0</v>
      </c>
      <c r="D117" s="165">
        <f>ANACO!H113</f>
        <v>0</v>
      </c>
      <c r="E117" s="165"/>
      <c r="F117" s="203">
        <f>ANACO!G113</f>
        <v>0</v>
      </c>
      <c r="G117" s="203">
        <f>ANACO!I113</f>
        <v>0</v>
      </c>
      <c r="H117" s="166">
        <f>ANACO!BS113</f>
        <v>0</v>
      </c>
      <c r="I117" s="172">
        <f>ANACO!BT113</f>
        <v>0</v>
      </c>
      <c r="J117" s="161"/>
      <c r="K117" s="161">
        <f t="shared" si="9"/>
        <v>0</v>
      </c>
      <c r="L117" s="244">
        <v>0</v>
      </c>
      <c r="M117" s="244"/>
      <c r="N117" s="244"/>
      <c r="O117" s="244"/>
      <c r="P117" s="244"/>
      <c r="Q117" s="244"/>
      <c r="R117" s="244"/>
      <c r="S117" s="244"/>
      <c r="T117" s="244"/>
      <c r="U117" s="244"/>
      <c r="V117" s="244"/>
      <c r="W117" s="244"/>
      <c r="X117" s="244"/>
      <c r="Y117" s="244"/>
      <c r="Z117" s="244"/>
      <c r="AA117" s="244"/>
      <c r="AB117" s="244"/>
      <c r="AC117" s="244"/>
      <c r="AD117" s="244"/>
      <c r="AE117" s="244"/>
      <c r="AF117" s="244"/>
      <c r="AG117" s="244"/>
      <c r="AH117" s="244"/>
      <c r="AI117" s="244"/>
      <c r="AJ117" s="244"/>
      <c r="AK117" s="244"/>
      <c r="AL117" s="244"/>
      <c r="AM117" s="244"/>
      <c r="AN117" s="244"/>
      <c r="AO117" s="244"/>
      <c r="AP117" s="244"/>
      <c r="AQ117" s="244"/>
      <c r="AR117" s="244"/>
      <c r="AS117" s="244"/>
      <c r="AT117" s="244"/>
      <c r="AU117" s="244"/>
      <c r="AV117" s="161"/>
      <c r="AW117" s="161"/>
      <c r="AX117" s="243">
        <v>0</v>
      </c>
      <c r="AY117" s="161"/>
      <c r="AZ117" s="161"/>
      <c r="BA117" s="243">
        <v>0</v>
      </c>
      <c r="BB117" s="212">
        <f t="shared" si="10"/>
        <v>0</v>
      </c>
      <c r="BC117" s="256"/>
      <c r="BD117" s="162" t="e">
        <f t="shared" si="11"/>
        <v>#DIV/0!</v>
      </c>
      <c r="BE117" s="162" t="e">
        <f t="shared" si="12"/>
        <v>#DIV/0!</v>
      </c>
      <c r="BF117" s="243"/>
      <c r="BG117" s="243"/>
      <c r="BH117" s="243"/>
      <c r="BI117" s="257"/>
      <c r="BJ117" s="257"/>
      <c r="BK117" s="243"/>
      <c r="BL117" s="243"/>
      <c r="BM117" s="243"/>
      <c r="BN117" s="243"/>
      <c r="BO117" s="243"/>
      <c r="BP117" s="243"/>
      <c r="BQ117" s="243"/>
      <c r="BR117" s="243"/>
      <c r="BS117" s="243"/>
      <c r="BT117" s="243"/>
      <c r="BU117" s="243"/>
      <c r="BV117" s="243"/>
      <c r="BW117" s="243"/>
      <c r="BX117" s="243"/>
      <c r="BY117" s="243"/>
      <c r="BZ117" s="243"/>
      <c r="CA117" s="243"/>
      <c r="CB117" s="243"/>
      <c r="CC117" s="243"/>
      <c r="CD117" s="243"/>
      <c r="CE117" s="245">
        <v>0</v>
      </c>
      <c r="CF117" s="245">
        <v>0</v>
      </c>
      <c r="CG117" s="245">
        <v>1</v>
      </c>
      <c r="CH117" s="246">
        <v>0</v>
      </c>
      <c r="CI117" s="219" t="e">
        <f t="shared" si="13"/>
        <v>#DIV/0!</v>
      </c>
      <c r="CJ117" s="245">
        <v>1</v>
      </c>
      <c r="CK117" s="246">
        <v>0</v>
      </c>
      <c r="CL117" s="163" t="e">
        <f t="shared" si="14"/>
        <v>#DIV/0!</v>
      </c>
      <c r="CM117" s="245">
        <v>1</v>
      </c>
      <c r="CN117" s="246">
        <v>0</v>
      </c>
      <c r="CO117" s="163" t="e">
        <f t="shared" si="15"/>
        <v>#DIV/0!</v>
      </c>
      <c r="CP117" s="245">
        <v>1</v>
      </c>
      <c r="CQ117" s="246">
        <v>0</v>
      </c>
      <c r="CR117" s="163" t="e">
        <f t="shared" si="16"/>
        <v>#DIV/0!</v>
      </c>
      <c r="CS117" s="207" t="e">
        <f t="shared" si="17"/>
        <v>#DIV/0!</v>
      </c>
      <c r="CT117" s="258"/>
      <c r="CU117" s="258"/>
      <c r="CV117" s="258"/>
      <c r="CW117" s="258"/>
      <c r="CX117" s="258"/>
      <c r="CY117" s="258"/>
      <c r="CZ117" s="258"/>
      <c r="DA117" s="258"/>
      <c r="DB117" s="258"/>
      <c r="DC117" s="258"/>
    </row>
    <row r="118" spans="1:173" s="182" customFormat="1">
      <c r="A118" s="222"/>
      <c r="B118" s="205">
        <f>ANACO!B114</f>
        <v>0</v>
      </c>
      <c r="C118" s="204">
        <f>ANACO!C114</f>
        <v>0</v>
      </c>
      <c r="D118" s="165">
        <f>ANACO!H114</f>
        <v>0</v>
      </c>
      <c r="E118" s="165"/>
      <c r="F118" s="203">
        <f>ANACO!G114</f>
        <v>0</v>
      </c>
      <c r="G118" s="203">
        <f>ANACO!I114</f>
        <v>0</v>
      </c>
      <c r="H118" s="166">
        <f>ANACO!BS114</f>
        <v>0</v>
      </c>
      <c r="I118" s="172">
        <f>ANACO!BT114</f>
        <v>0</v>
      </c>
      <c r="J118" s="161"/>
      <c r="K118" s="161">
        <f t="shared" si="9"/>
        <v>0</v>
      </c>
      <c r="L118" s="244">
        <v>0</v>
      </c>
      <c r="M118" s="244"/>
      <c r="N118" s="244"/>
      <c r="O118" s="244"/>
      <c r="P118" s="244"/>
      <c r="Q118" s="244"/>
      <c r="R118" s="244"/>
      <c r="S118" s="244"/>
      <c r="T118" s="244"/>
      <c r="U118" s="244"/>
      <c r="V118" s="244"/>
      <c r="W118" s="244"/>
      <c r="X118" s="244"/>
      <c r="Y118" s="244"/>
      <c r="Z118" s="244"/>
      <c r="AA118" s="244"/>
      <c r="AB118" s="244"/>
      <c r="AC118" s="244"/>
      <c r="AD118" s="244"/>
      <c r="AE118" s="244"/>
      <c r="AF118" s="244"/>
      <c r="AG118" s="244"/>
      <c r="AH118" s="244"/>
      <c r="AI118" s="244"/>
      <c r="AJ118" s="244"/>
      <c r="AK118" s="244"/>
      <c r="AL118" s="244"/>
      <c r="AM118" s="244"/>
      <c r="AN118" s="244"/>
      <c r="AO118" s="244"/>
      <c r="AP118" s="244"/>
      <c r="AQ118" s="244"/>
      <c r="AR118" s="244"/>
      <c r="AS118" s="244"/>
      <c r="AT118" s="244"/>
      <c r="AU118" s="244"/>
      <c r="AV118" s="161"/>
      <c r="AW118" s="161"/>
      <c r="AX118" s="243">
        <v>0</v>
      </c>
      <c r="AY118" s="161"/>
      <c r="AZ118" s="161"/>
      <c r="BA118" s="243">
        <v>0</v>
      </c>
      <c r="BB118" s="212">
        <f t="shared" si="10"/>
        <v>0</v>
      </c>
      <c r="BC118" s="256"/>
      <c r="BD118" s="162" t="e">
        <f t="shared" si="11"/>
        <v>#DIV/0!</v>
      </c>
      <c r="BE118" s="162" t="e">
        <f t="shared" si="12"/>
        <v>#DIV/0!</v>
      </c>
      <c r="BF118" s="243"/>
      <c r="BG118" s="243"/>
      <c r="BH118" s="243"/>
      <c r="BI118" s="257"/>
      <c r="BJ118" s="257"/>
      <c r="BK118" s="243"/>
      <c r="BL118" s="243"/>
      <c r="BM118" s="243"/>
      <c r="BN118" s="243"/>
      <c r="BO118" s="243"/>
      <c r="BP118" s="243"/>
      <c r="BQ118" s="243"/>
      <c r="BR118" s="243"/>
      <c r="BS118" s="243"/>
      <c r="BT118" s="243"/>
      <c r="BU118" s="243"/>
      <c r="BV118" s="243"/>
      <c r="BW118" s="243"/>
      <c r="BX118" s="243"/>
      <c r="BY118" s="243"/>
      <c r="BZ118" s="243"/>
      <c r="CA118" s="243"/>
      <c r="CB118" s="243"/>
      <c r="CC118" s="243"/>
      <c r="CD118" s="243"/>
      <c r="CE118" s="245">
        <v>0</v>
      </c>
      <c r="CF118" s="245">
        <v>0</v>
      </c>
      <c r="CG118" s="245">
        <v>1</v>
      </c>
      <c r="CH118" s="246">
        <v>0</v>
      </c>
      <c r="CI118" s="219" t="e">
        <f t="shared" si="13"/>
        <v>#DIV/0!</v>
      </c>
      <c r="CJ118" s="245">
        <v>1</v>
      </c>
      <c r="CK118" s="246">
        <v>0</v>
      </c>
      <c r="CL118" s="163" t="e">
        <f t="shared" si="14"/>
        <v>#DIV/0!</v>
      </c>
      <c r="CM118" s="245">
        <v>1</v>
      </c>
      <c r="CN118" s="246">
        <v>0</v>
      </c>
      <c r="CO118" s="163" t="e">
        <f t="shared" si="15"/>
        <v>#DIV/0!</v>
      </c>
      <c r="CP118" s="245">
        <v>1</v>
      </c>
      <c r="CQ118" s="246">
        <v>0</v>
      </c>
      <c r="CR118" s="163" t="e">
        <f t="shared" si="16"/>
        <v>#DIV/0!</v>
      </c>
      <c r="CS118" s="207" t="e">
        <f t="shared" si="17"/>
        <v>#DIV/0!</v>
      </c>
      <c r="CT118" s="258"/>
      <c r="CU118" s="258"/>
      <c r="CV118" s="258"/>
      <c r="CW118" s="258"/>
      <c r="CX118" s="258"/>
      <c r="CY118" s="258"/>
      <c r="CZ118" s="258"/>
      <c r="DA118" s="258"/>
      <c r="DB118" s="258"/>
      <c r="DC118" s="258"/>
      <c r="DD118" s="156"/>
      <c r="DE118" s="156"/>
      <c r="DF118" s="156"/>
      <c r="DG118" s="156"/>
      <c r="DH118" s="156"/>
      <c r="DI118" s="156"/>
      <c r="DJ118" s="156"/>
      <c r="DK118" s="156"/>
      <c r="DL118" s="156"/>
      <c r="DM118" s="156"/>
      <c r="DN118" s="156"/>
      <c r="DO118" s="156"/>
      <c r="DP118" s="156"/>
      <c r="DQ118" s="156"/>
      <c r="DR118" s="156"/>
      <c r="DS118" s="156"/>
      <c r="DT118" s="156"/>
      <c r="DU118" s="156"/>
      <c r="DV118" s="156"/>
      <c r="DW118" s="156"/>
      <c r="DX118" s="156"/>
      <c r="DY118" s="156"/>
      <c r="DZ118" s="156"/>
      <c r="EA118" s="156"/>
      <c r="EB118" s="156"/>
      <c r="EC118" s="156"/>
      <c r="ED118" s="156"/>
      <c r="EE118" s="156"/>
      <c r="EF118" s="156"/>
      <c r="EG118" s="156"/>
      <c r="EH118" s="156"/>
      <c r="EI118" s="156"/>
      <c r="EJ118" s="156"/>
      <c r="EK118" s="156"/>
      <c r="EL118" s="156"/>
      <c r="EM118" s="156"/>
      <c r="EN118" s="156"/>
      <c r="EO118" s="156"/>
      <c r="EP118" s="156"/>
      <c r="EQ118" s="156"/>
      <c r="ER118" s="156"/>
      <c r="ES118" s="156"/>
      <c r="ET118" s="156"/>
      <c r="EU118" s="156"/>
      <c r="EV118" s="156"/>
      <c r="EW118" s="156"/>
      <c r="EX118" s="156"/>
      <c r="EY118" s="156"/>
      <c r="EZ118" s="156"/>
      <c r="FA118" s="156"/>
      <c r="FB118" s="156"/>
      <c r="FC118" s="156"/>
      <c r="FD118" s="156"/>
      <c r="FE118" s="156"/>
      <c r="FF118" s="156"/>
      <c r="FG118" s="156"/>
      <c r="FH118" s="156"/>
      <c r="FI118" s="156"/>
      <c r="FJ118" s="156"/>
      <c r="FK118" s="156"/>
      <c r="FL118" s="156"/>
      <c r="FM118" s="156"/>
      <c r="FN118" s="156"/>
      <c r="FO118" s="156"/>
      <c r="FP118" s="156"/>
      <c r="FQ118" s="156"/>
    </row>
    <row r="119" spans="1:173">
      <c r="B119" s="205">
        <f>ANACO!B115</f>
        <v>0</v>
      </c>
      <c r="C119" s="204">
        <f>ANACO!C115</f>
        <v>0</v>
      </c>
      <c r="D119" s="165">
        <f>ANACO!H115</f>
        <v>0</v>
      </c>
      <c r="E119" s="165"/>
      <c r="F119" s="203">
        <f>ANACO!G115</f>
        <v>0</v>
      </c>
      <c r="G119" s="203">
        <f>ANACO!I115</f>
        <v>0</v>
      </c>
      <c r="H119" s="166">
        <f>ANACO!BS115</f>
        <v>0</v>
      </c>
      <c r="I119" s="172">
        <f>ANACO!BT115</f>
        <v>0</v>
      </c>
      <c r="J119" s="161"/>
      <c r="K119" s="161">
        <f t="shared" si="9"/>
        <v>0</v>
      </c>
      <c r="L119" s="244">
        <v>0</v>
      </c>
      <c r="M119" s="244"/>
      <c r="N119" s="244"/>
      <c r="O119" s="244"/>
      <c r="P119" s="244"/>
      <c r="Q119" s="244"/>
      <c r="R119" s="244"/>
      <c r="S119" s="244"/>
      <c r="T119" s="244"/>
      <c r="U119" s="244"/>
      <c r="V119" s="244"/>
      <c r="W119" s="244"/>
      <c r="X119" s="244"/>
      <c r="Y119" s="244"/>
      <c r="Z119" s="244"/>
      <c r="AA119" s="244"/>
      <c r="AB119" s="244"/>
      <c r="AC119" s="244"/>
      <c r="AD119" s="244"/>
      <c r="AE119" s="244"/>
      <c r="AF119" s="244"/>
      <c r="AG119" s="244"/>
      <c r="AH119" s="244"/>
      <c r="AI119" s="244"/>
      <c r="AJ119" s="244"/>
      <c r="AK119" s="244"/>
      <c r="AL119" s="244"/>
      <c r="AM119" s="244"/>
      <c r="AN119" s="244"/>
      <c r="AO119" s="244"/>
      <c r="AP119" s="244"/>
      <c r="AQ119" s="244"/>
      <c r="AR119" s="244"/>
      <c r="AS119" s="244"/>
      <c r="AT119" s="244"/>
      <c r="AU119" s="244"/>
      <c r="AV119" s="161"/>
      <c r="AW119" s="161"/>
      <c r="AX119" s="243">
        <v>0</v>
      </c>
      <c r="AY119" s="161"/>
      <c r="AZ119" s="161"/>
      <c r="BA119" s="243">
        <v>0</v>
      </c>
      <c r="BB119" s="212">
        <f t="shared" si="10"/>
        <v>0</v>
      </c>
      <c r="BC119" s="256"/>
      <c r="BD119" s="162" t="e">
        <f t="shared" si="11"/>
        <v>#DIV/0!</v>
      </c>
      <c r="BE119" s="162" t="e">
        <f t="shared" si="12"/>
        <v>#DIV/0!</v>
      </c>
      <c r="BF119" s="243"/>
      <c r="BG119" s="243"/>
      <c r="BH119" s="243"/>
      <c r="BI119" s="257"/>
      <c r="BJ119" s="257"/>
      <c r="BK119" s="243"/>
      <c r="BL119" s="243"/>
      <c r="BM119" s="243"/>
      <c r="BN119" s="243"/>
      <c r="BO119" s="243"/>
      <c r="BP119" s="243"/>
      <c r="BQ119" s="243"/>
      <c r="BR119" s="243"/>
      <c r="BS119" s="243"/>
      <c r="BT119" s="243"/>
      <c r="BU119" s="243"/>
      <c r="BV119" s="243"/>
      <c r="BW119" s="243"/>
      <c r="BX119" s="243"/>
      <c r="BY119" s="243"/>
      <c r="BZ119" s="243"/>
      <c r="CA119" s="243"/>
      <c r="CB119" s="243"/>
      <c r="CC119" s="243"/>
      <c r="CD119" s="243"/>
      <c r="CE119" s="245">
        <v>0</v>
      </c>
      <c r="CF119" s="245">
        <v>0</v>
      </c>
      <c r="CG119" s="245">
        <v>1</v>
      </c>
      <c r="CH119" s="246">
        <v>0</v>
      </c>
      <c r="CI119" s="219" t="e">
        <f t="shared" si="13"/>
        <v>#DIV/0!</v>
      </c>
      <c r="CJ119" s="245">
        <v>1</v>
      </c>
      <c r="CK119" s="246">
        <v>0</v>
      </c>
      <c r="CL119" s="163" t="e">
        <f t="shared" si="14"/>
        <v>#DIV/0!</v>
      </c>
      <c r="CM119" s="245">
        <v>1</v>
      </c>
      <c r="CN119" s="246">
        <v>0</v>
      </c>
      <c r="CO119" s="163" t="e">
        <f t="shared" si="15"/>
        <v>#DIV/0!</v>
      </c>
      <c r="CP119" s="245">
        <v>1</v>
      </c>
      <c r="CQ119" s="246">
        <v>0</v>
      </c>
      <c r="CR119" s="163" t="e">
        <f t="shared" si="16"/>
        <v>#DIV/0!</v>
      </c>
      <c r="CS119" s="207" t="e">
        <f t="shared" si="17"/>
        <v>#DIV/0!</v>
      </c>
      <c r="CT119" s="258"/>
      <c r="CU119" s="258"/>
      <c r="CV119" s="258"/>
      <c r="CW119" s="258"/>
      <c r="CX119" s="258"/>
      <c r="CY119" s="258"/>
      <c r="CZ119" s="258"/>
      <c r="DA119" s="258"/>
      <c r="DB119" s="258"/>
      <c r="DC119" s="258"/>
    </row>
    <row r="120" spans="1:173">
      <c r="B120" s="205">
        <f>ANACO!B116</f>
        <v>0</v>
      </c>
      <c r="C120" s="204">
        <f>ANACO!C116</f>
        <v>0</v>
      </c>
      <c r="D120" s="165">
        <f>ANACO!H116</f>
        <v>0</v>
      </c>
      <c r="E120" s="165"/>
      <c r="F120" s="203">
        <f>ANACO!G116</f>
        <v>0</v>
      </c>
      <c r="G120" s="203">
        <f>ANACO!I116</f>
        <v>0</v>
      </c>
      <c r="H120" s="166">
        <f>ANACO!BS116</f>
        <v>0</v>
      </c>
      <c r="I120" s="172">
        <f>ANACO!BT116</f>
        <v>0</v>
      </c>
      <c r="J120" s="161"/>
      <c r="K120" s="161">
        <f t="shared" si="9"/>
        <v>0</v>
      </c>
      <c r="L120" s="244">
        <v>0</v>
      </c>
      <c r="M120" s="244"/>
      <c r="N120" s="244"/>
      <c r="O120" s="244"/>
      <c r="P120" s="244"/>
      <c r="Q120" s="244"/>
      <c r="R120" s="244"/>
      <c r="S120" s="244"/>
      <c r="T120" s="244"/>
      <c r="U120" s="244"/>
      <c r="V120" s="244"/>
      <c r="W120" s="244"/>
      <c r="X120" s="244"/>
      <c r="Y120" s="244"/>
      <c r="Z120" s="244"/>
      <c r="AA120" s="244"/>
      <c r="AB120" s="244"/>
      <c r="AC120" s="244"/>
      <c r="AD120" s="244"/>
      <c r="AE120" s="244"/>
      <c r="AF120" s="244"/>
      <c r="AG120" s="244"/>
      <c r="AH120" s="244"/>
      <c r="AI120" s="244"/>
      <c r="AJ120" s="244"/>
      <c r="AK120" s="244"/>
      <c r="AL120" s="244"/>
      <c r="AM120" s="244"/>
      <c r="AN120" s="244"/>
      <c r="AO120" s="244"/>
      <c r="AP120" s="244"/>
      <c r="AQ120" s="244"/>
      <c r="AR120" s="244"/>
      <c r="AS120" s="244"/>
      <c r="AT120" s="244"/>
      <c r="AU120" s="244"/>
      <c r="AV120" s="161"/>
      <c r="AW120" s="161"/>
      <c r="AX120" s="243">
        <v>0</v>
      </c>
      <c r="AY120" s="161"/>
      <c r="AZ120" s="161"/>
      <c r="BA120" s="243">
        <v>0</v>
      </c>
      <c r="BB120" s="212">
        <f t="shared" si="10"/>
        <v>0</v>
      </c>
      <c r="BC120" s="256"/>
      <c r="BD120" s="162" t="e">
        <f t="shared" si="11"/>
        <v>#DIV/0!</v>
      </c>
      <c r="BE120" s="162" t="e">
        <f t="shared" si="12"/>
        <v>#DIV/0!</v>
      </c>
      <c r="BF120" s="243"/>
      <c r="BG120" s="243"/>
      <c r="BH120" s="243"/>
      <c r="BI120" s="257"/>
      <c r="BJ120" s="257"/>
      <c r="BK120" s="243"/>
      <c r="BL120" s="243"/>
      <c r="BM120" s="243"/>
      <c r="BN120" s="243"/>
      <c r="BO120" s="243"/>
      <c r="BP120" s="243"/>
      <c r="BQ120" s="243"/>
      <c r="BR120" s="243"/>
      <c r="BS120" s="243"/>
      <c r="BT120" s="243"/>
      <c r="BU120" s="243"/>
      <c r="BV120" s="243"/>
      <c r="BW120" s="243"/>
      <c r="BX120" s="243"/>
      <c r="BY120" s="243"/>
      <c r="BZ120" s="243"/>
      <c r="CA120" s="243"/>
      <c r="CB120" s="243"/>
      <c r="CC120" s="243"/>
      <c r="CD120" s="243"/>
      <c r="CE120" s="245">
        <v>0</v>
      </c>
      <c r="CF120" s="245">
        <v>0</v>
      </c>
      <c r="CG120" s="245">
        <v>1</v>
      </c>
      <c r="CH120" s="246">
        <v>0</v>
      </c>
      <c r="CI120" s="219" t="e">
        <f t="shared" si="13"/>
        <v>#DIV/0!</v>
      </c>
      <c r="CJ120" s="245">
        <v>1</v>
      </c>
      <c r="CK120" s="246">
        <v>0</v>
      </c>
      <c r="CL120" s="163" t="e">
        <f t="shared" si="14"/>
        <v>#DIV/0!</v>
      </c>
      <c r="CM120" s="245">
        <v>1</v>
      </c>
      <c r="CN120" s="246">
        <v>0</v>
      </c>
      <c r="CO120" s="163" t="e">
        <f t="shared" si="15"/>
        <v>#DIV/0!</v>
      </c>
      <c r="CP120" s="245">
        <v>1</v>
      </c>
      <c r="CQ120" s="246">
        <v>0</v>
      </c>
      <c r="CR120" s="163" t="e">
        <f t="shared" si="16"/>
        <v>#DIV/0!</v>
      </c>
      <c r="CS120" s="207" t="e">
        <f t="shared" si="17"/>
        <v>#DIV/0!</v>
      </c>
      <c r="CT120" s="258"/>
      <c r="CU120" s="258"/>
      <c r="CV120" s="258"/>
      <c r="CW120" s="258"/>
      <c r="CX120" s="258"/>
      <c r="CY120" s="258"/>
      <c r="CZ120" s="258"/>
      <c r="DA120" s="258"/>
      <c r="DB120" s="258"/>
      <c r="DC120" s="258"/>
    </row>
    <row r="121" spans="1:173">
      <c r="B121" s="205">
        <f>ANACO!B117</f>
        <v>0</v>
      </c>
      <c r="C121" s="204">
        <f>ANACO!C117</f>
        <v>0</v>
      </c>
      <c r="D121" s="165">
        <f>ANACO!H117</f>
        <v>0</v>
      </c>
      <c r="E121" s="165"/>
      <c r="F121" s="203">
        <f>ANACO!G117</f>
        <v>0</v>
      </c>
      <c r="G121" s="203">
        <f>ANACO!I117</f>
        <v>0</v>
      </c>
      <c r="H121" s="166">
        <f>ANACO!BS117</f>
        <v>0</v>
      </c>
      <c r="I121" s="172">
        <f>ANACO!BT117</f>
        <v>0</v>
      </c>
      <c r="J121" s="161"/>
      <c r="K121" s="161">
        <f t="shared" si="9"/>
        <v>0</v>
      </c>
      <c r="L121" s="244">
        <v>0</v>
      </c>
      <c r="M121" s="244"/>
      <c r="N121" s="244"/>
      <c r="O121" s="244"/>
      <c r="P121" s="244"/>
      <c r="Q121" s="244"/>
      <c r="R121" s="244"/>
      <c r="S121" s="244"/>
      <c r="T121" s="244"/>
      <c r="U121" s="244"/>
      <c r="V121" s="244"/>
      <c r="W121" s="244"/>
      <c r="X121" s="244"/>
      <c r="Y121" s="244"/>
      <c r="Z121" s="244"/>
      <c r="AA121" s="244"/>
      <c r="AB121" s="244"/>
      <c r="AC121" s="244"/>
      <c r="AD121" s="244"/>
      <c r="AE121" s="244"/>
      <c r="AF121" s="244"/>
      <c r="AG121" s="244"/>
      <c r="AH121" s="244"/>
      <c r="AI121" s="244"/>
      <c r="AJ121" s="244"/>
      <c r="AK121" s="244"/>
      <c r="AL121" s="244"/>
      <c r="AM121" s="244"/>
      <c r="AN121" s="244"/>
      <c r="AO121" s="244"/>
      <c r="AP121" s="244"/>
      <c r="AQ121" s="244"/>
      <c r="AR121" s="244"/>
      <c r="AS121" s="244"/>
      <c r="AT121" s="244"/>
      <c r="AU121" s="244"/>
      <c r="AV121" s="161"/>
      <c r="AW121" s="161"/>
      <c r="AX121" s="243">
        <v>0</v>
      </c>
      <c r="AY121" s="161"/>
      <c r="AZ121" s="161"/>
      <c r="BA121" s="243">
        <v>0</v>
      </c>
      <c r="BB121" s="212">
        <f t="shared" si="10"/>
        <v>0</v>
      </c>
      <c r="BC121" s="256"/>
      <c r="BD121" s="162" t="e">
        <f t="shared" si="11"/>
        <v>#DIV/0!</v>
      </c>
      <c r="BE121" s="162" t="e">
        <f t="shared" si="12"/>
        <v>#DIV/0!</v>
      </c>
      <c r="BF121" s="243"/>
      <c r="BG121" s="243"/>
      <c r="BH121" s="243"/>
      <c r="BI121" s="257"/>
      <c r="BJ121" s="257"/>
      <c r="BK121" s="243"/>
      <c r="BL121" s="243"/>
      <c r="BM121" s="243"/>
      <c r="BN121" s="243"/>
      <c r="BO121" s="243"/>
      <c r="BP121" s="243"/>
      <c r="BQ121" s="243"/>
      <c r="BR121" s="243"/>
      <c r="BS121" s="243"/>
      <c r="BT121" s="243"/>
      <c r="BU121" s="243"/>
      <c r="BV121" s="243"/>
      <c r="BW121" s="243"/>
      <c r="BX121" s="243"/>
      <c r="BY121" s="243"/>
      <c r="BZ121" s="243"/>
      <c r="CA121" s="243"/>
      <c r="CB121" s="243"/>
      <c r="CC121" s="243"/>
      <c r="CD121" s="243"/>
      <c r="CE121" s="245">
        <v>0</v>
      </c>
      <c r="CF121" s="245">
        <v>0</v>
      </c>
      <c r="CG121" s="245">
        <v>1</v>
      </c>
      <c r="CH121" s="246">
        <v>0</v>
      </c>
      <c r="CI121" s="219" t="e">
        <f t="shared" si="13"/>
        <v>#DIV/0!</v>
      </c>
      <c r="CJ121" s="245">
        <v>1</v>
      </c>
      <c r="CK121" s="246">
        <v>0</v>
      </c>
      <c r="CL121" s="163" t="e">
        <f t="shared" si="14"/>
        <v>#DIV/0!</v>
      </c>
      <c r="CM121" s="245">
        <v>1</v>
      </c>
      <c r="CN121" s="246">
        <v>0</v>
      </c>
      <c r="CO121" s="163" t="e">
        <f t="shared" si="15"/>
        <v>#DIV/0!</v>
      </c>
      <c r="CP121" s="245">
        <v>1</v>
      </c>
      <c r="CQ121" s="246">
        <v>0</v>
      </c>
      <c r="CR121" s="163" t="e">
        <f t="shared" si="16"/>
        <v>#DIV/0!</v>
      </c>
      <c r="CS121" s="207" t="e">
        <f t="shared" si="17"/>
        <v>#DIV/0!</v>
      </c>
      <c r="CT121" s="258"/>
      <c r="CU121" s="258"/>
      <c r="CV121" s="258"/>
      <c r="CW121" s="258"/>
      <c r="CX121" s="258"/>
      <c r="CY121" s="258"/>
      <c r="CZ121" s="258"/>
      <c r="DA121" s="258"/>
      <c r="DB121" s="258"/>
      <c r="DC121" s="258"/>
    </row>
    <row r="122" spans="1:173">
      <c r="B122" s="205">
        <f>ANACO!B118</f>
        <v>0</v>
      </c>
      <c r="C122" s="204">
        <f>ANACO!C118</f>
        <v>0</v>
      </c>
      <c r="D122" s="165">
        <f>ANACO!H118</f>
        <v>0</v>
      </c>
      <c r="E122" s="165"/>
      <c r="F122" s="203">
        <f>ANACO!G118</f>
        <v>0</v>
      </c>
      <c r="G122" s="203">
        <f>ANACO!I118</f>
        <v>0</v>
      </c>
      <c r="H122" s="166">
        <f>ANACO!BS118</f>
        <v>0</v>
      </c>
      <c r="I122" s="172">
        <f>ANACO!BT118</f>
        <v>0</v>
      </c>
      <c r="J122" s="161"/>
      <c r="K122" s="161">
        <f t="shared" si="9"/>
        <v>0</v>
      </c>
      <c r="L122" s="244">
        <v>0</v>
      </c>
      <c r="M122" s="244"/>
      <c r="N122" s="244"/>
      <c r="O122" s="244"/>
      <c r="P122" s="244"/>
      <c r="Q122" s="244"/>
      <c r="R122" s="244"/>
      <c r="S122" s="244"/>
      <c r="T122" s="244"/>
      <c r="U122" s="244"/>
      <c r="V122" s="244"/>
      <c r="W122" s="244"/>
      <c r="X122" s="244"/>
      <c r="Y122" s="244"/>
      <c r="Z122" s="244"/>
      <c r="AA122" s="244"/>
      <c r="AB122" s="244"/>
      <c r="AC122" s="244"/>
      <c r="AD122" s="244"/>
      <c r="AE122" s="244"/>
      <c r="AF122" s="244"/>
      <c r="AG122" s="244"/>
      <c r="AH122" s="244"/>
      <c r="AI122" s="244"/>
      <c r="AJ122" s="244"/>
      <c r="AK122" s="244"/>
      <c r="AL122" s="244"/>
      <c r="AM122" s="244"/>
      <c r="AN122" s="244"/>
      <c r="AO122" s="244"/>
      <c r="AP122" s="244"/>
      <c r="AQ122" s="244"/>
      <c r="AR122" s="244"/>
      <c r="AS122" s="244"/>
      <c r="AT122" s="244"/>
      <c r="AU122" s="244"/>
      <c r="AV122" s="161"/>
      <c r="AW122" s="161"/>
      <c r="AX122" s="243">
        <v>0</v>
      </c>
      <c r="AY122" s="161"/>
      <c r="AZ122" s="161"/>
      <c r="BA122" s="243">
        <v>0</v>
      </c>
      <c r="BB122" s="212">
        <f t="shared" si="10"/>
        <v>0</v>
      </c>
      <c r="BC122" s="256"/>
      <c r="BD122" s="162" t="e">
        <f t="shared" si="11"/>
        <v>#DIV/0!</v>
      </c>
      <c r="BE122" s="162" t="e">
        <f t="shared" si="12"/>
        <v>#DIV/0!</v>
      </c>
      <c r="BF122" s="243"/>
      <c r="BG122" s="243"/>
      <c r="BH122" s="243"/>
      <c r="BI122" s="257"/>
      <c r="BJ122" s="257"/>
      <c r="BK122" s="243"/>
      <c r="BL122" s="243"/>
      <c r="BM122" s="243"/>
      <c r="BN122" s="243"/>
      <c r="BO122" s="243"/>
      <c r="BP122" s="243"/>
      <c r="BQ122" s="243"/>
      <c r="BR122" s="243"/>
      <c r="BS122" s="243"/>
      <c r="BT122" s="243"/>
      <c r="BU122" s="243"/>
      <c r="BV122" s="243"/>
      <c r="BW122" s="243"/>
      <c r="BX122" s="243"/>
      <c r="BY122" s="243"/>
      <c r="BZ122" s="243"/>
      <c r="CA122" s="243"/>
      <c r="CB122" s="243"/>
      <c r="CC122" s="243"/>
      <c r="CD122" s="243"/>
      <c r="CE122" s="245">
        <v>0</v>
      </c>
      <c r="CF122" s="245">
        <v>0</v>
      </c>
      <c r="CG122" s="245">
        <v>1</v>
      </c>
      <c r="CH122" s="246">
        <v>0</v>
      </c>
      <c r="CI122" s="219" t="e">
        <f t="shared" si="13"/>
        <v>#DIV/0!</v>
      </c>
      <c r="CJ122" s="245">
        <v>1</v>
      </c>
      <c r="CK122" s="246">
        <v>0</v>
      </c>
      <c r="CL122" s="163" t="e">
        <f t="shared" si="14"/>
        <v>#DIV/0!</v>
      </c>
      <c r="CM122" s="245">
        <v>1</v>
      </c>
      <c r="CN122" s="246">
        <v>0</v>
      </c>
      <c r="CO122" s="163" t="e">
        <f t="shared" si="15"/>
        <v>#DIV/0!</v>
      </c>
      <c r="CP122" s="245">
        <v>1</v>
      </c>
      <c r="CQ122" s="246">
        <v>0</v>
      </c>
      <c r="CR122" s="163" t="e">
        <f t="shared" si="16"/>
        <v>#DIV/0!</v>
      </c>
      <c r="CS122" s="207" t="e">
        <f t="shared" si="17"/>
        <v>#DIV/0!</v>
      </c>
      <c r="CT122" s="258"/>
      <c r="CU122" s="258"/>
      <c r="CV122" s="258"/>
      <c r="CW122" s="258"/>
      <c r="CX122" s="258"/>
      <c r="CY122" s="258"/>
      <c r="CZ122" s="258"/>
      <c r="DA122" s="258"/>
      <c r="DB122" s="258"/>
      <c r="DC122" s="258"/>
    </row>
    <row r="123" spans="1:173">
      <c r="B123" s="205">
        <f>ANACO!B119</f>
        <v>0</v>
      </c>
      <c r="C123" s="204">
        <f>ANACO!C119</f>
        <v>0</v>
      </c>
      <c r="D123" s="165">
        <f>ANACO!H119</f>
        <v>0</v>
      </c>
      <c r="E123" s="165"/>
      <c r="F123" s="203">
        <f>ANACO!G119</f>
        <v>0</v>
      </c>
      <c r="G123" s="203">
        <f>ANACO!I119</f>
        <v>0</v>
      </c>
      <c r="H123" s="166">
        <f>ANACO!BS119</f>
        <v>0</v>
      </c>
      <c r="I123" s="172">
        <f>ANACO!BT119</f>
        <v>0</v>
      </c>
      <c r="J123" s="161"/>
      <c r="K123" s="161">
        <f t="shared" si="9"/>
        <v>0</v>
      </c>
      <c r="L123" s="244">
        <v>0</v>
      </c>
      <c r="M123" s="244"/>
      <c r="N123" s="244"/>
      <c r="O123" s="244"/>
      <c r="P123" s="244"/>
      <c r="Q123" s="244"/>
      <c r="R123" s="244"/>
      <c r="S123" s="244"/>
      <c r="T123" s="244"/>
      <c r="U123" s="244"/>
      <c r="V123" s="244"/>
      <c r="W123" s="244"/>
      <c r="X123" s="244"/>
      <c r="Y123" s="244"/>
      <c r="Z123" s="244"/>
      <c r="AA123" s="244"/>
      <c r="AB123" s="244"/>
      <c r="AC123" s="244"/>
      <c r="AD123" s="244"/>
      <c r="AE123" s="244"/>
      <c r="AF123" s="244"/>
      <c r="AG123" s="244"/>
      <c r="AH123" s="244"/>
      <c r="AI123" s="244"/>
      <c r="AJ123" s="244"/>
      <c r="AK123" s="244"/>
      <c r="AL123" s="244"/>
      <c r="AM123" s="244"/>
      <c r="AN123" s="244"/>
      <c r="AO123" s="244"/>
      <c r="AP123" s="244"/>
      <c r="AQ123" s="244"/>
      <c r="AR123" s="244"/>
      <c r="AS123" s="244"/>
      <c r="AT123" s="244"/>
      <c r="AU123" s="244"/>
      <c r="AV123" s="161"/>
      <c r="AW123" s="161"/>
      <c r="AX123" s="243">
        <v>0</v>
      </c>
      <c r="AY123" s="161"/>
      <c r="AZ123" s="161"/>
      <c r="BA123" s="243">
        <v>0</v>
      </c>
      <c r="BB123" s="212">
        <f t="shared" si="10"/>
        <v>0</v>
      </c>
      <c r="BC123" s="256"/>
      <c r="BD123" s="162" t="e">
        <f t="shared" si="11"/>
        <v>#DIV/0!</v>
      </c>
      <c r="BE123" s="162" t="e">
        <f t="shared" si="12"/>
        <v>#DIV/0!</v>
      </c>
      <c r="BF123" s="243"/>
      <c r="BG123" s="243"/>
      <c r="BH123" s="243"/>
      <c r="BI123" s="257"/>
      <c r="BJ123" s="257"/>
      <c r="BK123" s="243"/>
      <c r="BL123" s="243"/>
      <c r="BM123" s="243"/>
      <c r="BN123" s="243"/>
      <c r="BO123" s="243"/>
      <c r="BP123" s="243"/>
      <c r="BQ123" s="243"/>
      <c r="BR123" s="243"/>
      <c r="BS123" s="243"/>
      <c r="BT123" s="243"/>
      <c r="BU123" s="243"/>
      <c r="BV123" s="243"/>
      <c r="BW123" s="243"/>
      <c r="BX123" s="243"/>
      <c r="BY123" s="243"/>
      <c r="BZ123" s="243"/>
      <c r="CA123" s="243"/>
      <c r="CB123" s="243"/>
      <c r="CC123" s="243"/>
      <c r="CD123" s="243"/>
      <c r="CE123" s="245">
        <v>0</v>
      </c>
      <c r="CF123" s="245">
        <v>0</v>
      </c>
      <c r="CG123" s="245">
        <v>1</v>
      </c>
      <c r="CH123" s="246">
        <v>0</v>
      </c>
      <c r="CI123" s="219" t="e">
        <f t="shared" si="13"/>
        <v>#DIV/0!</v>
      </c>
      <c r="CJ123" s="245">
        <v>1</v>
      </c>
      <c r="CK123" s="246">
        <v>0</v>
      </c>
      <c r="CL123" s="163" t="e">
        <f t="shared" si="14"/>
        <v>#DIV/0!</v>
      </c>
      <c r="CM123" s="245">
        <v>1</v>
      </c>
      <c r="CN123" s="246">
        <v>0</v>
      </c>
      <c r="CO123" s="163" t="e">
        <f t="shared" si="15"/>
        <v>#DIV/0!</v>
      </c>
      <c r="CP123" s="245">
        <v>1</v>
      </c>
      <c r="CQ123" s="246">
        <v>0</v>
      </c>
      <c r="CR123" s="163" t="e">
        <f t="shared" si="16"/>
        <v>#DIV/0!</v>
      </c>
      <c r="CS123" s="207" t="e">
        <f t="shared" si="17"/>
        <v>#DIV/0!</v>
      </c>
      <c r="CT123" s="258"/>
      <c r="CU123" s="258"/>
      <c r="CV123" s="258"/>
      <c r="CW123" s="258"/>
      <c r="CX123" s="258"/>
      <c r="CY123" s="258"/>
      <c r="CZ123" s="258"/>
      <c r="DA123" s="258"/>
      <c r="DB123" s="258"/>
      <c r="DC123" s="258"/>
    </row>
    <row r="124" spans="1:173">
      <c r="B124" s="205">
        <f>ANACO!B120</f>
        <v>0</v>
      </c>
      <c r="C124" s="204">
        <f>ANACO!C120</f>
        <v>0</v>
      </c>
      <c r="D124" s="165">
        <f>ANACO!H120</f>
        <v>0</v>
      </c>
      <c r="E124" s="165"/>
      <c r="F124" s="203">
        <f>ANACO!G120</f>
        <v>0</v>
      </c>
      <c r="G124" s="203">
        <f>ANACO!I120</f>
        <v>0</v>
      </c>
      <c r="H124" s="166">
        <f>ANACO!BS120</f>
        <v>0</v>
      </c>
      <c r="I124" s="172">
        <f>ANACO!BT120</f>
        <v>0</v>
      </c>
      <c r="J124" s="161"/>
      <c r="K124" s="161">
        <f t="shared" si="9"/>
        <v>0</v>
      </c>
      <c r="L124" s="244">
        <v>0</v>
      </c>
      <c r="M124" s="244"/>
      <c r="N124" s="244"/>
      <c r="O124" s="244"/>
      <c r="P124" s="244"/>
      <c r="Q124" s="244"/>
      <c r="R124" s="244"/>
      <c r="S124" s="244"/>
      <c r="T124" s="244"/>
      <c r="U124" s="244"/>
      <c r="V124" s="244"/>
      <c r="W124" s="244"/>
      <c r="X124" s="244"/>
      <c r="Y124" s="244"/>
      <c r="Z124" s="244"/>
      <c r="AA124" s="244"/>
      <c r="AB124" s="244"/>
      <c r="AC124" s="244"/>
      <c r="AD124" s="244"/>
      <c r="AE124" s="244"/>
      <c r="AF124" s="244"/>
      <c r="AG124" s="244"/>
      <c r="AH124" s="244"/>
      <c r="AI124" s="244"/>
      <c r="AJ124" s="244"/>
      <c r="AK124" s="244"/>
      <c r="AL124" s="244"/>
      <c r="AM124" s="244"/>
      <c r="AN124" s="244"/>
      <c r="AO124" s="244"/>
      <c r="AP124" s="244"/>
      <c r="AQ124" s="244"/>
      <c r="AR124" s="244"/>
      <c r="AS124" s="244"/>
      <c r="AT124" s="244"/>
      <c r="AU124" s="244"/>
      <c r="AV124" s="161"/>
      <c r="AW124" s="161"/>
      <c r="AX124" s="243">
        <v>0</v>
      </c>
      <c r="AY124" s="161"/>
      <c r="AZ124" s="161"/>
      <c r="BA124" s="243">
        <v>0</v>
      </c>
      <c r="BB124" s="212">
        <f t="shared" si="10"/>
        <v>0</v>
      </c>
      <c r="BC124" s="256"/>
      <c r="BD124" s="162" t="e">
        <f t="shared" si="11"/>
        <v>#DIV/0!</v>
      </c>
      <c r="BE124" s="162" t="e">
        <f t="shared" si="12"/>
        <v>#DIV/0!</v>
      </c>
      <c r="BF124" s="243"/>
      <c r="BG124" s="243"/>
      <c r="BH124" s="243"/>
      <c r="BI124" s="257"/>
      <c r="BJ124" s="257"/>
      <c r="BK124" s="243"/>
      <c r="BL124" s="243"/>
      <c r="BM124" s="243"/>
      <c r="BN124" s="243"/>
      <c r="BO124" s="243"/>
      <c r="BP124" s="243"/>
      <c r="BQ124" s="243"/>
      <c r="BR124" s="243"/>
      <c r="BS124" s="243"/>
      <c r="BT124" s="243"/>
      <c r="BU124" s="243"/>
      <c r="BV124" s="243"/>
      <c r="BW124" s="243"/>
      <c r="BX124" s="243"/>
      <c r="BY124" s="243"/>
      <c r="BZ124" s="243"/>
      <c r="CA124" s="243"/>
      <c r="CB124" s="243"/>
      <c r="CC124" s="243"/>
      <c r="CD124" s="243"/>
      <c r="CE124" s="245">
        <v>0</v>
      </c>
      <c r="CF124" s="245">
        <v>0</v>
      </c>
      <c r="CG124" s="245">
        <v>1</v>
      </c>
      <c r="CH124" s="246">
        <v>0</v>
      </c>
      <c r="CI124" s="219" t="e">
        <f t="shared" si="13"/>
        <v>#DIV/0!</v>
      </c>
      <c r="CJ124" s="245">
        <v>1</v>
      </c>
      <c r="CK124" s="246">
        <v>0</v>
      </c>
      <c r="CL124" s="163" t="e">
        <f t="shared" si="14"/>
        <v>#DIV/0!</v>
      </c>
      <c r="CM124" s="245">
        <v>1</v>
      </c>
      <c r="CN124" s="246">
        <v>0</v>
      </c>
      <c r="CO124" s="163" t="e">
        <f t="shared" si="15"/>
        <v>#DIV/0!</v>
      </c>
      <c r="CP124" s="245">
        <v>1</v>
      </c>
      <c r="CQ124" s="246">
        <v>0</v>
      </c>
      <c r="CR124" s="163" t="e">
        <f t="shared" si="16"/>
        <v>#DIV/0!</v>
      </c>
      <c r="CS124" s="207" t="e">
        <f t="shared" si="17"/>
        <v>#DIV/0!</v>
      </c>
      <c r="CT124" s="258"/>
      <c r="CU124" s="258"/>
      <c r="CV124" s="258"/>
      <c r="CW124" s="258"/>
      <c r="CX124" s="258"/>
      <c r="CY124" s="258"/>
      <c r="CZ124" s="258"/>
      <c r="DA124" s="258"/>
      <c r="DB124" s="258"/>
      <c r="DC124" s="258"/>
    </row>
    <row r="125" spans="1:173" s="168" customFormat="1">
      <c r="A125" s="156"/>
      <c r="B125" s="205">
        <f>ANACO!B121</f>
        <v>0</v>
      </c>
      <c r="C125" s="204">
        <f>ANACO!C121</f>
        <v>0</v>
      </c>
      <c r="D125" s="165">
        <f>ANACO!H121</f>
        <v>0</v>
      </c>
      <c r="E125" s="165"/>
      <c r="F125" s="203">
        <f>ANACO!G121</f>
        <v>0</v>
      </c>
      <c r="G125" s="203">
        <f>ANACO!I121</f>
        <v>0</v>
      </c>
      <c r="H125" s="166">
        <f>ANACO!BS121</f>
        <v>0</v>
      </c>
      <c r="I125" s="172">
        <f>ANACO!BT121</f>
        <v>0</v>
      </c>
      <c r="J125" s="161"/>
      <c r="K125" s="161">
        <f t="shared" si="9"/>
        <v>0</v>
      </c>
      <c r="L125" s="244">
        <v>0</v>
      </c>
      <c r="M125" s="244"/>
      <c r="N125" s="244"/>
      <c r="O125" s="244"/>
      <c r="P125" s="244"/>
      <c r="Q125" s="244"/>
      <c r="R125" s="244"/>
      <c r="S125" s="244"/>
      <c r="T125" s="244"/>
      <c r="U125" s="244"/>
      <c r="V125" s="244"/>
      <c r="W125" s="244"/>
      <c r="X125" s="244"/>
      <c r="Y125" s="244"/>
      <c r="Z125" s="244"/>
      <c r="AA125" s="244"/>
      <c r="AB125" s="244"/>
      <c r="AC125" s="244"/>
      <c r="AD125" s="244"/>
      <c r="AE125" s="244"/>
      <c r="AF125" s="244"/>
      <c r="AG125" s="244"/>
      <c r="AH125" s="244"/>
      <c r="AI125" s="244"/>
      <c r="AJ125" s="244"/>
      <c r="AK125" s="244"/>
      <c r="AL125" s="244"/>
      <c r="AM125" s="244"/>
      <c r="AN125" s="244"/>
      <c r="AO125" s="244"/>
      <c r="AP125" s="244"/>
      <c r="AQ125" s="244"/>
      <c r="AR125" s="244"/>
      <c r="AS125" s="244"/>
      <c r="AT125" s="244"/>
      <c r="AU125" s="244"/>
      <c r="AV125" s="161"/>
      <c r="AW125" s="161"/>
      <c r="AX125" s="243">
        <v>0</v>
      </c>
      <c r="AY125" s="161"/>
      <c r="AZ125" s="161"/>
      <c r="BA125" s="243">
        <v>0</v>
      </c>
      <c r="BB125" s="212">
        <f t="shared" si="10"/>
        <v>0</v>
      </c>
      <c r="BC125" s="256"/>
      <c r="BD125" s="162" t="e">
        <f t="shared" si="11"/>
        <v>#DIV/0!</v>
      </c>
      <c r="BE125" s="162" t="e">
        <f t="shared" si="12"/>
        <v>#DIV/0!</v>
      </c>
      <c r="BF125" s="243"/>
      <c r="BG125" s="243"/>
      <c r="BH125" s="243"/>
      <c r="BI125" s="257"/>
      <c r="BJ125" s="257"/>
      <c r="BK125" s="243"/>
      <c r="BL125" s="243"/>
      <c r="BM125" s="243"/>
      <c r="BN125" s="243"/>
      <c r="BO125" s="243"/>
      <c r="BP125" s="243"/>
      <c r="BQ125" s="243"/>
      <c r="BR125" s="243"/>
      <c r="BS125" s="243"/>
      <c r="BT125" s="243"/>
      <c r="BU125" s="243"/>
      <c r="BV125" s="243"/>
      <c r="BW125" s="243"/>
      <c r="BX125" s="243"/>
      <c r="BY125" s="243"/>
      <c r="BZ125" s="243"/>
      <c r="CA125" s="243"/>
      <c r="CB125" s="243"/>
      <c r="CC125" s="243"/>
      <c r="CD125" s="243"/>
      <c r="CE125" s="245">
        <v>0</v>
      </c>
      <c r="CF125" s="245">
        <v>0</v>
      </c>
      <c r="CG125" s="245">
        <v>1</v>
      </c>
      <c r="CH125" s="246">
        <v>0</v>
      </c>
      <c r="CI125" s="219" t="e">
        <f t="shared" si="13"/>
        <v>#DIV/0!</v>
      </c>
      <c r="CJ125" s="245">
        <v>1</v>
      </c>
      <c r="CK125" s="246">
        <v>0</v>
      </c>
      <c r="CL125" s="163" t="e">
        <f t="shared" si="14"/>
        <v>#DIV/0!</v>
      </c>
      <c r="CM125" s="245">
        <v>1</v>
      </c>
      <c r="CN125" s="246">
        <v>0</v>
      </c>
      <c r="CO125" s="163" t="e">
        <f t="shared" si="15"/>
        <v>#DIV/0!</v>
      </c>
      <c r="CP125" s="245">
        <v>1</v>
      </c>
      <c r="CQ125" s="246">
        <v>0</v>
      </c>
      <c r="CR125" s="163" t="e">
        <f t="shared" si="16"/>
        <v>#DIV/0!</v>
      </c>
      <c r="CS125" s="207" t="e">
        <f t="shared" si="17"/>
        <v>#DIV/0!</v>
      </c>
      <c r="CT125" s="258"/>
      <c r="CU125" s="258"/>
      <c r="CV125" s="258"/>
      <c r="CW125" s="258"/>
      <c r="CX125" s="258"/>
      <c r="CY125" s="258"/>
      <c r="CZ125" s="258"/>
      <c r="DA125" s="258"/>
      <c r="DB125" s="258"/>
      <c r="DC125" s="258"/>
      <c r="DD125" s="156"/>
      <c r="DE125" s="156"/>
      <c r="DF125" s="156"/>
      <c r="DG125" s="156"/>
      <c r="DH125" s="156"/>
      <c r="DI125" s="156"/>
      <c r="DJ125" s="156"/>
      <c r="DK125" s="156"/>
      <c r="DL125" s="156"/>
      <c r="DM125" s="156"/>
      <c r="DN125" s="156"/>
      <c r="DO125" s="156"/>
      <c r="DP125" s="156"/>
      <c r="DQ125" s="156"/>
      <c r="DR125" s="156"/>
      <c r="DS125" s="156"/>
      <c r="DT125" s="156"/>
      <c r="DU125" s="156"/>
      <c r="DV125" s="156"/>
      <c r="DW125" s="156"/>
      <c r="DX125" s="156"/>
      <c r="DY125" s="156"/>
      <c r="DZ125" s="156"/>
      <c r="EA125" s="156"/>
      <c r="EB125" s="156"/>
      <c r="EC125" s="156"/>
      <c r="ED125" s="156"/>
      <c r="EE125" s="156"/>
      <c r="EF125" s="156"/>
      <c r="EG125" s="156"/>
      <c r="EH125" s="156"/>
      <c r="EI125" s="156"/>
      <c r="EJ125" s="156"/>
      <c r="EK125" s="156"/>
      <c r="EL125" s="156"/>
      <c r="EM125" s="156"/>
      <c r="EN125" s="156"/>
      <c r="EO125" s="156"/>
      <c r="EP125" s="156"/>
      <c r="EQ125" s="156"/>
      <c r="ER125" s="156"/>
      <c r="ES125" s="156"/>
      <c r="ET125" s="156"/>
      <c r="EU125" s="156"/>
      <c r="EV125" s="156"/>
      <c r="EW125" s="156"/>
      <c r="EX125" s="156"/>
      <c r="EY125" s="156"/>
      <c r="EZ125" s="156"/>
      <c r="FA125" s="156"/>
      <c r="FB125" s="156"/>
      <c r="FC125" s="156"/>
      <c r="FD125" s="156"/>
      <c r="FE125" s="156"/>
      <c r="FF125" s="156"/>
      <c r="FG125" s="156"/>
      <c r="FH125" s="156"/>
      <c r="FI125" s="156"/>
      <c r="FJ125" s="156"/>
      <c r="FK125" s="156"/>
      <c r="FL125" s="156"/>
      <c r="FM125" s="156"/>
      <c r="FN125" s="156"/>
      <c r="FO125" s="156"/>
      <c r="FP125" s="156"/>
      <c r="FQ125" s="156"/>
    </row>
    <row r="126" spans="1:173" s="168" customFormat="1">
      <c r="A126" s="156"/>
      <c r="B126" s="205">
        <f>ANACO!B122</f>
        <v>0</v>
      </c>
      <c r="C126" s="204">
        <f>ANACO!C122</f>
        <v>0</v>
      </c>
      <c r="D126" s="165">
        <f>ANACO!H122</f>
        <v>0</v>
      </c>
      <c r="E126" s="165"/>
      <c r="F126" s="203">
        <f>ANACO!G122</f>
        <v>0</v>
      </c>
      <c r="G126" s="203">
        <f>ANACO!I122</f>
        <v>0</v>
      </c>
      <c r="H126" s="166">
        <f>ANACO!BS122</f>
        <v>0</v>
      </c>
      <c r="I126" s="172">
        <f>ANACO!BT122</f>
        <v>0</v>
      </c>
      <c r="J126" s="161"/>
      <c r="K126" s="161">
        <f t="shared" si="9"/>
        <v>0</v>
      </c>
      <c r="L126" s="244">
        <v>0</v>
      </c>
      <c r="M126" s="244"/>
      <c r="N126" s="244"/>
      <c r="O126" s="244"/>
      <c r="P126" s="244"/>
      <c r="Q126" s="244"/>
      <c r="R126" s="244"/>
      <c r="S126" s="244"/>
      <c r="T126" s="244"/>
      <c r="U126" s="244"/>
      <c r="V126" s="244"/>
      <c r="W126" s="244"/>
      <c r="X126" s="244"/>
      <c r="Y126" s="244"/>
      <c r="Z126" s="244"/>
      <c r="AA126" s="244"/>
      <c r="AB126" s="244"/>
      <c r="AC126" s="244"/>
      <c r="AD126" s="244"/>
      <c r="AE126" s="244"/>
      <c r="AF126" s="244"/>
      <c r="AG126" s="244"/>
      <c r="AH126" s="244"/>
      <c r="AI126" s="244"/>
      <c r="AJ126" s="244"/>
      <c r="AK126" s="244"/>
      <c r="AL126" s="244"/>
      <c r="AM126" s="244"/>
      <c r="AN126" s="244"/>
      <c r="AO126" s="244"/>
      <c r="AP126" s="244"/>
      <c r="AQ126" s="244"/>
      <c r="AR126" s="244"/>
      <c r="AS126" s="244"/>
      <c r="AT126" s="244"/>
      <c r="AU126" s="244"/>
      <c r="AV126" s="161"/>
      <c r="AW126" s="161"/>
      <c r="AX126" s="243">
        <v>0</v>
      </c>
      <c r="AY126" s="161"/>
      <c r="AZ126" s="161"/>
      <c r="BA126" s="243">
        <v>0</v>
      </c>
      <c r="BB126" s="212">
        <f t="shared" si="10"/>
        <v>0</v>
      </c>
      <c r="BC126" s="256"/>
      <c r="BD126" s="162" t="e">
        <f t="shared" si="11"/>
        <v>#DIV/0!</v>
      </c>
      <c r="BE126" s="162" t="e">
        <f t="shared" si="12"/>
        <v>#DIV/0!</v>
      </c>
      <c r="BF126" s="243"/>
      <c r="BG126" s="243"/>
      <c r="BH126" s="243"/>
      <c r="BI126" s="257"/>
      <c r="BJ126" s="257"/>
      <c r="BK126" s="243"/>
      <c r="BL126" s="243"/>
      <c r="BM126" s="243"/>
      <c r="BN126" s="243"/>
      <c r="BO126" s="243"/>
      <c r="BP126" s="243"/>
      <c r="BQ126" s="243"/>
      <c r="BR126" s="243"/>
      <c r="BS126" s="243"/>
      <c r="BT126" s="243"/>
      <c r="BU126" s="243"/>
      <c r="BV126" s="243"/>
      <c r="BW126" s="243"/>
      <c r="BX126" s="243"/>
      <c r="BY126" s="243"/>
      <c r="BZ126" s="243"/>
      <c r="CA126" s="243"/>
      <c r="CB126" s="243"/>
      <c r="CC126" s="243"/>
      <c r="CD126" s="243"/>
      <c r="CE126" s="245">
        <v>0</v>
      </c>
      <c r="CF126" s="245">
        <v>0</v>
      </c>
      <c r="CG126" s="245">
        <v>1</v>
      </c>
      <c r="CH126" s="246">
        <v>0</v>
      </c>
      <c r="CI126" s="219" t="e">
        <f t="shared" si="13"/>
        <v>#DIV/0!</v>
      </c>
      <c r="CJ126" s="245">
        <v>1</v>
      </c>
      <c r="CK126" s="246">
        <v>0</v>
      </c>
      <c r="CL126" s="163" t="e">
        <f t="shared" si="14"/>
        <v>#DIV/0!</v>
      </c>
      <c r="CM126" s="245">
        <v>1</v>
      </c>
      <c r="CN126" s="246">
        <v>0</v>
      </c>
      <c r="CO126" s="163" t="e">
        <f t="shared" si="15"/>
        <v>#DIV/0!</v>
      </c>
      <c r="CP126" s="245">
        <v>1</v>
      </c>
      <c r="CQ126" s="246">
        <v>0</v>
      </c>
      <c r="CR126" s="163" t="e">
        <f t="shared" si="16"/>
        <v>#DIV/0!</v>
      </c>
      <c r="CS126" s="207" t="e">
        <f t="shared" si="17"/>
        <v>#DIV/0!</v>
      </c>
      <c r="CT126" s="258"/>
      <c r="CU126" s="258"/>
      <c r="CV126" s="258"/>
      <c r="CW126" s="258"/>
      <c r="CX126" s="258"/>
      <c r="CY126" s="258"/>
      <c r="CZ126" s="258"/>
      <c r="DA126" s="258"/>
      <c r="DB126" s="258"/>
      <c r="DC126" s="258"/>
      <c r="DD126" s="156"/>
      <c r="DE126" s="156"/>
      <c r="DF126" s="156"/>
      <c r="DG126" s="156"/>
      <c r="DH126" s="156"/>
      <c r="DI126" s="156"/>
      <c r="DJ126" s="156"/>
      <c r="DK126" s="156"/>
      <c r="DL126" s="156"/>
      <c r="DM126" s="156"/>
      <c r="DN126" s="156"/>
      <c r="DO126" s="156"/>
      <c r="DP126" s="156"/>
      <c r="DQ126" s="156"/>
      <c r="DR126" s="156"/>
      <c r="DS126" s="156"/>
      <c r="DT126" s="156"/>
      <c r="DU126" s="156"/>
      <c r="DV126" s="156"/>
      <c r="DW126" s="156"/>
      <c r="DX126" s="156"/>
      <c r="DY126" s="156"/>
      <c r="DZ126" s="156"/>
      <c r="EA126" s="156"/>
      <c r="EB126" s="156"/>
      <c r="EC126" s="156"/>
      <c r="ED126" s="156"/>
      <c r="EE126" s="156"/>
      <c r="EF126" s="156"/>
      <c r="EG126" s="156"/>
      <c r="EH126" s="156"/>
      <c r="EI126" s="156"/>
      <c r="EJ126" s="156"/>
      <c r="EK126" s="156"/>
      <c r="EL126" s="156"/>
      <c r="EM126" s="156"/>
      <c r="EN126" s="156"/>
      <c r="EO126" s="156"/>
      <c r="EP126" s="156"/>
      <c r="EQ126" s="156"/>
      <c r="ER126" s="156"/>
      <c r="ES126" s="156"/>
      <c r="ET126" s="156"/>
      <c r="EU126" s="156"/>
      <c r="EV126" s="156"/>
      <c r="EW126" s="156"/>
      <c r="EX126" s="156"/>
      <c r="EY126" s="156"/>
      <c r="EZ126" s="156"/>
      <c r="FA126" s="156"/>
      <c r="FB126" s="156"/>
      <c r="FC126" s="156"/>
      <c r="FD126" s="156"/>
      <c r="FE126" s="156"/>
      <c r="FF126" s="156"/>
      <c r="FG126" s="156"/>
      <c r="FH126" s="156"/>
      <c r="FI126" s="156"/>
      <c r="FJ126" s="156"/>
      <c r="FK126" s="156"/>
      <c r="FL126" s="156"/>
      <c r="FM126" s="156"/>
      <c r="FN126" s="156"/>
      <c r="FO126" s="156"/>
      <c r="FP126" s="156"/>
      <c r="FQ126" s="156"/>
    </row>
    <row r="127" spans="1:173">
      <c r="B127" s="205">
        <f>ANACO!B123</f>
        <v>0</v>
      </c>
      <c r="C127" s="204">
        <f>ANACO!C123</f>
        <v>0</v>
      </c>
      <c r="D127" s="165">
        <f>ANACO!H123</f>
        <v>0</v>
      </c>
      <c r="E127" s="165"/>
      <c r="F127" s="203">
        <f>ANACO!G123</f>
        <v>0</v>
      </c>
      <c r="G127" s="203">
        <f>ANACO!I123</f>
        <v>0</v>
      </c>
      <c r="H127" s="166">
        <f>ANACO!BS123</f>
        <v>0</v>
      </c>
      <c r="I127" s="172">
        <f>ANACO!BT123</f>
        <v>0</v>
      </c>
      <c r="J127" s="161"/>
      <c r="K127" s="161">
        <f t="shared" si="9"/>
        <v>0</v>
      </c>
      <c r="L127" s="244">
        <v>0</v>
      </c>
      <c r="M127" s="244"/>
      <c r="N127" s="244"/>
      <c r="O127" s="244"/>
      <c r="P127" s="244"/>
      <c r="Q127" s="244"/>
      <c r="R127" s="244"/>
      <c r="S127" s="244"/>
      <c r="T127" s="244"/>
      <c r="U127" s="244"/>
      <c r="V127" s="244"/>
      <c r="W127" s="244"/>
      <c r="X127" s="244"/>
      <c r="Y127" s="244"/>
      <c r="Z127" s="244"/>
      <c r="AA127" s="244"/>
      <c r="AB127" s="244"/>
      <c r="AC127" s="244"/>
      <c r="AD127" s="244"/>
      <c r="AE127" s="244"/>
      <c r="AF127" s="244"/>
      <c r="AG127" s="244"/>
      <c r="AH127" s="244"/>
      <c r="AI127" s="244"/>
      <c r="AJ127" s="244"/>
      <c r="AK127" s="244"/>
      <c r="AL127" s="244"/>
      <c r="AM127" s="244"/>
      <c r="AN127" s="244"/>
      <c r="AO127" s="244"/>
      <c r="AP127" s="244"/>
      <c r="AQ127" s="244"/>
      <c r="AR127" s="244"/>
      <c r="AS127" s="244"/>
      <c r="AT127" s="244"/>
      <c r="AU127" s="244"/>
      <c r="AV127" s="161"/>
      <c r="AW127" s="161"/>
      <c r="AX127" s="243">
        <v>0</v>
      </c>
      <c r="AY127" s="161"/>
      <c r="AZ127" s="161"/>
      <c r="BA127" s="243">
        <v>0</v>
      </c>
      <c r="BB127" s="212">
        <f t="shared" si="10"/>
        <v>0</v>
      </c>
      <c r="BC127" s="256"/>
      <c r="BD127" s="162" t="e">
        <f t="shared" si="11"/>
        <v>#DIV/0!</v>
      </c>
      <c r="BE127" s="162" t="e">
        <f t="shared" si="12"/>
        <v>#DIV/0!</v>
      </c>
      <c r="BF127" s="243"/>
      <c r="BG127" s="243"/>
      <c r="BH127" s="243"/>
      <c r="BI127" s="257"/>
      <c r="BJ127" s="257"/>
      <c r="BK127" s="243"/>
      <c r="BL127" s="243"/>
      <c r="BM127" s="243"/>
      <c r="BN127" s="243"/>
      <c r="BO127" s="243"/>
      <c r="BP127" s="243"/>
      <c r="BQ127" s="243"/>
      <c r="BR127" s="243"/>
      <c r="BS127" s="243"/>
      <c r="BT127" s="243"/>
      <c r="BU127" s="243"/>
      <c r="BV127" s="243"/>
      <c r="BW127" s="243"/>
      <c r="BX127" s="243"/>
      <c r="BY127" s="243"/>
      <c r="BZ127" s="243"/>
      <c r="CA127" s="243"/>
      <c r="CB127" s="243"/>
      <c r="CC127" s="243"/>
      <c r="CD127" s="243"/>
      <c r="CE127" s="245">
        <v>0</v>
      </c>
      <c r="CF127" s="245">
        <v>0</v>
      </c>
      <c r="CG127" s="245">
        <v>1</v>
      </c>
      <c r="CH127" s="246">
        <v>0</v>
      </c>
      <c r="CI127" s="219" t="e">
        <f t="shared" si="13"/>
        <v>#DIV/0!</v>
      </c>
      <c r="CJ127" s="245">
        <v>1</v>
      </c>
      <c r="CK127" s="246">
        <v>0</v>
      </c>
      <c r="CL127" s="163" t="e">
        <f t="shared" si="14"/>
        <v>#DIV/0!</v>
      </c>
      <c r="CM127" s="245">
        <v>1</v>
      </c>
      <c r="CN127" s="246">
        <v>0</v>
      </c>
      <c r="CO127" s="163" t="e">
        <f t="shared" si="15"/>
        <v>#DIV/0!</v>
      </c>
      <c r="CP127" s="245">
        <v>1</v>
      </c>
      <c r="CQ127" s="246">
        <v>0</v>
      </c>
      <c r="CR127" s="163" t="e">
        <f t="shared" si="16"/>
        <v>#DIV/0!</v>
      </c>
      <c r="CS127" s="207" t="e">
        <f t="shared" si="17"/>
        <v>#DIV/0!</v>
      </c>
      <c r="CT127" s="258"/>
      <c r="CU127" s="258"/>
      <c r="CV127" s="258"/>
      <c r="CW127" s="258"/>
      <c r="CX127" s="258"/>
      <c r="CY127" s="258"/>
      <c r="CZ127" s="258"/>
      <c r="DA127" s="258"/>
      <c r="DB127" s="258"/>
      <c r="DC127" s="258"/>
    </row>
    <row r="128" spans="1:173">
      <c r="B128" s="205">
        <f>ANACO!B124</f>
        <v>0</v>
      </c>
      <c r="C128" s="204">
        <f>ANACO!C124</f>
        <v>0</v>
      </c>
      <c r="D128" s="165">
        <f>ANACO!H124</f>
        <v>0</v>
      </c>
      <c r="E128" s="165"/>
      <c r="F128" s="203">
        <f>ANACO!G124</f>
        <v>0</v>
      </c>
      <c r="G128" s="203">
        <f>ANACO!I124</f>
        <v>0</v>
      </c>
      <c r="H128" s="166">
        <f>ANACO!BS124</f>
        <v>0</v>
      </c>
      <c r="I128" s="172">
        <f>ANACO!BT124</f>
        <v>0</v>
      </c>
      <c r="J128" s="161"/>
      <c r="K128" s="161">
        <f t="shared" si="9"/>
        <v>0</v>
      </c>
      <c r="L128" s="244">
        <v>0</v>
      </c>
      <c r="M128" s="244"/>
      <c r="N128" s="244"/>
      <c r="O128" s="244"/>
      <c r="P128" s="244"/>
      <c r="Q128" s="244"/>
      <c r="R128" s="244"/>
      <c r="S128" s="244"/>
      <c r="T128" s="244"/>
      <c r="U128" s="244"/>
      <c r="V128" s="244"/>
      <c r="W128" s="244"/>
      <c r="X128" s="244"/>
      <c r="Y128" s="244"/>
      <c r="Z128" s="244"/>
      <c r="AA128" s="244"/>
      <c r="AB128" s="244"/>
      <c r="AC128" s="244"/>
      <c r="AD128" s="244"/>
      <c r="AE128" s="244"/>
      <c r="AF128" s="244"/>
      <c r="AG128" s="244"/>
      <c r="AH128" s="244"/>
      <c r="AI128" s="244"/>
      <c r="AJ128" s="244"/>
      <c r="AK128" s="244"/>
      <c r="AL128" s="244"/>
      <c r="AM128" s="244"/>
      <c r="AN128" s="244"/>
      <c r="AO128" s="244"/>
      <c r="AP128" s="244"/>
      <c r="AQ128" s="244"/>
      <c r="AR128" s="244"/>
      <c r="AS128" s="244"/>
      <c r="AT128" s="244"/>
      <c r="AU128" s="244"/>
      <c r="AV128" s="161"/>
      <c r="AW128" s="161"/>
      <c r="AX128" s="243">
        <v>0</v>
      </c>
      <c r="AY128" s="161"/>
      <c r="AZ128" s="161"/>
      <c r="BA128" s="243">
        <v>0</v>
      </c>
      <c r="BB128" s="212">
        <f t="shared" si="10"/>
        <v>0</v>
      </c>
      <c r="BC128" s="256"/>
      <c r="BD128" s="162" t="e">
        <f t="shared" si="11"/>
        <v>#DIV/0!</v>
      </c>
      <c r="BE128" s="162" t="e">
        <f t="shared" si="12"/>
        <v>#DIV/0!</v>
      </c>
      <c r="BF128" s="243"/>
      <c r="BG128" s="243"/>
      <c r="BH128" s="243"/>
      <c r="BI128" s="257"/>
      <c r="BJ128" s="257"/>
      <c r="BK128" s="243"/>
      <c r="BL128" s="243"/>
      <c r="BM128" s="243"/>
      <c r="BN128" s="243"/>
      <c r="BO128" s="243"/>
      <c r="BP128" s="243"/>
      <c r="BQ128" s="243"/>
      <c r="BR128" s="243"/>
      <c r="BS128" s="243"/>
      <c r="BT128" s="243"/>
      <c r="BU128" s="243"/>
      <c r="BV128" s="243"/>
      <c r="BW128" s="243"/>
      <c r="BX128" s="243"/>
      <c r="BY128" s="243"/>
      <c r="BZ128" s="243"/>
      <c r="CA128" s="243"/>
      <c r="CB128" s="243"/>
      <c r="CC128" s="243"/>
      <c r="CD128" s="243"/>
      <c r="CE128" s="245">
        <v>0</v>
      </c>
      <c r="CF128" s="245">
        <v>0</v>
      </c>
      <c r="CG128" s="245">
        <v>1</v>
      </c>
      <c r="CH128" s="246">
        <v>0</v>
      </c>
      <c r="CI128" s="219" t="e">
        <f t="shared" si="13"/>
        <v>#DIV/0!</v>
      </c>
      <c r="CJ128" s="245">
        <v>1</v>
      </c>
      <c r="CK128" s="246">
        <v>0</v>
      </c>
      <c r="CL128" s="163" t="e">
        <f t="shared" si="14"/>
        <v>#DIV/0!</v>
      </c>
      <c r="CM128" s="245">
        <v>1</v>
      </c>
      <c r="CN128" s="246">
        <v>0</v>
      </c>
      <c r="CO128" s="163" t="e">
        <f t="shared" si="15"/>
        <v>#DIV/0!</v>
      </c>
      <c r="CP128" s="245">
        <v>1</v>
      </c>
      <c r="CQ128" s="246">
        <v>0</v>
      </c>
      <c r="CR128" s="163" t="e">
        <f t="shared" si="16"/>
        <v>#DIV/0!</v>
      </c>
      <c r="CS128" s="207" t="e">
        <f t="shared" si="17"/>
        <v>#DIV/0!</v>
      </c>
      <c r="CT128" s="258"/>
      <c r="CU128" s="258"/>
      <c r="CV128" s="258"/>
      <c r="CW128" s="258"/>
      <c r="CX128" s="258"/>
      <c r="CY128" s="258"/>
      <c r="CZ128" s="258"/>
      <c r="DA128" s="258"/>
      <c r="DB128" s="258"/>
      <c r="DC128" s="258"/>
    </row>
    <row r="129" spans="1:173">
      <c r="B129" s="205">
        <f>ANACO!B125</f>
        <v>0</v>
      </c>
      <c r="C129" s="204">
        <f>ANACO!C125</f>
        <v>0</v>
      </c>
      <c r="D129" s="165">
        <f>ANACO!H125</f>
        <v>0</v>
      </c>
      <c r="E129" s="165"/>
      <c r="F129" s="203">
        <f>ANACO!G125</f>
        <v>0</v>
      </c>
      <c r="G129" s="203">
        <f>ANACO!I125</f>
        <v>0</v>
      </c>
      <c r="H129" s="166">
        <f>ANACO!BS125</f>
        <v>0</v>
      </c>
      <c r="I129" s="172">
        <f>ANACO!BT125</f>
        <v>0</v>
      </c>
      <c r="J129" s="161"/>
      <c r="K129" s="161">
        <f t="shared" si="9"/>
        <v>0</v>
      </c>
      <c r="L129" s="244">
        <v>0</v>
      </c>
      <c r="M129" s="244"/>
      <c r="N129" s="244"/>
      <c r="O129" s="244"/>
      <c r="P129" s="244"/>
      <c r="Q129" s="244"/>
      <c r="R129" s="244"/>
      <c r="S129" s="244"/>
      <c r="T129" s="244"/>
      <c r="U129" s="244"/>
      <c r="V129" s="244"/>
      <c r="W129" s="244"/>
      <c r="X129" s="244"/>
      <c r="Y129" s="244"/>
      <c r="Z129" s="244"/>
      <c r="AA129" s="244"/>
      <c r="AB129" s="244"/>
      <c r="AC129" s="244"/>
      <c r="AD129" s="244"/>
      <c r="AE129" s="244"/>
      <c r="AF129" s="244"/>
      <c r="AG129" s="244"/>
      <c r="AH129" s="244"/>
      <c r="AI129" s="244"/>
      <c r="AJ129" s="244"/>
      <c r="AK129" s="244"/>
      <c r="AL129" s="244"/>
      <c r="AM129" s="244"/>
      <c r="AN129" s="244"/>
      <c r="AO129" s="244"/>
      <c r="AP129" s="244"/>
      <c r="AQ129" s="244"/>
      <c r="AR129" s="244"/>
      <c r="AS129" s="244"/>
      <c r="AT129" s="244"/>
      <c r="AU129" s="244"/>
      <c r="AV129" s="161"/>
      <c r="AW129" s="161"/>
      <c r="AX129" s="243">
        <v>0</v>
      </c>
      <c r="AY129" s="161"/>
      <c r="AZ129" s="161"/>
      <c r="BA129" s="243">
        <v>0</v>
      </c>
      <c r="BB129" s="212">
        <f t="shared" si="10"/>
        <v>0</v>
      </c>
      <c r="BC129" s="256"/>
      <c r="BD129" s="162" t="e">
        <f t="shared" si="11"/>
        <v>#DIV/0!</v>
      </c>
      <c r="BE129" s="162" t="e">
        <f t="shared" si="12"/>
        <v>#DIV/0!</v>
      </c>
      <c r="BF129" s="243"/>
      <c r="BG129" s="243"/>
      <c r="BH129" s="243"/>
      <c r="BI129" s="257"/>
      <c r="BJ129" s="257"/>
      <c r="BK129" s="243"/>
      <c r="BL129" s="243"/>
      <c r="BM129" s="243"/>
      <c r="BN129" s="243"/>
      <c r="BO129" s="243"/>
      <c r="BP129" s="243"/>
      <c r="BQ129" s="243"/>
      <c r="BR129" s="243"/>
      <c r="BS129" s="243"/>
      <c r="BT129" s="243"/>
      <c r="BU129" s="243"/>
      <c r="BV129" s="243"/>
      <c r="BW129" s="243"/>
      <c r="BX129" s="243"/>
      <c r="BY129" s="243"/>
      <c r="BZ129" s="243"/>
      <c r="CA129" s="243"/>
      <c r="CB129" s="243"/>
      <c r="CC129" s="243"/>
      <c r="CD129" s="243"/>
      <c r="CE129" s="245">
        <v>0</v>
      </c>
      <c r="CF129" s="245">
        <v>0</v>
      </c>
      <c r="CG129" s="245">
        <v>1</v>
      </c>
      <c r="CH129" s="246">
        <v>0</v>
      </c>
      <c r="CI129" s="219" t="e">
        <f t="shared" si="13"/>
        <v>#DIV/0!</v>
      </c>
      <c r="CJ129" s="245">
        <v>1</v>
      </c>
      <c r="CK129" s="246">
        <v>0</v>
      </c>
      <c r="CL129" s="163" t="e">
        <f t="shared" si="14"/>
        <v>#DIV/0!</v>
      </c>
      <c r="CM129" s="245">
        <v>1</v>
      </c>
      <c r="CN129" s="246">
        <v>0</v>
      </c>
      <c r="CO129" s="163" t="e">
        <f t="shared" si="15"/>
        <v>#DIV/0!</v>
      </c>
      <c r="CP129" s="245">
        <v>1</v>
      </c>
      <c r="CQ129" s="246">
        <v>0</v>
      </c>
      <c r="CR129" s="163" t="e">
        <f t="shared" si="16"/>
        <v>#DIV/0!</v>
      </c>
      <c r="CS129" s="207" t="e">
        <f t="shared" si="17"/>
        <v>#DIV/0!</v>
      </c>
      <c r="CT129" s="258"/>
      <c r="CU129" s="258"/>
      <c r="CV129" s="258"/>
      <c r="CW129" s="258"/>
      <c r="CX129" s="258"/>
      <c r="CY129" s="258"/>
      <c r="CZ129" s="258"/>
      <c r="DA129" s="258"/>
      <c r="DB129" s="258"/>
      <c r="DC129" s="258"/>
    </row>
    <row r="130" spans="1:173">
      <c r="B130" s="205">
        <f>ANACO!B126</f>
        <v>0</v>
      </c>
      <c r="C130" s="204">
        <f>ANACO!C126</f>
        <v>0</v>
      </c>
      <c r="D130" s="165">
        <f>ANACO!H126</f>
        <v>0</v>
      </c>
      <c r="E130" s="165"/>
      <c r="F130" s="203">
        <f>ANACO!G126</f>
        <v>0</v>
      </c>
      <c r="G130" s="203">
        <f>ANACO!I126</f>
        <v>0</v>
      </c>
      <c r="H130" s="166">
        <f>ANACO!BS126</f>
        <v>0</v>
      </c>
      <c r="I130" s="172">
        <f>ANACO!BT126</f>
        <v>0</v>
      </c>
      <c r="J130" s="161"/>
      <c r="K130" s="161">
        <f t="shared" si="9"/>
        <v>0</v>
      </c>
      <c r="L130" s="244">
        <v>0</v>
      </c>
      <c r="M130" s="244"/>
      <c r="N130" s="244"/>
      <c r="O130" s="244"/>
      <c r="P130" s="244"/>
      <c r="Q130" s="244"/>
      <c r="R130" s="244"/>
      <c r="S130" s="244"/>
      <c r="T130" s="244"/>
      <c r="U130" s="244"/>
      <c r="V130" s="244"/>
      <c r="W130" s="244"/>
      <c r="X130" s="244"/>
      <c r="Y130" s="244"/>
      <c r="Z130" s="244"/>
      <c r="AA130" s="244"/>
      <c r="AB130" s="244"/>
      <c r="AC130" s="244"/>
      <c r="AD130" s="244"/>
      <c r="AE130" s="244"/>
      <c r="AF130" s="244"/>
      <c r="AG130" s="244"/>
      <c r="AH130" s="244"/>
      <c r="AI130" s="244"/>
      <c r="AJ130" s="244"/>
      <c r="AK130" s="244"/>
      <c r="AL130" s="244"/>
      <c r="AM130" s="244"/>
      <c r="AN130" s="244"/>
      <c r="AO130" s="244"/>
      <c r="AP130" s="244"/>
      <c r="AQ130" s="244"/>
      <c r="AR130" s="244"/>
      <c r="AS130" s="244"/>
      <c r="AT130" s="244"/>
      <c r="AU130" s="244"/>
      <c r="AV130" s="161"/>
      <c r="AW130" s="161"/>
      <c r="AX130" s="243">
        <v>0</v>
      </c>
      <c r="AY130" s="161"/>
      <c r="AZ130" s="161"/>
      <c r="BA130" s="243">
        <v>0</v>
      </c>
      <c r="BB130" s="212">
        <f t="shared" si="10"/>
        <v>0</v>
      </c>
      <c r="BC130" s="256"/>
      <c r="BD130" s="162" t="e">
        <f t="shared" si="11"/>
        <v>#DIV/0!</v>
      </c>
      <c r="BE130" s="162" t="e">
        <f t="shared" si="12"/>
        <v>#DIV/0!</v>
      </c>
      <c r="BF130" s="243"/>
      <c r="BG130" s="243"/>
      <c r="BH130" s="243"/>
      <c r="BI130" s="257"/>
      <c r="BJ130" s="257"/>
      <c r="BK130" s="243"/>
      <c r="BL130" s="243"/>
      <c r="BM130" s="243"/>
      <c r="BN130" s="243"/>
      <c r="BO130" s="243"/>
      <c r="BP130" s="243"/>
      <c r="BQ130" s="243"/>
      <c r="BR130" s="243"/>
      <c r="BS130" s="243"/>
      <c r="BT130" s="243"/>
      <c r="BU130" s="243"/>
      <c r="BV130" s="243"/>
      <c r="BW130" s="243"/>
      <c r="BX130" s="243"/>
      <c r="BY130" s="243"/>
      <c r="BZ130" s="243"/>
      <c r="CA130" s="243"/>
      <c r="CB130" s="243"/>
      <c r="CC130" s="243"/>
      <c r="CD130" s="243"/>
      <c r="CE130" s="245">
        <v>0</v>
      </c>
      <c r="CF130" s="245">
        <v>0</v>
      </c>
      <c r="CG130" s="245">
        <v>1</v>
      </c>
      <c r="CH130" s="246">
        <v>0</v>
      </c>
      <c r="CI130" s="219" t="e">
        <f t="shared" si="13"/>
        <v>#DIV/0!</v>
      </c>
      <c r="CJ130" s="245">
        <v>1</v>
      </c>
      <c r="CK130" s="246">
        <v>0</v>
      </c>
      <c r="CL130" s="163" t="e">
        <f t="shared" si="14"/>
        <v>#DIV/0!</v>
      </c>
      <c r="CM130" s="245">
        <v>1</v>
      </c>
      <c r="CN130" s="246">
        <v>0</v>
      </c>
      <c r="CO130" s="163" t="e">
        <f t="shared" si="15"/>
        <v>#DIV/0!</v>
      </c>
      <c r="CP130" s="245">
        <v>1</v>
      </c>
      <c r="CQ130" s="246">
        <v>0</v>
      </c>
      <c r="CR130" s="163" t="e">
        <f t="shared" si="16"/>
        <v>#DIV/0!</v>
      </c>
      <c r="CS130" s="207" t="e">
        <f t="shared" si="17"/>
        <v>#DIV/0!</v>
      </c>
      <c r="CT130" s="258"/>
      <c r="CU130" s="258"/>
      <c r="CV130" s="258"/>
      <c r="CW130" s="258"/>
      <c r="CX130" s="258"/>
      <c r="CY130" s="258"/>
      <c r="CZ130" s="258"/>
      <c r="DA130" s="258"/>
      <c r="DB130" s="258"/>
      <c r="DC130" s="258"/>
    </row>
    <row r="131" spans="1:173" s="168" customFormat="1">
      <c r="A131" s="156"/>
      <c r="B131" s="205">
        <f>ANACO!B127</f>
        <v>0</v>
      </c>
      <c r="C131" s="204">
        <f>ANACO!C127</f>
        <v>0</v>
      </c>
      <c r="D131" s="165">
        <f>ANACO!H127</f>
        <v>0</v>
      </c>
      <c r="E131" s="165"/>
      <c r="F131" s="203">
        <f>ANACO!G127</f>
        <v>0</v>
      </c>
      <c r="G131" s="203">
        <f>ANACO!I127</f>
        <v>0</v>
      </c>
      <c r="H131" s="166">
        <f>ANACO!BS127</f>
        <v>0</v>
      </c>
      <c r="I131" s="172">
        <f>ANACO!BT127</f>
        <v>0</v>
      </c>
      <c r="J131" s="161"/>
      <c r="K131" s="161">
        <f t="shared" si="9"/>
        <v>0</v>
      </c>
      <c r="L131" s="244">
        <v>0</v>
      </c>
      <c r="M131" s="244"/>
      <c r="N131" s="244"/>
      <c r="O131" s="244"/>
      <c r="P131" s="244"/>
      <c r="Q131" s="244"/>
      <c r="R131" s="244"/>
      <c r="S131" s="244"/>
      <c r="T131" s="244"/>
      <c r="U131" s="244"/>
      <c r="V131" s="244"/>
      <c r="W131" s="244"/>
      <c r="X131" s="244"/>
      <c r="Y131" s="244"/>
      <c r="Z131" s="244"/>
      <c r="AA131" s="244"/>
      <c r="AB131" s="244"/>
      <c r="AC131" s="244"/>
      <c r="AD131" s="244"/>
      <c r="AE131" s="244"/>
      <c r="AF131" s="244"/>
      <c r="AG131" s="244"/>
      <c r="AH131" s="244"/>
      <c r="AI131" s="244"/>
      <c r="AJ131" s="244"/>
      <c r="AK131" s="244"/>
      <c r="AL131" s="244"/>
      <c r="AM131" s="244"/>
      <c r="AN131" s="244"/>
      <c r="AO131" s="244"/>
      <c r="AP131" s="244"/>
      <c r="AQ131" s="244"/>
      <c r="AR131" s="244"/>
      <c r="AS131" s="244"/>
      <c r="AT131" s="244"/>
      <c r="AU131" s="244"/>
      <c r="AV131" s="161"/>
      <c r="AW131" s="161"/>
      <c r="AX131" s="243">
        <v>0</v>
      </c>
      <c r="AY131" s="161"/>
      <c r="AZ131" s="161"/>
      <c r="BA131" s="243">
        <v>0</v>
      </c>
      <c r="BB131" s="212">
        <f t="shared" si="10"/>
        <v>0</v>
      </c>
      <c r="BC131" s="256"/>
      <c r="BD131" s="162" t="e">
        <f t="shared" si="11"/>
        <v>#DIV/0!</v>
      </c>
      <c r="BE131" s="162" t="e">
        <f t="shared" si="12"/>
        <v>#DIV/0!</v>
      </c>
      <c r="BF131" s="243"/>
      <c r="BG131" s="243"/>
      <c r="BH131" s="243"/>
      <c r="BI131" s="257"/>
      <c r="BJ131" s="257"/>
      <c r="BK131" s="243"/>
      <c r="BL131" s="243"/>
      <c r="BM131" s="243"/>
      <c r="BN131" s="243"/>
      <c r="BO131" s="243"/>
      <c r="BP131" s="243"/>
      <c r="BQ131" s="243"/>
      <c r="BR131" s="243"/>
      <c r="BS131" s="243"/>
      <c r="BT131" s="243"/>
      <c r="BU131" s="243"/>
      <c r="BV131" s="243"/>
      <c r="BW131" s="243"/>
      <c r="BX131" s="243"/>
      <c r="BY131" s="243"/>
      <c r="BZ131" s="243"/>
      <c r="CA131" s="243"/>
      <c r="CB131" s="243"/>
      <c r="CC131" s="243"/>
      <c r="CD131" s="243"/>
      <c r="CE131" s="245">
        <v>0</v>
      </c>
      <c r="CF131" s="245">
        <v>0</v>
      </c>
      <c r="CG131" s="245">
        <v>1</v>
      </c>
      <c r="CH131" s="246">
        <v>0</v>
      </c>
      <c r="CI131" s="219" t="e">
        <f t="shared" si="13"/>
        <v>#DIV/0!</v>
      </c>
      <c r="CJ131" s="245">
        <v>1</v>
      </c>
      <c r="CK131" s="246">
        <v>0</v>
      </c>
      <c r="CL131" s="163" t="e">
        <f t="shared" si="14"/>
        <v>#DIV/0!</v>
      </c>
      <c r="CM131" s="245">
        <v>1</v>
      </c>
      <c r="CN131" s="246">
        <v>0</v>
      </c>
      <c r="CO131" s="163" t="e">
        <f t="shared" si="15"/>
        <v>#DIV/0!</v>
      </c>
      <c r="CP131" s="245">
        <v>1</v>
      </c>
      <c r="CQ131" s="246">
        <v>0</v>
      </c>
      <c r="CR131" s="163" t="e">
        <f t="shared" si="16"/>
        <v>#DIV/0!</v>
      </c>
      <c r="CS131" s="207" t="e">
        <f t="shared" si="17"/>
        <v>#DIV/0!</v>
      </c>
      <c r="CT131" s="258"/>
      <c r="CU131" s="258"/>
      <c r="CV131" s="258"/>
      <c r="CW131" s="258"/>
      <c r="CX131" s="258"/>
      <c r="CY131" s="258"/>
      <c r="CZ131" s="258"/>
      <c r="DA131" s="258"/>
      <c r="DB131" s="258"/>
      <c r="DC131" s="258"/>
      <c r="DD131" s="156"/>
      <c r="DE131" s="156"/>
      <c r="DF131" s="156"/>
      <c r="DG131" s="156"/>
      <c r="DH131" s="156"/>
      <c r="DI131" s="156"/>
      <c r="DJ131" s="156"/>
      <c r="DK131" s="156"/>
      <c r="DL131" s="156"/>
      <c r="DM131" s="156"/>
      <c r="DN131" s="156"/>
      <c r="DO131" s="156"/>
      <c r="DP131" s="156"/>
      <c r="DQ131" s="156"/>
      <c r="DR131" s="156"/>
      <c r="DS131" s="156"/>
      <c r="DT131" s="156"/>
      <c r="DU131" s="156"/>
      <c r="DV131" s="156"/>
      <c r="DW131" s="156"/>
      <c r="DX131" s="156"/>
      <c r="DY131" s="156"/>
      <c r="DZ131" s="156"/>
      <c r="EA131" s="156"/>
      <c r="EB131" s="156"/>
      <c r="EC131" s="156"/>
      <c r="ED131" s="156"/>
      <c r="EE131" s="156"/>
      <c r="EF131" s="156"/>
      <c r="EG131" s="156"/>
      <c r="EH131" s="156"/>
      <c r="EI131" s="156"/>
      <c r="EJ131" s="156"/>
      <c r="EK131" s="156"/>
      <c r="EL131" s="156"/>
      <c r="EM131" s="156"/>
      <c r="EN131" s="156"/>
      <c r="EO131" s="156"/>
      <c r="EP131" s="156"/>
      <c r="EQ131" s="156"/>
      <c r="ER131" s="156"/>
      <c r="ES131" s="156"/>
      <c r="ET131" s="156"/>
      <c r="EU131" s="156"/>
      <c r="EV131" s="156"/>
      <c r="EW131" s="156"/>
      <c r="EX131" s="156"/>
      <c r="EY131" s="156"/>
      <c r="EZ131" s="156"/>
      <c r="FA131" s="156"/>
      <c r="FB131" s="156"/>
      <c r="FC131" s="156"/>
      <c r="FD131" s="156"/>
      <c r="FE131" s="156"/>
      <c r="FF131" s="156"/>
      <c r="FG131" s="156"/>
      <c r="FH131" s="156"/>
      <c r="FI131" s="156"/>
      <c r="FJ131" s="156"/>
      <c r="FK131" s="156"/>
      <c r="FL131" s="156"/>
      <c r="FM131" s="156"/>
      <c r="FN131" s="156"/>
      <c r="FO131" s="156"/>
      <c r="FP131" s="156"/>
      <c r="FQ131" s="156"/>
    </row>
    <row r="132" spans="1:173" s="168" customFormat="1">
      <c r="A132" s="156"/>
      <c r="B132" s="205">
        <f>ANACO!B128</f>
        <v>0</v>
      </c>
      <c r="C132" s="204">
        <f>ANACO!C128</f>
        <v>0</v>
      </c>
      <c r="D132" s="165">
        <f>ANACO!H128</f>
        <v>0</v>
      </c>
      <c r="E132" s="165"/>
      <c r="F132" s="203">
        <f>ANACO!G128</f>
        <v>0</v>
      </c>
      <c r="G132" s="203">
        <f>ANACO!I128</f>
        <v>0</v>
      </c>
      <c r="H132" s="166">
        <f>ANACO!BS128</f>
        <v>0</v>
      </c>
      <c r="I132" s="172">
        <f>ANACO!BT128</f>
        <v>0</v>
      </c>
      <c r="J132" s="161"/>
      <c r="K132" s="161">
        <f t="shared" si="9"/>
        <v>0</v>
      </c>
      <c r="L132" s="244">
        <v>0</v>
      </c>
      <c r="M132" s="244"/>
      <c r="N132" s="244"/>
      <c r="O132" s="244"/>
      <c r="P132" s="244"/>
      <c r="Q132" s="244"/>
      <c r="R132" s="244"/>
      <c r="S132" s="244"/>
      <c r="T132" s="244"/>
      <c r="U132" s="244"/>
      <c r="V132" s="244"/>
      <c r="W132" s="244"/>
      <c r="X132" s="244"/>
      <c r="Y132" s="244"/>
      <c r="Z132" s="244"/>
      <c r="AA132" s="244"/>
      <c r="AB132" s="244"/>
      <c r="AC132" s="244"/>
      <c r="AD132" s="244"/>
      <c r="AE132" s="244"/>
      <c r="AF132" s="244"/>
      <c r="AG132" s="244"/>
      <c r="AH132" s="244"/>
      <c r="AI132" s="244"/>
      <c r="AJ132" s="244"/>
      <c r="AK132" s="244"/>
      <c r="AL132" s="244"/>
      <c r="AM132" s="244"/>
      <c r="AN132" s="244"/>
      <c r="AO132" s="244"/>
      <c r="AP132" s="244"/>
      <c r="AQ132" s="244"/>
      <c r="AR132" s="244"/>
      <c r="AS132" s="244"/>
      <c r="AT132" s="244"/>
      <c r="AU132" s="244"/>
      <c r="AV132" s="161"/>
      <c r="AW132" s="161"/>
      <c r="AX132" s="243">
        <v>0</v>
      </c>
      <c r="AY132" s="161"/>
      <c r="AZ132" s="161"/>
      <c r="BA132" s="243">
        <v>0</v>
      </c>
      <c r="BB132" s="212">
        <f t="shared" si="10"/>
        <v>0</v>
      </c>
      <c r="BC132" s="256"/>
      <c r="BD132" s="162" t="e">
        <f t="shared" si="11"/>
        <v>#DIV/0!</v>
      </c>
      <c r="BE132" s="162" t="e">
        <f t="shared" si="12"/>
        <v>#DIV/0!</v>
      </c>
      <c r="BF132" s="243"/>
      <c r="BG132" s="243"/>
      <c r="BH132" s="243"/>
      <c r="BI132" s="257"/>
      <c r="BJ132" s="257"/>
      <c r="BK132" s="243"/>
      <c r="BL132" s="243"/>
      <c r="BM132" s="243"/>
      <c r="BN132" s="243"/>
      <c r="BO132" s="243"/>
      <c r="BP132" s="243"/>
      <c r="BQ132" s="243"/>
      <c r="BR132" s="243"/>
      <c r="BS132" s="243"/>
      <c r="BT132" s="243"/>
      <c r="BU132" s="243"/>
      <c r="BV132" s="243"/>
      <c r="BW132" s="243"/>
      <c r="BX132" s="243"/>
      <c r="BY132" s="243"/>
      <c r="BZ132" s="243"/>
      <c r="CA132" s="243"/>
      <c r="CB132" s="243"/>
      <c r="CC132" s="243"/>
      <c r="CD132" s="243"/>
      <c r="CE132" s="245">
        <v>0</v>
      </c>
      <c r="CF132" s="245">
        <v>0</v>
      </c>
      <c r="CG132" s="245">
        <v>1</v>
      </c>
      <c r="CH132" s="246">
        <v>0</v>
      </c>
      <c r="CI132" s="219" t="e">
        <f t="shared" si="13"/>
        <v>#DIV/0!</v>
      </c>
      <c r="CJ132" s="245">
        <v>1</v>
      </c>
      <c r="CK132" s="246">
        <v>0</v>
      </c>
      <c r="CL132" s="163" t="e">
        <f t="shared" si="14"/>
        <v>#DIV/0!</v>
      </c>
      <c r="CM132" s="245">
        <v>1</v>
      </c>
      <c r="CN132" s="246">
        <v>0</v>
      </c>
      <c r="CO132" s="163" t="e">
        <f t="shared" si="15"/>
        <v>#DIV/0!</v>
      </c>
      <c r="CP132" s="245">
        <v>1</v>
      </c>
      <c r="CQ132" s="246">
        <v>0</v>
      </c>
      <c r="CR132" s="163" t="e">
        <f t="shared" si="16"/>
        <v>#DIV/0!</v>
      </c>
      <c r="CS132" s="207" t="e">
        <f t="shared" si="17"/>
        <v>#DIV/0!</v>
      </c>
      <c r="CT132" s="258"/>
      <c r="CU132" s="258"/>
      <c r="CV132" s="258"/>
      <c r="CW132" s="258"/>
      <c r="CX132" s="258"/>
      <c r="CY132" s="258"/>
      <c r="CZ132" s="258"/>
      <c r="DA132" s="258"/>
      <c r="DB132" s="258"/>
      <c r="DC132" s="258"/>
      <c r="DD132" s="156"/>
      <c r="DE132" s="156"/>
      <c r="DF132" s="156"/>
      <c r="DG132" s="156"/>
      <c r="DH132" s="156"/>
      <c r="DI132" s="156"/>
      <c r="DJ132" s="156"/>
      <c r="DK132" s="156"/>
      <c r="DL132" s="156"/>
      <c r="DM132" s="156"/>
      <c r="DN132" s="156"/>
      <c r="DO132" s="156"/>
      <c r="DP132" s="156"/>
      <c r="DQ132" s="156"/>
      <c r="DR132" s="156"/>
      <c r="DS132" s="156"/>
      <c r="DT132" s="156"/>
      <c r="DU132" s="156"/>
      <c r="DV132" s="156"/>
      <c r="DW132" s="156"/>
      <c r="DX132" s="156"/>
      <c r="DY132" s="156"/>
      <c r="DZ132" s="156"/>
      <c r="EA132" s="156"/>
      <c r="EB132" s="156"/>
      <c r="EC132" s="156"/>
      <c r="ED132" s="156"/>
      <c r="EE132" s="156"/>
      <c r="EF132" s="156"/>
      <c r="EG132" s="156"/>
      <c r="EH132" s="156"/>
      <c r="EI132" s="156"/>
      <c r="EJ132" s="156"/>
      <c r="EK132" s="156"/>
      <c r="EL132" s="156"/>
      <c r="EM132" s="156"/>
      <c r="EN132" s="156"/>
      <c r="EO132" s="156"/>
      <c r="EP132" s="156"/>
      <c r="EQ132" s="156"/>
      <c r="ER132" s="156"/>
      <c r="ES132" s="156"/>
      <c r="ET132" s="156"/>
      <c r="EU132" s="156"/>
      <c r="EV132" s="156"/>
      <c r="EW132" s="156"/>
      <c r="EX132" s="156"/>
      <c r="EY132" s="156"/>
      <c r="EZ132" s="156"/>
      <c r="FA132" s="156"/>
      <c r="FB132" s="156"/>
      <c r="FC132" s="156"/>
      <c r="FD132" s="156"/>
      <c r="FE132" s="156"/>
      <c r="FF132" s="156"/>
      <c r="FG132" s="156"/>
      <c r="FH132" s="156"/>
      <c r="FI132" s="156"/>
      <c r="FJ132" s="156"/>
      <c r="FK132" s="156"/>
      <c r="FL132" s="156"/>
      <c r="FM132" s="156"/>
      <c r="FN132" s="156"/>
      <c r="FO132" s="156"/>
      <c r="FP132" s="156"/>
      <c r="FQ132" s="156"/>
    </row>
    <row r="133" spans="1:173" s="168" customFormat="1">
      <c r="A133" s="156"/>
      <c r="B133" s="205">
        <f>ANACO!B129</f>
        <v>0</v>
      </c>
      <c r="C133" s="204">
        <f>ANACO!C129</f>
        <v>0</v>
      </c>
      <c r="D133" s="165">
        <f>ANACO!H129</f>
        <v>0</v>
      </c>
      <c r="E133" s="165"/>
      <c r="F133" s="203">
        <f>ANACO!G129</f>
        <v>0</v>
      </c>
      <c r="G133" s="203">
        <f>ANACO!I129</f>
        <v>0</v>
      </c>
      <c r="H133" s="166">
        <f>ANACO!BS129</f>
        <v>0</v>
      </c>
      <c r="I133" s="172">
        <f>ANACO!BT129</f>
        <v>0</v>
      </c>
      <c r="J133" s="161"/>
      <c r="K133" s="161">
        <f t="shared" si="9"/>
        <v>0</v>
      </c>
      <c r="L133" s="244">
        <v>0</v>
      </c>
      <c r="M133" s="244"/>
      <c r="N133" s="244"/>
      <c r="O133" s="244"/>
      <c r="P133" s="244"/>
      <c r="Q133" s="244"/>
      <c r="R133" s="244"/>
      <c r="S133" s="244"/>
      <c r="T133" s="244"/>
      <c r="U133" s="244"/>
      <c r="V133" s="244"/>
      <c r="W133" s="244"/>
      <c r="X133" s="244"/>
      <c r="Y133" s="244"/>
      <c r="Z133" s="244"/>
      <c r="AA133" s="244"/>
      <c r="AB133" s="244"/>
      <c r="AC133" s="244"/>
      <c r="AD133" s="244"/>
      <c r="AE133" s="244"/>
      <c r="AF133" s="244"/>
      <c r="AG133" s="244"/>
      <c r="AH133" s="244"/>
      <c r="AI133" s="244"/>
      <c r="AJ133" s="244"/>
      <c r="AK133" s="244"/>
      <c r="AL133" s="244"/>
      <c r="AM133" s="244"/>
      <c r="AN133" s="244"/>
      <c r="AO133" s="244"/>
      <c r="AP133" s="244"/>
      <c r="AQ133" s="244"/>
      <c r="AR133" s="244"/>
      <c r="AS133" s="244"/>
      <c r="AT133" s="244"/>
      <c r="AU133" s="244"/>
      <c r="AV133" s="161"/>
      <c r="AW133" s="161"/>
      <c r="AX133" s="243">
        <v>0</v>
      </c>
      <c r="AY133" s="161"/>
      <c r="AZ133" s="161"/>
      <c r="BA133" s="243">
        <v>0</v>
      </c>
      <c r="BB133" s="212">
        <f t="shared" si="10"/>
        <v>0</v>
      </c>
      <c r="BC133" s="256"/>
      <c r="BD133" s="162" t="e">
        <f t="shared" si="11"/>
        <v>#DIV/0!</v>
      </c>
      <c r="BE133" s="162" t="e">
        <f t="shared" si="12"/>
        <v>#DIV/0!</v>
      </c>
      <c r="BF133" s="243"/>
      <c r="BG133" s="243"/>
      <c r="BH133" s="243"/>
      <c r="BI133" s="257"/>
      <c r="BJ133" s="257"/>
      <c r="BK133" s="243"/>
      <c r="BL133" s="243"/>
      <c r="BM133" s="243"/>
      <c r="BN133" s="243"/>
      <c r="BO133" s="243"/>
      <c r="BP133" s="243"/>
      <c r="BQ133" s="243"/>
      <c r="BR133" s="243"/>
      <c r="BS133" s="243"/>
      <c r="BT133" s="243"/>
      <c r="BU133" s="243"/>
      <c r="BV133" s="243"/>
      <c r="BW133" s="243"/>
      <c r="BX133" s="243"/>
      <c r="BY133" s="243"/>
      <c r="BZ133" s="243"/>
      <c r="CA133" s="243"/>
      <c r="CB133" s="243"/>
      <c r="CC133" s="243"/>
      <c r="CD133" s="243"/>
      <c r="CE133" s="245">
        <v>0</v>
      </c>
      <c r="CF133" s="245">
        <v>0</v>
      </c>
      <c r="CG133" s="245">
        <v>1</v>
      </c>
      <c r="CH133" s="246">
        <v>0</v>
      </c>
      <c r="CI133" s="219" t="e">
        <f t="shared" si="13"/>
        <v>#DIV/0!</v>
      </c>
      <c r="CJ133" s="245">
        <v>1</v>
      </c>
      <c r="CK133" s="246">
        <v>0</v>
      </c>
      <c r="CL133" s="163" t="e">
        <f t="shared" si="14"/>
        <v>#DIV/0!</v>
      </c>
      <c r="CM133" s="245">
        <v>1</v>
      </c>
      <c r="CN133" s="246">
        <v>0</v>
      </c>
      <c r="CO133" s="163" t="e">
        <f t="shared" si="15"/>
        <v>#DIV/0!</v>
      </c>
      <c r="CP133" s="245">
        <v>1</v>
      </c>
      <c r="CQ133" s="246">
        <v>0</v>
      </c>
      <c r="CR133" s="163" t="e">
        <f t="shared" si="16"/>
        <v>#DIV/0!</v>
      </c>
      <c r="CS133" s="207" t="e">
        <f t="shared" si="17"/>
        <v>#DIV/0!</v>
      </c>
      <c r="CT133" s="258"/>
      <c r="CU133" s="258"/>
      <c r="CV133" s="258"/>
      <c r="CW133" s="258"/>
      <c r="CX133" s="258"/>
      <c r="CY133" s="258"/>
      <c r="CZ133" s="258"/>
      <c r="DA133" s="258"/>
      <c r="DB133" s="258"/>
      <c r="DC133" s="258"/>
      <c r="DD133" s="156"/>
      <c r="DE133" s="156"/>
      <c r="DF133" s="156"/>
      <c r="DG133" s="156"/>
      <c r="DH133" s="156"/>
      <c r="DI133" s="156"/>
      <c r="DJ133" s="156"/>
      <c r="DK133" s="156"/>
      <c r="DL133" s="156"/>
      <c r="DM133" s="156"/>
      <c r="DN133" s="156"/>
      <c r="DO133" s="156"/>
      <c r="DP133" s="156"/>
      <c r="DQ133" s="156"/>
      <c r="DR133" s="156"/>
      <c r="DS133" s="156"/>
      <c r="DT133" s="156"/>
      <c r="DU133" s="156"/>
      <c r="DV133" s="156"/>
      <c r="DW133" s="156"/>
      <c r="DX133" s="156"/>
      <c r="DY133" s="156"/>
      <c r="DZ133" s="156"/>
      <c r="EA133" s="156"/>
      <c r="EB133" s="156"/>
      <c r="EC133" s="156"/>
      <c r="ED133" s="156"/>
      <c r="EE133" s="156"/>
      <c r="EF133" s="156"/>
      <c r="EG133" s="156"/>
      <c r="EH133" s="156"/>
      <c r="EI133" s="156"/>
      <c r="EJ133" s="156"/>
      <c r="EK133" s="156"/>
      <c r="EL133" s="156"/>
      <c r="EM133" s="156"/>
      <c r="EN133" s="156"/>
      <c r="EO133" s="156"/>
      <c r="EP133" s="156"/>
      <c r="EQ133" s="156"/>
      <c r="ER133" s="156"/>
      <c r="ES133" s="156"/>
      <c r="ET133" s="156"/>
      <c r="EU133" s="156"/>
      <c r="EV133" s="156"/>
      <c r="EW133" s="156"/>
      <c r="EX133" s="156"/>
      <c r="EY133" s="156"/>
      <c r="EZ133" s="156"/>
      <c r="FA133" s="156"/>
      <c r="FB133" s="156"/>
      <c r="FC133" s="156"/>
      <c r="FD133" s="156"/>
      <c r="FE133" s="156"/>
      <c r="FF133" s="156"/>
      <c r="FG133" s="156"/>
      <c r="FH133" s="156"/>
      <c r="FI133" s="156"/>
      <c r="FJ133" s="156"/>
      <c r="FK133" s="156"/>
      <c r="FL133" s="156"/>
      <c r="FM133" s="156"/>
      <c r="FN133" s="156"/>
      <c r="FO133" s="156"/>
      <c r="FP133" s="156"/>
      <c r="FQ133" s="156"/>
    </row>
    <row r="134" spans="1:173" s="168" customFormat="1">
      <c r="A134" s="156"/>
      <c r="B134" s="205">
        <f>ANACO!B130</f>
        <v>0</v>
      </c>
      <c r="C134" s="204">
        <f>ANACO!C130</f>
        <v>0</v>
      </c>
      <c r="D134" s="165">
        <f>ANACO!H130</f>
        <v>0</v>
      </c>
      <c r="E134" s="165"/>
      <c r="F134" s="203">
        <f>ANACO!G130</f>
        <v>0</v>
      </c>
      <c r="G134" s="203">
        <f>ANACO!I130</f>
        <v>0</v>
      </c>
      <c r="H134" s="166">
        <f>ANACO!BS130</f>
        <v>0</v>
      </c>
      <c r="I134" s="172">
        <f>ANACO!BT130</f>
        <v>0</v>
      </c>
      <c r="J134" s="161"/>
      <c r="K134" s="161">
        <f t="shared" si="9"/>
        <v>0</v>
      </c>
      <c r="L134" s="244">
        <v>0</v>
      </c>
      <c r="M134" s="244"/>
      <c r="N134" s="244"/>
      <c r="O134" s="244"/>
      <c r="P134" s="244"/>
      <c r="Q134" s="244"/>
      <c r="R134" s="244"/>
      <c r="S134" s="244"/>
      <c r="T134" s="244"/>
      <c r="U134" s="244"/>
      <c r="V134" s="244"/>
      <c r="W134" s="244"/>
      <c r="X134" s="244"/>
      <c r="Y134" s="244"/>
      <c r="Z134" s="244"/>
      <c r="AA134" s="244"/>
      <c r="AB134" s="244"/>
      <c r="AC134" s="244"/>
      <c r="AD134" s="244"/>
      <c r="AE134" s="244"/>
      <c r="AF134" s="244"/>
      <c r="AG134" s="244"/>
      <c r="AH134" s="244"/>
      <c r="AI134" s="244"/>
      <c r="AJ134" s="244"/>
      <c r="AK134" s="244"/>
      <c r="AL134" s="244"/>
      <c r="AM134" s="244"/>
      <c r="AN134" s="244"/>
      <c r="AO134" s="244"/>
      <c r="AP134" s="244"/>
      <c r="AQ134" s="244"/>
      <c r="AR134" s="244"/>
      <c r="AS134" s="244"/>
      <c r="AT134" s="244"/>
      <c r="AU134" s="244"/>
      <c r="AV134" s="161"/>
      <c r="AW134" s="161"/>
      <c r="AX134" s="243">
        <v>0</v>
      </c>
      <c r="AY134" s="161"/>
      <c r="AZ134" s="161"/>
      <c r="BA134" s="243">
        <v>0</v>
      </c>
      <c r="BB134" s="212">
        <f t="shared" si="10"/>
        <v>0</v>
      </c>
      <c r="BC134" s="256"/>
      <c r="BD134" s="162" t="e">
        <f t="shared" si="11"/>
        <v>#DIV/0!</v>
      </c>
      <c r="BE134" s="162" t="e">
        <f t="shared" si="12"/>
        <v>#DIV/0!</v>
      </c>
      <c r="BF134" s="243"/>
      <c r="BG134" s="243"/>
      <c r="BH134" s="243"/>
      <c r="BI134" s="257"/>
      <c r="BJ134" s="257"/>
      <c r="BK134" s="243"/>
      <c r="BL134" s="243"/>
      <c r="BM134" s="243"/>
      <c r="BN134" s="243"/>
      <c r="BO134" s="243"/>
      <c r="BP134" s="243"/>
      <c r="BQ134" s="243"/>
      <c r="BR134" s="243"/>
      <c r="BS134" s="243"/>
      <c r="BT134" s="243"/>
      <c r="BU134" s="243"/>
      <c r="BV134" s="243"/>
      <c r="BW134" s="243"/>
      <c r="BX134" s="243"/>
      <c r="BY134" s="243"/>
      <c r="BZ134" s="243"/>
      <c r="CA134" s="243"/>
      <c r="CB134" s="243"/>
      <c r="CC134" s="243"/>
      <c r="CD134" s="243"/>
      <c r="CE134" s="245">
        <v>0</v>
      </c>
      <c r="CF134" s="245">
        <v>0</v>
      </c>
      <c r="CG134" s="245">
        <v>1</v>
      </c>
      <c r="CH134" s="246">
        <v>0</v>
      </c>
      <c r="CI134" s="219" t="e">
        <f t="shared" si="13"/>
        <v>#DIV/0!</v>
      </c>
      <c r="CJ134" s="245">
        <v>1</v>
      </c>
      <c r="CK134" s="246">
        <v>0</v>
      </c>
      <c r="CL134" s="163" t="e">
        <f t="shared" si="14"/>
        <v>#DIV/0!</v>
      </c>
      <c r="CM134" s="245">
        <v>1</v>
      </c>
      <c r="CN134" s="246">
        <v>0</v>
      </c>
      <c r="CO134" s="163" t="e">
        <f t="shared" si="15"/>
        <v>#DIV/0!</v>
      </c>
      <c r="CP134" s="245">
        <v>1</v>
      </c>
      <c r="CQ134" s="246">
        <v>0</v>
      </c>
      <c r="CR134" s="163" t="e">
        <f t="shared" si="16"/>
        <v>#DIV/0!</v>
      </c>
      <c r="CS134" s="207" t="e">
        <f t="shared" si="17"/>
        <v>#DIV/0!</v>
      </c>
      <c r="CT134" s="258"/>
      <c r="CU134" s="258"/>
      <c r="CV134" s="258"/>
      <c r="CW134" s="258"/>
      <c r="CX134" s="258"/>
      <c r="CY134" s="258"/>
      <c r="CZ134" s="258"/>
      <c r="DA134" s="258"/>
      <c r="DB134" s="258"/>
      <c r="DC134" s="258"/>
      <c r="DD134" s="156"/>
      <c r="DE134" s="156"/>
      <c r="DF134" s="156"/>
      <c r="DG134" s="156"/>
      <c r="DH134" s="156"/>
      <c r="DI134" s="156"/>
      <c r="DJ134" s="156"/>
      <c r="DK134" s="156"/>
      <c r="DL134" s="156"/>
      <c r="DM134" s="156"/>
      <c r="DN134" s="156"/>
      <c r="DO134" s="156"/>
      <c r="DP134" s="156"/>
      <c r="DQ134" s="156"/>
      <c r="DR134" s="156"/>
      <c r="DS134" s="156"/>
      <c r="DT134" s="156"/>
      <c r="DU134" s="156"/>
      <c r="DV134" s="156"/>
      <c r="DW134" s="156"/>
      <c r="DX134" s="156"/>
      <c r="DY134" s="156"/>
      <c r="DZ134" s="156"/>
      <c r="EA134" s="156"/>
      <c r="EB134" s="156"/>
      <c r="EC134" s="156"/>
      <c r="ED134" s="156"/>
      <c r="EE134" s="156"/>
      <c r="EF134" s="156"/>
      <c r="EG134" s="156"/>
      <c r="EH134" s="156"/>
      <c r="EI134" s="156"/>
      <c r="EJ134" s="156"/>
      <c r="EK134" s="156"/>
      <c r="EL134" s="156"/>
      <c r="EM134" s="156"/>
      <c r="EN134" s="156"/>
      <c r="EO134" s="156"/>
      <c r="EP134" s="156"/>
      <c r="EQ134" s="156"/>
      <c r="ER134" s="156"/>
      <c r="ES134" s="156"/>
      <c r="ET134" s="156"/>
      <c r="EU134" s="156"/>
      <c r="EV134" s="156"/>
      <c r="EW134" s="156"/>
      <c r="EX134" s="156"/>
      <c r="EY134" s="156"/>
      <c r="EZ134" s="156"/>
      <c r="FA134" s="156"/>
      <c r="FB134" s="156"/>
      <c r="FC134" s="156"/>
      <c r="FD134" s="156"/>
      <c r="FE134" s="156"/>
      <c r="FF134" s="156"/>
      <c r="FG134" s="156"/>
      <c r="FH134" s="156"/>
      <c r="FI134" s="156"/>
      <c r="FJ134" s="156"/>
      <c r="FK134" s="156"/>
      <c r="FL134" s="156"/>
      <c r="FM134" s="156"/>
      <c r="FN134" s="156"/>
      <c r="FO134" s="156"/>
      <c r="FP134" s="156"/>
      <c r="FQ134" s="156"/>
    </row>
    <row r="135" spans="1:173">
      <c r="B135" s="205">
        <f>ANACO!B131</f>
        <v>0</v>
      </c>
      <c r="C135" s="204">
        <f>ANACO!C131</f>
        <v>0</v>
      </c>
      <c r="D135" s="165">
        <f>ANACO!H131</f>
        <v>0</v>
      </c>
      <c r="E135" s="165"/>
      <c r="F135" s="203">
        <f>ANACO!G131</f>
        <v>0</v>
      </c>
      <c r="G135" s="203">
        <f>ANACO!I131</f>
        <v>0</v>
      </c>
      <c r="H135" s="166">
        <f>ANACO!BS131</f>
        <v>0</v>
      </c>
      <c r="I135" s="172">
        <f>ANACO!BT131</f>
        <v>0</v>
      </c>
      <c r="J135" s="161"/>
      <c r="K135" s="161">
        <f t="shared" si="9"/>
        <v>0</v>
      </c>
      <c r="L135" s="244">
        <v>0</v>
      </c>
      <c r="M135" s="244"/>
      <c r="N135" s="244"/>
      <c r="O135" s="244"/>
      <c r="P135" s="244"/>
      <c r="Q135" s="244"/>
      <c r="R135" s="244"/>
      <c r="S135" s="244"/>
      <c r="T135" s="244"/>
      <c r="U135" s="244"/>
      <c r="V135" s="244"/>
      <c r="W135" s="244"/>
      <c r="X135" s="244"/>
      <c r="Y135" s="244"/>
      <c r="Z135" s="244"/>
      <c r="AA135" s="244"/>
      <c r="AB135" s="244"/>
      <c r="AC135" s="244"/>
      <c r="AD135" s="244"/>
      <c r="AE135" s="244"/>
      <c r="AF135" s="244"/>
      <c r="AG135" s="244"/>
      <c r="AH135" s="244"/>
      <c r="AI135" s="244"/>
      <c r="AJ135" s="244"/>
      <c r="AK135" s="244"/>
      <c r="AL135" s="244"/>
      <c r="AM135" s="244"/>
      <c r="AN135" s="244"/>
      <c r="AO135" s="244"/>
      <c r="AP135" s="244"/>
      <c r="AQ135" s="244"/>
      <c r="AR135" s="244"/>
      <c r="AS135" s="244"/>
      <c r="AT135" s="244"/>
      <c r="AU135" s="244"/>
      <c r="AV135" s="161"/>
      <c r="AW135" s="161"/>
      <c r="AX135" s="243">
        <v>0</v>
      </c>
      <c r="AY135" s="161"/>
      <c r="AZ135" s="161"/>
      <c r="BA135" s="243">
        <v>0</v>
      </c>
      <c r="BB135" s="212">
        <f t="shared" si="10"/>
        <v>0</v>
      </c>
      <c r="BC135" s="256"/>
      <c r="BD135" s="162" t="e">
        <f t="shared" si="11"/>
        <v>#DIV/0!</v>
      </c>
      <c r="BE135" s="162" t="e">
        <f t="shared" si="12"/>
        <v>#DIV/0!</v>
      </c>
      <c r="BF135" s="243"/>
      <c r="BG135" s="243"/>
      <c r="BH135" s="243"/>
      <c r="BI135" s="257"/>
      <c r="BJ135" s="257"/>
      <c r="BK135" s="243"/>
      <c r="BL135" s="243"/>
      <c r="BM135" s="243"/>
      <c r="BN135" s="243"/>
      <c r="BO135" s="243"/>
      <c r="BP135" s="243"/>
      <c r="BQ135" s="243"/>
      <c r="BR135" s="243"/>
      <c r="BS135" s="243"/>
      <c r="BT135" s="243"/>
      <c r="BU135" s="243"/>
      <c r="BV135" s="243"/>
      <c r="BW135" s="243"/>
      <c r="BX135" s="243"/>
      <c r="BY135" s="243"/>
      <c r="BZ135" s="243"/>
      <c r="CA135" s="243"/>
      <c r="CB135" s="243"/>
      <c r="CC135" s="243"/>
      <c r="CD135" s="243"/>
      <c r="CE135" s="245">
        <v>0</v>
      </c>
      <c r="CF135" s="245">
        <v>0</v>
      </c>
      <c r="CG135" s="245">
        <v>1</v>
      </c>
      <c r="CH135" s="246">
        <v>0</v>
      </c>
      <c r="CI135" s="219" t="e">
        <f t="shared" si="13"/>
        <v>#DIV/0!</v>
      </c>
      <c r="CJ135" s="245">
        <v>1</v>
      </c>
      <c r="CK135" s="246">
        <v>0</v>
      </c>
      <c r="CL135" s="163" t="e">
        <f t="shared" si="14"/>
        <v>#DIV/0!</v>
      </c>
      <c r="CM135" s="245">
        <v>1</v>
      </c>
      <c r="CN135" s="246">
        <v>0</v>
      </c>
      <c r="CO135" s="163" t="e">
        <f t="shared" si="15"/>
        <v>#DIV/0!</v>
      </c>
      <c r="CP135" s="245">
        <v>1</v>
      </c>
      <c r="CQ135" s="246">
        <v>0</v>
      </c>
      <c r="CR135" s="163" t="e">
        <f t="shared" si="16"/>
        <v>#DIV/0!</v>
      </c>
      <c r="CS135" s="207" t="e">
        <f t="shared" si="17"/>
        <v>#DIV/0!</v>
      </c>
      <c r="CT135" s="258"/>
      <c r="CU135" s="258"/>
      <c r="CV135" s="258"/>
      <c r="CW135" s="258"/>
      <c r="CX135" s="258"/>
      <c r="CY135" s="258"/>
      <c r="CZ135" s="258"/>
      <c r="DA135" s="258"/>
      <c r="DB135" s="258"/>
      <c r="DC135" s="258"/>
    </row>
    <row r="136" spans="1:173">
      <c r="B136" s="205">
        <f>ANACO!B132</f>
        <v>0</v>
      </c>
      <c r="C136" s="204">
        <f>ANACO!C132</f>
        <v>0</v>
      </c>
      <c r="D136" s="165">
        <f>ANACO!H132</f>
        <v>0</v>
      </c>
      <c r="E136" s="165"/>
      <c r="F136" s="203">
        <f>ANACO!G132</f>
        <v>0</v>
      </c>
      <c r="G136" s="203">
        <f>ANACO!I132</f>
        <v>0</v>
      </c>
      <c r="H136" s="166">
        <f>ANACO!BS132</f>
        <v>0</v>
      </c>
      <c r="I136" s="172">
        <f>ANACO!BT132</f>
        <v>0</v>
      </c>
      <c r="J136" s="161"/>
      <c r="K136" s="161">
        <f t="shared" si="9"/>
        <v>0</v>
      </c>
      <c r="L136" s="244">
        <v>0</v>
      </c>
      <c r="M136" s="244"/>
      <c r="N136" s="244"/>
      <c r="O136" s="244"/>
      <c r="P136" s="244"/>
      <c r="Q136" s="244"/>
      <c r="R136" s="244"/>
      <c r="S136" s="244"/>
      <c r="T136" s="244"/>
      <c r="U136" s="244"/>
      <c r="V136" s="244"/>
      <c r="W136" s="244"/>
      <c r="X136" s="244"/>
      <c r="Y136" s="244"/>
      <c r="Z136" s="244"/>
      <c r="AA136" s="244"/>
      <c r="AB136" s="244"/>
      <c r="AC136" s="244"/>
      <c r="AD136" s="244"/>
      <c r="AE136" s="244"/>
      <c r="AF136" s="244"/>
      <c r="AG136" s="244"/>
      <c r="AH136" s="244"/>
      <c r="AI136" s="244"/>
      <c r="AJ136" s="244"/>
      <c r="AK136" s="244"/>
      <c r="AL136" s="244"/>
      <c r="AM136" s="244"/>
      <c r="AN136" s="244"/>
      <c r="AO136" s="244"/>
      <c r="AP136" s="244"/>
      <c r="AQ136" s="244"/>
      <c r="AR136" s="244"/>
      <c r="AS136" s="244"/>
      <c r="AT136" s="244"/>
      <c r="AU136" s="244"/>
      <c r="AV136" s="161"/>
      <c r="AW136" s="161"/>
      <c r="AX136" s="243">
        <v>0</v>
      </c>
      <c r="AY136" s="161"/>
      <c r="AZ136" s="161"/>
      <c r="BA136" s="243">
        <v>0</v>
      </c>
      <c r="BB136" s="212">
        <f t="shared" si="10"/>
        <v>0</v>
      </c>
      <c r="BC136" s="256"/>
      <c r="BD136" s="162" t="e">
        <f t="shared" si="11"/>
        <v>#DIV/0!</v>
      </c>
      <c r="BE136" s="162" t="e">
        <f t="shared" si="12"/>
        <v>#DIV/0!</v>
      </c>
      <c r="BF136" s="243"/>
      <c r="BG136" s="243"/>
      <c r="BH136" s="243"/>
      <c r="BI136" s="257"/>
      <c r="BJ136" s="257"/>
      <c r="BK136" s="243"/>
      <c r="BL136" s="243"/>
      <c r="BM136" s="243"/>
      <c r="BN136" s="243"/>
      <c r="BO136" s="243"/>
      <c r="BP136" s="243"/>
      <c r="BQ136" s="243"/>
      <c r="BR136" s="243"/>
      <c r="BS136" s="243"/>
      <c r="BT136" s="243"/>
      <c r="BU136" s="243"/>
      <c r="BV136" s="243"/>
      <c r="BW136" s="243"/>
      <c r="BX136" s="243"/>
      <c r="BY136" s="243"/>
      <c r="BZ136" s="243"/>
      <c r="CA136" s="243"/>
      <c r="CB136" s="243"/>
      <c r="CC136" s="243"/>
      <c r="CD136" s="243"/>
      <c r="CE136" s="245">
        <v>0</v>
      </c>
      <c r="CF136" s="245">
        <v>0</v>
      </c>
      <c r="CG136" s="245">
        <v>1</v>
      </c>
      <c r="CH136" s="246">
        <v>0</v>
      </c>
      <c r="CI136" s="219" t="e">
        <f t="shared" si="13"/>
        <v>#DIV/0!</v>
      </c>
      <c r="CJ136" s="245">
        <v>1</v>
      </c>
      <c r="CK136" s="246">
        <v>0</v>
      </c>
      <c r="CL136" s="163" t="e">
        <f t="shared" si="14"/>
        <v>#DIV/0!</v>
      </c>
      <c r="CM136" s="245">
        <v>1</v>
      </c>
      <c r="CN136" s="246">
        <v>0</v>
      </c>
      <c r="CO136" s="163" t="e">
        <f t="shared" si="15"/>
        <v>#DIV/0!</v>
      </c>
      <c r="CP136" s="245">
        <v>1</v>
      </c>
      <c r="CQ136" s="246">
        <v>0</v>
      </c>
      <c r="CR136" s="163" t="e">
        <f t="shared" si="16"/>
        <v>#DIV/0!</v>
      </c>
      <c r="CS136" s="207" t="e">
        <f t="shared" si="17"/>
        <v>#DIV/0!</v>
      </c>
      <c r="CT136" s="258"/>
      <c r="CU136" s="258"/>
      <c r="CV136" s="258"/>
      <c r="CW136" s="258"/>
      <c r="CX136" s="258"/>
      <c r="CY136" s="258"/>
      <c r="CZ136" s="258"/>
      <c r="DA136" s="258"/>
      <c r="DB136" s="258"/>
      <c r="DC136" s="258"/>
    </row>
    <row r="137" spans="1:173">
      <c r="B137" s="205">
        <f>ANACO!B133</f>
        <v>0</v>
      </c>
      <c r="C137" s="204">
        <f>ANACO!C133</f>
        <v>0</v>
      </c>
      <c r="D137" s="165">
        <f>ANACO!H133</f>
        <v>0</v>
      </c>
      <c r="E137" s="165"/>
      <c r="F137" s="203">
        <f>ANACO!G133</f>
        <v>0</v>
      </c>
      <c r="G137" s="203">
        <f>ANACO!I133</f>
        <v>0</v>
      </c>
      <c r="H137" s="166">
        <f>ANACO!BS133</f>
        <v>0</v>
      </c>
      <c r="I137" s="172">
        <f>ANACO!BT133</f>
        <v>0</v>
      </c>
      <c r="J137" s="161"/>
      <c r="K137" s="161">
        <f t="shared" si="9"/>
        <v>0</v>
      </c>
      <c r="L137" s="244">
        <v>0</v>
      </c>
      <c r="M137" s="244"/>
      <c r="N137" s="244"/>
      <c r="O137" s="244"/>
      <c r="P137" s="244"/>
      <c r="Q137" s="244"/>
      <c r="R137" s="244"/>
      <c r="S137" s="244"/>
      <c r="T137" s="244"/>
      <c r="U137" s="244"/>
      <c r="V137" s="244"/>
      <c r="W137" s="244"/>
      <c r="X137" s="244"/>
      <c r="Y137" s="244"/>
      <c r="Z137" s="244"/>
      <c r="AA137" s="244"/>
      <c r="AB137" s="244"/>
      <c r="AC137" s="244"/>
      <c r="AD137" s="244"/>
      <c r="AE137" s="244"/>
      <c r="AF137" s="244"/>
      <c r="AG137" s="244"/>
      <c r="AH137" s="244"/>
      <c r="AI137" s="244"/>
      <c r="AJ137" s="244"/>
      <c r="AK137" s="244"/>
      <c r="AL137" s="244"/>
      <c r="AM137" s="244"/>
      <c r="AN137" s="244"/>
      <c r="AO137" s="244"/>
      <c r="AP137" s="244"/>
      <c r="AQ137" s="244"/>
      <c r="AR137" s="244"/>
      <c r="AS137" s="244"/>
      <c r="AT137" s="244"/>
      <c r="AU137" s="244"/>
      <c r="AV137" s="161"/>
      <c r="AW137" s="161"/>
      <c r="AX137" s="243">
        <v>0</v>
      </c>
      <c r="AY137" s="161"/>
      <c r="AZ137" s="161"/>
      <c r="BA137" s="243">
        <v>0</v>
      </c>
      <c r="BB137" s="212">
        <f t="shared" si="10"/>
        <v>0</v>
      </c>
      <c r="BC137" s="256"/>
      <c r="BD137" s="162" t="e">
        <f t="shared" si="11"/>
        <v>#DIV/0!</v>
      </c>
      <c r="BE137" s="162" t="e">
        <f t="shared" si="12"/>
        <v>#DIV/0!</v>
      </c>
      <c r="BF137" s="243"/>
      <c r="BG137" s="243"/>
      <c r="BH137" s="243"/>
      <c r="BI137" s="257"/>
      <c r="BJ137" s="257"/>
      <c r="BK137" s="243"/>
      <c r="BL137" s="243"/>
      <c r="BM137" s="243"/>
      <c r="BN137" s="243"/>
      <c r="BO137" s="243"/>
      <c r="BP137" s="243"/>
      <c r="BQ137" s="243"/>
      <c r="BR137" s="243"/>
      <c r="BS137" s="243"/>
      <c r="BT137" s="243"/>
      <c r="BU137" s="243"/>
      <c r="BV137" s="243"/>
      <c r="BW137" s="243"/>
      <c r="BX137" s="243"/>
      <c r="BY137" s="243"/>
      <c r="BZ137" s="243"/>
      <c r="CA137" s="243"/>
      <c r="CB137" s="243"/>
      <c r="CC137" s="243"/>
      <c r="CD137" s="243"/>
      <c r="CE137" s="245">
        <v>0</v>
      </c>
      <c r="CF137" s="245">
        <v>0</v>
      </c>
      <c r="CG137" s="245">
        <v>1</v>
      </c>
      <c r="CH137" s="246">
        <v>0</v>
      </c>
      <c r="CI137" s="219" t="e">
        <f t="shared" si="13"/>
        <v>#DIV/0!</v>
      </c>
      <c r="CJ137" s="245">
        <v>1</v>
      </c>
      <c r="CK137" s="246">
        <v>0</v>
      </c>
      <c r="CL137" s="163" t="e">
        <f t="shared" si="14"/>
        <v>#DIV/0!</v>
      </c>
      <c r="CM137" s="245">
        <v>1</v>
      </c>
      <c r="CN137" s="246">
        <v>0</v>
      </c>
      <c r="CO137" s="163" t="e">
        <f t="shared" si="15"/>
        <v>#DIV/0!</v>
      </c>
      <c r="CP137" s="245">
        <v>1</v>
      </c>
      <c r="CQ137" s="246">
        <v>0</v>
      </c>
      <c r="CR137" s="163" t="e">
        <f t="shared" si="16"/>
        <v>#DIV/0!</v>
      </c>
      <c r="CS137" s="207" t="e">
        <f t="shared" si="17"/>
        <v>#DIV/0!</v>
      </c>
      <c r="CT137" s="258"/>
      <c r="CU137" s="258"/>
      <c r="CV137" s="258"/>
      <c r="CW137" s="258"/>
      <c r="CX137" s="258"/>
      <c r="CY137" s="258"/>
      <c r="CZ137" s="258"/>
      <c r="DA137" s="258"/>
      <c r="DB137" s="258"/>
      <c r="DC137" s="258"/>
    </row>
    <row r="138" spans="1:173">
      <c r="B138" s="205">
        <f>ANACO!B134</f>
        <v>0</v>
      </c>
      <c r="C138" s="204">
        <f>ANACO!C134</f>
        <v>0</v>
      </c>
      <c r="D138" s="165">
        <f>ANACO!H134</f>
        <v>0</v>
      </c>
      <c r="E138" s="165"/>
      <c r="F138" s="203">
        <f>ANACO!G134</f>
        <v>0</v>
      </c>
      <c r="G138" s="203">
        <f>ANACO!I134</f>
        <v>0</v>
      </c>
      <c r="H138" s="166">
        <f>ANACO!BS134</f>
        <v>0</v>
      </c>
      <c r="I138" s="172">
        <f>ANACO!BT134</f>
        <v>0</v>
      </c>
      <c r="J138" s="161"/>
      <c r="K138" s="161">
        <f t="shared" si="9"/>
        <v>0</v>
      </c>
      <c r="L138" s="244">
        <v>0</v>
      </c>
      <c r="M138" s="244"/>
      <c r="N138" s="244"/>
      <c r="O138" s="244"/>
      <c r="P138" s="244"/>
      <c r="Q138" s="244"/>
      <c r="R138" s="244"/>
      <c r="S138" s="244"/>
      <c r="T138" s="244"/>
      <c r="U138" s="244"/>
      <c r="V138" s="244"/>
      <c r="W138" s="244"/>
      <c r="X138" s="244"/>
      <c r="Y138" s="244"/>
      <c r="Z138" s="244"/>
      <c r="AA138" s="244"/>
      <c r="AB138" s="244"/>
      <c r="AC138" s="244"/>
      <c r="AD138" s="244"/>
      <c r="AE138" s="244"/>
      <c r="AF138" s="244"/>
      <c r="AG138" s="244"/>
      <c r="AH138" s="244"/>
      <c r="AI138" s="244"/>
      <c r="AJ138" s="244"/>
      <c r="AK138" s="244"/>
      <c r="AL138" s="244"/>
      <c r="AM138" s="244"/>
      <c r="AN138" s="244"/>
      <c r="AO138" s="244"/>
      <c r="AP138" s="244"/>
      <c r="AQ138" s="244"/>
      <c r="AR138" s="244"/>
      <c r="AS138" s="244"/>
      <c r="AT138" s="244"/>
      <c r="AU138" s="244"/>
      <c r="AV138" s="161"/>
      <c r="AW138" s="161"/>
      <c r="AX138" s="243">
        <v>0</v>
      </c>
      <c r="AY138" s="161"/>
      <c r="AZ138" s="161"/>
      <c r="BA138" s="243">
        <v>0</v>
      </c>
      <c r="BB138" s="212">
        <f t="shared" si="10"/>
        <v>0</v>
      </c>
      <c r="BC138" s="256"/>
      <c r="BD138" s="162" t="e">
        <f t="shared" si="11"/>
        <v>#DIV/0!</v>
      </c>
      <c r="BE138" s="162" t="e">
        <f t="shared" si="12"/>
        <v>#DIV/0!</v>
      </c>
      <c r="BF138" s="243"/>
      <c r="BG138" s="243"/>
      <c r="BH138" s="243"/>
      <c r="BI138" s="257"/>
      <c r="BJ138" s="257"/>
      <c r="BK138" s="243"/>
      <c r="BL138" s="243"/>
      <c r="BM138" s="243"/>
      <c r="BN138" s="243"/>
      <c r="BO138" s="243"/>
      <c r="BP138" s="243"/>
      <c r="BQ138" s="243"/>
      <c r="BR138" s="243"/>
      <c r="BS138" s="243"/>
      <c r="BT138" s="243"/>
      <c r="BU138" s="243"/>
      <c r="BV138" s="243"/>
      <c r="BW138" s="243"/>
      <c r="BX138" s="243"/>
      <c r="BY138" s="243"/>
      <c r="BZ138" s="243"/>
      <c r="CA138" s="243"/>
      <c r="CB138" s="243"/>
      <c r="CC138" s="243"/>
      <c r="CD138" s="243"/>
      <c r="CE138" s="245">
        <v>0</v>
      </c>
      <c r="CF138" s="245">
        <v>0</v>
      </c>
      <c r="CG138" s="245">
        <v>1</v>
      </c>
      <c r="CH138" s="246">
        <v>0</v>
      </c>
      <c r="CI138" s="219" t="e">
        <f t="shared" si="13"/>
        <v>#DIV/0!</v>
      </c>
      <c r="CJ138" s="245">
        <v>1</v>
      </c>
      <c r="CK138" s="246">
        <v>0</v>
      </c>
      <c r="CL138" s="163" t="e">
        <f t="shared" si="14"/>
        <v>#DIV/0!</v>
      </c>
      <c r="CM138" s="245">
        <v>1</v>
      </c>
      <c r="CN138" s="246">
        <v>0</v>
      </c>
      <c r="CO138" s="163" t="e">
        <f t="shared" si="15"/>
        <v>#DIV/0!</v>
      </c>
      <c r="CP138" s="245">
        <v>1</v>
      </c>
      <c r="CQ138" s="246">
        <v>0</v>
      </c>
      <c r="CR138" s="163" t="e">
        <f t="shared" si="16"/>
        <v>#DIV/0!</v>
      </c>
      <c r="CS138" s="207" t="e">
        <f t="shared" si="17"/>
        <v>#DIV/0!</v>
      </c>
      <c r="CT138" s="258"/>
      <c r="CU138" s="258"/>
      <c r="CV138" s="258"/>
      <c r="CW138" s="258"/>
      <c r="CX138" s="258"/>
      <c r="CY138" s="258"/>
      <c r="CZ138" s="258"/>
      <c r="DA138" s="258"/>
      <c r="DB138" s="258"/>
      <c r="DC138" s="258"/>
    </row>
    <row r="139" spans="1:173" s="168" customFormat="1">
      <c r="A139" s="156"/>
      <c r="B139" s="205">
        <f>ANACO!B135</f>
        <v>0</v>
      </c>
      <c r="C139" s="204">
        <f>ANACO!C135</f>
        <v>0</v>
      </c>
      <c r="D139" s="165">
        <f>ANACO!H135</f>
        <v>0</v>
      </c>
      <c r="E139" s="165"/>
      <c r="F139" s="203">
        <f>ANACO!G135</f>
        <v>0</v>
      </c>
      <c r="G139" s="203">
        <f>ANACO!I135</f>
        <v>0</v>
      </c>
      <c r="H139" s="166">
        <f>ANACO!BS135</f>
        <v>0</v>
      </c>
      <c r="I139" s="172">
        <f>ANACO!BT135</f>
        <v>0</v>
      </c>
      <c r="J139" s="161"/>
      <c r="K139" s="161">
        <f t="shared" si="9"/>
        <v>0</v>
      </c>
      <c r="L139" s="244">
        <v>0</v>
      </c>
      <c r="M139" s="244"/>
      <c r="N139" s="244"/>
      <c r="O139" s="244"/>
      <c r="P139" s="244"/>
      <c r="Q139" s="244"/>
      <c r="R139" s="244"/>
      <c r="S139" s="244"/>
      <c r="T139" s="244"/>
      <c r="U139" s="244"/>
      <c r="V139" s="244"/>
      <c r="W139" s="244"/>
      <c r="X139" s="244"/>
      <c r="Y139" s="244"/>
      <c r="Z139" s="244"/>
      <c r="AA139" s="244"/>
      <c r="AB139" s="244"/>
      <c r="AC139" s="244"/>
      <c r="AD139" s="244"/>
      <c r="AE139" s="244"/>
      <c r="AF139" s="244"/>
      <c r="AG139" s="244"/>
      <c r="AH139" s="244"/>
      <c r="AI139" s="244"/>
      <c r="AJ139" s="244"/>
      <c r="AK139" s="244"/>
      <c r="AL139" s="244"/>
      <c r="AM139" s="244"/>
      <c r="AN139" s="244"/>
      <c r="AO139" s="244"/>
      <c r="AP139" s="244"/>
      <c r="AQ139" s="244"/>
      <c r="AR139" s="244"/>
      <c r="AS139" s="244"/>
      <c r="AT139" s="244"/>
      <c r="AU139" s="244"/>
      <c r="AV139" s="161"/>
      <c r="AW139" s="161"/>
      <c r="AX139" s="243">
        <v>0</v>
      </c>
      <c r="AY139" s="161"/>
      <c r="AZ139" s="161"/>
      <c r="BA139" s="243">
        <v>0</v>
      </c>
      <c r="BB139" s="212">
        <f t="shared" si="10"/>
        <v>0</v>
      </c>
      <c r="BC139" s="256"/>
      <c r="BD139" s="162" t="e">
        <f t="shared" si="11"/>
        <v>#DIV/0!</v>
      </c>
      <c r="BE139" s="162" t="e">
        <f t="shared" si="12"/>
        <v>#DIV/0!</v>
      </c>
      <c r="BF139" s="243"/>
      <c r="BG139" s="243"/>
      <c r="BH139" s="243"/>
      <c r="BI139" s="257"/>
      <c r="BJ139" s="257"/>
      <c r="BK139" s="243"/>
      <c r="BL139" s="243"/>
      <c r="BM139" s="243"/>
      <c r="BN139" s="243"/>
      <c r="BO139" s="243"/>
      <c r="BP139" s="243"/>
      <c r="BQ139" s="243"/>
      <c r="BR139" s="243"/>
      <c r="BS139" s="243"/>
      <c r="BT139" s="243"/>
      <c r="BU139" s="243"/>
      <c r="BV139" s="243"/>
      <c r="BW139" s="243"/>
      <c r="BX139" s="243"/>
      <c r="BY139" s="243"/>
      <c r="BZ139" s="243"/>
      <c r="CA139" s="243"/>
      <c r="CB139" s="243"/>
      <c r="CC139" s="243"/>
      <c r="CD139" s="243"/>
      <c r="CE139" s="245">
        <v>0</v>
      </c>
      <c r="CF139" s="245">
        <v>0</v>
      </c>
      <c r="CG139" s="245">
        <v>1</v>
      </c>
      <c r="CH139" s="246">
        <v>0</v>
      </c>
      <c r="CI139" s="219" t="e">
        <f t="shared" si="13"/>
        <v>#DIV/0!</v>
      </c>
      <c r="CJ139" s="245">
        <v>1</v>
      </c>
      <c r="CK139" s="246">
        <v>0</v>
      </c>
      <c r="CL139" s="163" t="e">
        <f t="shared" si="14"/>
        <v>#DIV/0!</v>
      </c>
      <c r="CM139" s="245">
        <v>1</v>
      </c>
      <c r="CN139" s="246">
        <v>0</v>
      </c>
      <c r="CO139" s="163" t="e">
        <f t="shared" si="15"/>
        <v>#DIV/0!</v>
      </c>
      <c r="CP139" s="245">
        <v>1</v>
      </c>
      <c r="CQ139" s="246">
        <v>0</v>
      </c>
      <c r="CR139" s="163" t="e">
        <f t="shared" si="16"/>
        <v>#DIV/0!</v>
      </c>
      <c r="CS139" s="207" t="e">
        <f t="shared" si="17"/>
        <v>#DIV/0!</v>
      </c>
      <c r="CT139" s="258"/>
      <c r="CU139" s="258"/>
      <c r="CV139" s="258"/>
      <c r="CW139" s="258"/>
      <c r="CX139" s="258"/>
      <c r="CY139" s="258"/>
      <c r="CZ139" s="258"/>
      <c r="DA139" s="258"/>
      <c r="DB139" s="258"/>
      <c r="DC139" s="258"/>
      <c r="DD139" s="156"/>
      <c r="DE139" s="156"/>
      <c r="DF139" s="156"/>
      <c r="DG139" s="156"/>
      <c r="DH139" s="156"/>
      <c r="DI139" s="156"/>
      <c r="DJ139" s="156"/>
      <c r="DK139" s="156"/>
      <c r="DL139" s="156"/>
      <c r="DM139" s="156"/>
      <c r="DN139" s="156"/>
      <c r="DO139" s="156"/>
      <c r="DP139" s="156"/>
      <c r="DQ139" s="156"/>
      <c r="DR139" s="156"/>
      <c r="DS139" s="156"/>
      <c r="DT139" s="156"/>
      <c r="DU139" s="156"/>
      <c r="DV139" s="156"/>
      <c r="DW139" s="156"/>
      <c r="DX139" s="156"/>
      <c r="DY139" s="156"/>
      <c r="DZ139" s="156"/>
      <c r="EA139" s="156"/>
      <c r="EB139" s="156"/>
      <c r="EC139" s="156"/>
      <c r="ED139" s="156"/>
      <c r="EE139" s="156"/>
      <c r="EF139" s="156"/>
      <c r="EG139" s="156"/>
      <c r="EH139" s="156"/>
      <c r="EI139" s="156"/>
      <c r="EJ139" s="156"/>
      <c r="EK139" s="156"/>
      <c r="EL139" s="156"/>
      <c r="EM139" s="156"/>
      <c r="EN139" s="156"/>
      <c r="EO139" s="156"/>
      <c r="EP139" s="156"/>
      <c r="EQ139" s="156"/>
      <c r="ER139" s="156"/>
      <c r="ES139" s="156"/>
      <c r="ET139" s="156"/>
      <c r="EU139" s="156"/>
      <c r="EV139" s="156"/>
      <c r="EW139" s="156"/>
      <c r="EX139" s="156"/>
      <c r="EY139" s="156"/>
      <c r="EZ139" s="156"/>
      <c r="FA139" s="156"/>
      <c r="FB139" s="156"/>
      <c r="FC139" s="156"/>
      <c r="FD139" s="156"/>
      <c r="FE139" s="156"/>
      <c r="FF139" s="156"/>
      <c r="FG139" s="156"/>
      <c r="FH139" s="156"/>
      <c r="FI139" s="156"/>
      <c r="FJ139" s="156"/>
      <c r="FK139" s="156"/>
      <c r="FL139" s="156"/>
      <c r="FM139" s="156"/>
      <c r="FN139" s="156"/>
      <c r="FO139" s="156"/>
      <c r="FP139" s="156"/>
      <c r="FQ139" s="156"/>
    </row>
    <row r="140" spans="1:173">
      <c r="B140" s="205">
        <f>ANACO!B136</f>
        <v>0</v>
      </c>
      <c r="C140" s="204">
        <f>ANACO!C136</f>
        <v>0</v>
      </c>
      <c r="D140" s="165">
        <f>ANACO!H136</f>
        <v>0</v>
      </c>
      <c r="E140" s="165"/>
      <c r="F140" s="203">
        <f>ANACO!G136</f>
        <v>0</v>
      </c>
      <c r="G140" s="203">
        <f>ANACO!I136</f>
        <v>0</v>
      </c>
      <c r="H140" s="166">
        <f>ANACO!BS136</f>
        <v>0</v>
      </c>
      <c r="I140" s="172">
        <f>ANACO!BT136</f>
        <v>0</v>
      </c>
      <c r="J140" s="161"/>
      <c r="K140" s="161">
        <f t="shared" si="9"/>
        <v>0</v>
      </c>
      <c r="L140" s="244">
        <v>0</v>
      </c>
      <c r="M140" s="244"/>
      <c r="N140" s="244"/>
      <c r="O140" s="244"/>
      <c r="P140" s="244"/>
      <c r="Q140" s="244"/>
      <c r="R140" s="244"/>
      <c r="S140" s="244"/>
      <c r="T140" s="244"/>
      <c r="U140" s="244"/>
      <c r="V140" s="244"/>
      <c r="W140" s="244"/>
      <c r="X140" s="244"/>
      <c r="Y140" s="244"/>
      <c r="Z140" s="244"/>
      <c r="AA140" s="244"/>
      <c r="AB140" s="244"/>
      <c r="AC140" s="244"/>
      <c r="AD140" s="244"/>
      <c r="AE140" s="244"/>
      <c r="AF140" s="244"/>
      <c r="AG140" s="244"/>
      <c r="AH140" s="244"/>
      <c r="AI140" s="244"/>
      <c r="AJ140" s="244"/>
      <c r="AK140" s="244"/>
      <c r="AL140" s="244"/>
      <c r="AM140" s="244"/>
      <c r="AN140" s="244"/>
      <c r="AO140" s="244"/>
      <c r="AP140" s="244"/>
      <c r="AQ140" s="244"/>
      <c r="AR140" s="244"/>
      <c r="AS140" s="244"/>
      <c r="AT140" s="244"/>
      <c r="AU140" s="244"/>
      <c r="AV140" s="161"/>
      <c r="AW140" s="161"/>
      <c r="AX140" s="243">
        <v>0</v>
      </c>
      <c r="AY140" s="161"/>
      <c r="AZ140" s="161"/>
      <c r="BA140" s="243">
        <v>0</v>
      </c>
      <c r="BB140" s="212">
        <f t="shared" si="10"/>
        <v>0</v>
      </c>
      <c r="BC140" s="256"/>
      <c r="BD140" s="162" t="e">
        <f t="shared" si="11"/>
        <v>#DIV/0!</v>
      </c>
      <c r="BE140" s="162" t="e">
        <f t="shared" si="12"/>
        <v>#DIV/0!</v>
      </c>
      <c r="BF140" s="243"/>
      <c r="BG140" s="243"/>
      <c r="BH140" s="243"/>
      <c r="BI140" s="257"/>
      <c r="BJ140" s="257"/>
      <c r="BK140" s="243"/>
      <c r="BL140" s="243"/>
      <c r="BM140" s="243"/>
      <c r="BN140" s="243"/>
      <c r="BO140" s="243"/>
      <c r="BP140" s="243"/>
      <c r="BQ140" s="243"/>
      <c r="BR140" s="243"/>
      <c r="BS140" s="243"/>
      <c r="BT140" s="243"/>
      <c r="BU140" s="243"/>
      <c r="BV140" s="243"/>
      <c r="BW140" s="243"/>
      <c r="BX140" s="243"/>
      <c r="BY140" s="243"/>
      <c r="BZ140" s="243"/>
      <c r="CA140" s="243"/>
      <c r="CB140" s="243"/>
      <c r="CC140" s="243"/>
      <c r="CD140" s="243"/>
      <c r="CE140" s="245">
        <v>0</v>
      </c>
      <c r="CF140" s="245">
        <v>0</v>
      </c>
      <c r="CG140" s="245">
        <v>1</v>
      </c>
      <c r="CH140" s="246">
        <v>0</v>
      </c>
      <c r="CI140" s="219" t="e">
        <f t="shared" si="13"/>
        <v>#DIV/0!</v>
      </c>
      <c r="CJ140" s="245">
        <v>1</v>
      </c>
      <c r="CK140" s="246">
        <v>0</v>
      </c>
      <c r="CL140" s="163" t="e">
        <f t="shared" si="14"/>
        <v>#DIV/0!</v>
      </c>
      <c r="CM140" s="245">
        <v>1</v>
      </c>
      <c r="CN140" s="246">
        <v>0</v>
      </c>
      <c r="CO140" s="163" t="e">
        <f t="shared" si="15"/>
        <v>#DIV/0!</v>
      </c>
      <c r="CP140" s="245">
        <v>1</v>
      </c>
      <c r="CQ140" s="246">
        <v>0</v>
      </c>
      <c r="CR140" s="163" t="e">
        <f t="shared" si="16"/>
        <v>#DIV/0!</v>
      </c>
      <c r="CS140" s="207" t="e">
        <f t="shared" si="17"/>
        <v>#DIV/0!</v>
      </c>
      <c r="CT140" s="258"/>
      <c r="CU140" s="258"/>
      <c r="CV140" s="258"/>
      <c r="CW140" s="258"/>
      <c r="CX140" s="258"/>
      <c r="CY140" s="258"/>
      <c r="CZ140" s="258"/>
      <c r="DA140" s="258"/>
      <c r="DB140" s="258"/>
      <c r="DC140" s="258"/>
    </row>
    <row r="141" spans="1:173">
      <c r="B141" s="205">
        <f>ANACO!B137</f>
        <v>0</v>
      </c>
      <c r="C141" s="204">
        <f>ANACO!C137</f>
        <v>0</v>
      </c>
      <c r="D141" s="165">
        <f>ANACO!H137</f>
        <v>0</v>
      </c>
      <c r="E141" s="165"/>
      <c r="F141" s="203">
        <f>ANACO!G137</f>
        <v>0</v>
      </c>
      <c r="G141" s="203">
        <f>ANACO!I137</f>
        <v>0</v>
      </c>
      <c r="H141" s="166">
        <f>ANACO!BS137</f>
        <v>0</v>
      </c>
      <c r="I141" s="172">
        <f>ANACO!BT137</f>
        <v>0</v>
      </c>
      <c r="J141" s="161"/>
      <c r="K141" s="161">
        <f t="shared" si="9"/>
        <v>0</v>
      </c>
      <c r="L141" s="244">
        <v>0</v>
      </c>
      <c r="M141" s="244"/>
      <c r="N141" s="244"/>
      <c r="O141" s="244"/>
      <c r="P141" s="244"/>
      <c r="Q141" s="244"/>
      <c r="R141" s="244"/>
      <c r="S141" s="244"/>
      <c r="T141" s="244"/>
      <c r="U141" s="244"/>
      <c r="V141" s="244"/>
      <c r="W141" s="244"/>
      <c r="X141" s="244"/>
      <c r="Y141" s="244"/>
      <c r="Z141" s="244"/>
      <c r="AA141" s="244"/>
      <c r="AB141" s="244"/>
      <c r="AC141" s="244"/>
      <c r="AD141" s="244"/>
      <c r="AE141" s="244"/>
      <c r="AF141" s="244"/>
      <c r="AG141" s="244"/>
      <c r="AH141" s="244"/>
      <c r="AI141" s="244"/>
      <c r="AJ141" s="244"/>
      <c r="AK141" s="244"/>
      <c r="AL141" s="244"/>
      <c r="AM141" s="244"/>
      <c r="AN141" s="244"/>
      <c r="AO141" s="244"/>
      <c r="AP141" s="244"/>
      <c r="AQ141" s="244"/>
      <c r="AR141" s="244"/>
      <c r="AS141" s="244"/>
      <c r="AT141" s="244"/>
      <c r="AU141" s="244"/>
      <c r="AV141" s="161"/>
      <c r="AW141" s="161"/>
      <c r="AX141" s="243">
        <v>0</v>
      </c>
      <c r="AY141" s="161"/>
      <c r="AZ141" s="161"/>
      <c r="BA141" s="243">
        <v>0</v>
      </c>
      <c r="BB141" s="212">
        <f t="shared" si="10"/>
        <v>0</v>
      </c>
      <c r="BC141" s="256"/>
      <c r="BD141" s="162" t="e">
        <f t="shared" si="11"/>
        <v>#DIV/0!</v>
      </c>
      <c r="BE141" s="162" t="e">
        <f t="shared" si="12"/>
        <v>#DIV/0!</v>
      </c>
      <c r="BF141" s="243"/>
      <c r="BG141" s="243"/>
      <c r="BH141" s="243"/>
      <c r="BI141" s="257"/>
      <c r="BJ141" s="257"/>
      <c r="BK141" s="243"/>
      <c r="BL141" s="243"/>
      <c r="BM141" s="243"/>
      <c r="BN141" s="243"/>
      <c r="BO141" s="243"/>
      <c r="BP141" s="243"/>
      <c r="BQ141" s="243"/>
      <c r="BR141" s="243"/>
      <c r="BS141" s="243"/>
      <c r="BT141" s="243"/>
      <c r="BU141" s="243"/>
      <c r="BV141" s="243"/>
      <c r="BW141" s="243"/>
      <c r="BX141" s="243"/>
      <c r="BY141" s="243"/>
      <c r="BZ141" s="243"/>
      <c r="CA141" s="243"/>
      <c r="CB141" s="243"/>
      <c r="CC141" s="243"/>
      <c r="CD141" s="243"/>
      <c r="CE141" s="245">
        <v>0</v>
      </c>
      <c r="CF141" s="245">
        <v>0</v>
      </c>
      <c r="CG141" s="245">
        <v>1</v>
      </c>
      <c r="CH141" s="246">
        <v>0</v>
      </c>
      <c r="CI141" s="219" t="e">
        <f t="shared" si="13"/>
        <v>#DIV/0!</v>
      </c>
      <c r="CJ141" s="245">
        <v>1</v>
      </c>
      <c r="CK141" s="246">
        <v>0</v>
      </c>
      <c r="CL141" s="163" t="e">
        <f t="shared" si="14"/>
        <v>#DIV/0!</v>
      </c>
      <c r="CM141" s="245">
        <v>1</v>
      </c>
      <c r="CN141" s="246">
        <v>0</v>
      </c>
      <c r="CO141" s="163" t="e">
        <f t="shared" si="15"/>
        <v>#DIV/0!</v>
      </c>
      <c r="CP141" s="245">
        <v>1</v>
      </c>
      <c r="CQ141" s="246">
        <v>0</v>
      </c>
      <c r="CR141" s="163" t="e">
        <f t="shared" si="16"/>
        <v>#DIV/0!</v>
      </c>
      <c r="CS141" s="207" t="e">
        <f t="shared" si="17"/>
        <v>#DIV/0!</v>
      </c>
      <c r="CT141" s="258"/>
      <c r="CU141" s="258"/>
      <c r="CV141" s="258"/>
      <c r="CW141" s="258"/>
      <c r="CX141" s="258"/>
      <c r="CY141" s="258"/>
      <c r="CZ141" s="258"/>
      <c r="DA141" s="258"/>
      <c r="DB141" s="258"/>
      <c r="DC141" s="258"/>
    </row>
    <row r="142" spans="1:173" ht="15.75" customHeight="1">
      <c r="B142" s="205">
        <f>ANACO!B138</f>
        <v>0</v>
      </c>
      <c r="C142" s="204">
        <f>ANACO!C138</f>
        <v>0</v>
      </c>
      <c r="D142" s="165">
        <f>ANACO!H138</f>
        <v>0</v>
      </c>
      <c r="E142" s="165"/>
      <c r="F142" s="203">
        <f>ANACO!G138</f>
        <v>0</v>
      </c>
      <c r="G142" s="203">
        <f>ANACO!I138</f>
        <v>0</v>
      </c>
      <c r="H142" s="166">
        <f>ANACO!BS138</f>
        <v>0</v>
      </c>
      <c r="I142" s="172">
        <f>ANACO!BT138</f>
        <v>0</v>
      </c>
      <c r="J142" s="161"/>
      <c r="K142" s="161">
        <f t="shared" si="9"/>
        <v>0</v>
      </c>
      <c r="L142" s="244">
        <v>0</v>
      </c>
      <c r="M142" s="244"/>
      <c r="N142" s="244"/>
      <c r="O142" s="244"/>
      <c r="P142" s="244"/>
      <c r="Q142" s="244"/>
      <c r="R142" s="244"/>
      <c r="S142" s="244"/>
      <c r="T142" s="244"/>
      <c r="U142" s="244"/>
      <c r="V142" s="244"/>
      <c r="W142" s="244"/>
      <c r="X142" s="244"/>
      <c r="Y142" s="244"/>
      <c r="Z142" s="244"/>
      <c r="AA142" s="244"/>
      <c r="AB142" s="244"/>
      <c r="AC142" s="244"/>
      <c r="AD142" s="244"/>
      <c r="AE142" s="244"/>
      <c r="AF142" s="244"/>
      <c r="AG142" s="244"/>
      <c r="AH142" s="244"/>
      <c r="AI142" s="244"/>
      <c r="AJ142" s="244"/>
      <c r="AK142" s="244"/>
      <c r="AL142" s="244"/>
      <c r="AM142" s="244"/>
      <c r="AN142" s="244"/>
      <c r="AO142" s="244"/>
      <c r="AP142" s="244"/>
      <c r="AQ142" s="244"/>
      <c r="AR142" s="244"/>
      <c r="AS142" s="244"/>
      <c r="AT142" s="244"/>
      <c r="AU142" s="244"/>
      <c r="AV142" s="161"/>
      <c r="AW142" s="161"/>
      <c r="AX142" s="243">
        <v>0</v>
      </c>
      <c r="AY142" s="161"/>
      <c r="AZ142" s="161"/>
      <c r="BA142" s="243">
        <v>0</v>
      </c>
      <c r="BB142" s="212">
        <f t="shared" si="10"/>
        <v>0</v>
      </c>
      <c r="BC142" s="256"/>
      <c r="BD142" s="162" t="e">
        <f t="shared" si="11"/>
        <v>#DIV/0!</v>
      </c>
      <c r="BE142" s="162" t="e">
        <f t="shared" si="12"/>
        <v>#DIV/0!</v>
      </c>
      <c r="BF142" s="243"/>
      <c r="BG142" s="243"/>
      <c r="BH142" s="243"/>
      <c r="BI142" s="257"/>
      <c r="BJ142" s="257"/>
      <c r="BK142" s="243"/>
      <c r="BL142" s="243"/>
      <c r="BM142" s="243"/>
      <c r="BN142" s="243"/>
      <c r="BO142" s="243"/>
      <c r="BP142" s="243"/>
      <c r="BQ142" s="243"/>
      <c r="BR142" s="243"/>
      <c r="BS142" s="243"/>
      <c r="BT142" s="243"/>
      <c r="BU142" s="243"/>
      <c r="BV142" s="243"/>
      <c r="BW142" s="243"/>
      <c r="BX142" s="243"/>
      <c r="BY142" s="243"/>
      <c r="BZ142" s="243"/>
      <c r="CA142" s="243"/>
      <c r="CB142" s="243"/>
      <c r="CC142" s="243"/>
      <c r="CD142" s="243"/>
      <c r="CE142" s="245">
        <v>0</v>
      </c>
      <c r="CF142" s="245">
        <v>0</v>
      </c>
      <c r="CG142" s="245">
        <v>1</v>
      </c>
      <c r="CH142" s="246">
        <v>0</v>
      </c>
      <c r="CI142" s="219" t="e">
        <f t="shared" si="13"/>
        <v>#DIV/0!</v>
      </c>
      <c r="CJ142" s="245">
        <v>1</v>
      </c>
      <c r="CK142" s="246">
        <v>0</v>
      </c>
      <c r="CL142" s="163" t="e">
        <f t="shared" si="14"/>
        <v>#DIV/0!</v>
      </c>
      <c r="CM142" s="245">
        <v>1</v>
      </c>
      <c r="CN142" s="246">
        <v>0</v>
      </c>
      <c r="CO142" s="163" t="e">
        <f t="shared" si="15"/>
        <v>#DIV/0!</v>
      </c>
      <c r="CP142" s="245">
        <v>1</v>
      </c>
      <c r="CQ142" s="246">
        <v>0</v>
      </c>
      <c r="CR142" s="163" t="e">
        <f t="shared" si="16"/>
        <v>#DIV/0!</v>
      </c>
      <c r="CS142" s="207" t="e">
        <f t="shared" si="17"/>
        <v>#DIV/0!</v>
      </c>
      <c r="CT142" s="258"/>
      <c r="CU142" s="258"/>
      <c r="CV142" s="258"/>
      <c r="CW142" s="258"/>
      <c r="CX142" s="258"/>
      <c r="CY142" s="258"/>
      <c r="CZ142" s="258"/>
      <c r="DA142" s="258"/>
      <c r="DB142" s="258"/>
      <c r="DC142" s="258"/>
    </row>
    <row r="143" spans="1:173">
      <c r="B143" s="205">
        <f>ANACO!B139</f>
        <v>0</v>
      </c>
      <c r="C143" s="204">
        <f>ANACO!C139</f>
        <v>0</v>
      </c>
      <c r="D143" s="165">
        <f>ANACO!H139</f>
        <v>0</v>
      </c>
      <c r="E143" s="165"/>
      <c r="F143" s="203">
        <f>ANACO!G139</f>
        <v>0</v>
      </c>
      <c r="G143" s="203">
        <f>ANACO!I139</f>
        <v>0</v>
      </c>
      <c r="H143" s="166">
        <f>ANACO!BS139</f>
        <v>0</v>
      </c>
      <c r="I143" s="172">
        <f>ANACO!BT139</f>
        <v>0</v>
      </c>
      <c r="J143" s="161"/>
      <c r="K143" s="161">
        <f t="shared" si="9"/>
        <v>0</v>
      </c>
      <c r="L143" s="244">
        <v>0</v>
      </c>
      <c r="M143" s="244"/>
      <c r="N143" s="244"/>
      <c r="O143" s="244"/>
      <c r="P143" s="244"/>
      <c r="Q143" s="244"/>
      <c r="R143" s="244"/>
      <c r="S143" s="244"/>
      <c r="T143" s="244"/>
      <c r="U143" s="244"/>
      <c r="V143" s="244"/>
      <c r="W143" s="244"/>
      <c r="X143" s="244"/>
      <c r="Y143" s="244"/>
      <c r="Z143" s="244"/>
      <c r="AA143" s="244"/>
      <c r="AB143" s="244"/>
      <c r="AC143" s="244"/>
      <c r="AD143" s="244"/>
      <c r="AE143" s="244"/>
      <c r="AF143" s="244"/>
      <c r="AG143" s="244"/>
      <c r="AH143" s="244"/>
      <c r="AI143" s="244"/>
      <c r="AJ143" s="244"/>
      <c r="AK143" s="244"/>
      <c r="AL143" s="244"/>
      <c r="AM143" s="244"/>
      <c r="AN143" s="244"/>
      <c r="AO143" s="244"/>
      <c r="AP143" s="244"/>
      <c r="AQ143" s="244"/>
      <c r="AR143" s="244"/>
      <c r="AS143" s="244"/>
      <c r="AT143" s="244"/>
      <c r="AU143" s="244"/>
      <c r="AV143" s="161"/>
      <c r="AW143" s="161"/>
      <c r="AX143" s="243">
        <v>0</v>
      </c>
      <c r="AY143" s="161"/>
      <c r="AZ143" s="161"/>
      <c r="BA143" s="243">
        <v>0</v>
      </c>
      <c r="BB143" s="212">
        <f t="shared" si="10"/>
        <v>0</v>
      </c>
      <c r="BC143" s="256"/>
      <c r="BD143" s="162" t="e">
        <f t="shared" si="11"/>
        <v>#DIV/0!</v>
      </c>
      <c r="BE143" s="162" t="e">
        <f t="shared" si="12"/>
        <v>#DIV/0!</v>
      </c>
      <c r="BF143" s="243"/>
      <c r="BG143" s="243"/>
      <c r="BH143" s="243"/>
      <c r="BI143" s="257"/>
      <c r="BJ143" s="257"/>
      <c r="BK143" s="243"/>
      <c r="BL143" s="243"/>
      <c r="BM143" s="243"/>
      <c r="BN143" s="243"/>
      <c r="BO143" s="243"/>
      <c r="BP143" s="243"/>
      <c r="BQ143" s="243"/>
      <c r="BR143" s="243"/>
      <c r="BS143" s="243"/>
      <c r="BT143" s="243"/>
      <c r="BU143" s="243"/>
      <c r="BV143" s="243"/>
      <c r="BW143" s="243"/>
      <c r="BX143" s="243"/>
      <c r="BY143" s="243"/>
      <c r="BZ143" s="243"/>
      <c r="CA143" s="243"/>
      <c r="CB143" s="243"/>
      <c r="CC143" s="243"/>
      <c r="CD143" s="243"/>
      <c r="CE143" s="245">
        <v>0</v>
      </c>
      <c r="CF143" s="245">
        <v>0</v>
      </c>
      <c r="CG143" s="245">
        <v>1</v>
      </c>
      <c r="CH143" s="246">
        <v>0</v>
      </c>
      <c r="CI143" s="219" t="e">
        <f t="shared" si="13"/>
        <v>#DIV/0!</v>
      </c>
      <c r="CJ143" s="245">
        <v>1</v>
      </c>
      <c r="CK143" s="246">
        <v>0</v>
      </c>
      <c r="CL143" s="163" t="e">
        <f t="shared" si="14"/>
        <v>#DIV/0!</v>
      </c>
      <c r="CM143" s="245">
        <v>1</v>
      </c>
      <c r="CN143" s="246">
        <v>0</v>
      </c>
      <c r="CO143" s="163" t="e">
        <f t="shared" si="15"/>
        <v>#DIV/0!</v>
      </c>
      <c r="CP143" s="245">
        <v>1</v>
      </c>
      <c r="CQ143" s="246">
        <v>0</v>
      </c>
      <c r="CR143" s="163" t="e">
        <f t="shared" si="16"/>
        <v>#DIV/0!</v>
      </c>
      <c r="CS143" s="207" t="e">
        <f t="shared" si="17"/>
        <v>#DIV/0!</v>
      </c>
      <c r="CT143" s="258"/>
      <c r="CU143" s="258"/>
      <c r="CV143" s="258"/>
      <c r="CW143" s="258"/>
      <c r="CX143" s="258"/>
      <c r="CY143" s="258"/>
      <c r="CZ143" s="258"/>
      <c r="DA143" s="258"/>
      <c r="DB143" s="258"/>
      <c r="DC143" s="258"/>
    </row>
    <row r="144" spans="1:173">
      <c r="B144" s="205">
        <f>ANACO!B140</f>
        <v>0</v>
      </c>
      <c r="C144" s="204">
        <f>ANACO!C140</f>
        <v>0</v>
      </c>
      <c r="D144" s="165">
        <f>ANACO!H140</f>
        <v>0</v>
      </c>
      <c r="E144" s="165"/>
      <c r="F144" s="203">
        <f>ANACO!G140</f>
        <v>0</v>
      </c>
      <c r="G144" s="203">
        <f>ANACO!I140</f>
        <v>0</v>
      </c>
      <c r="H144" s="166">
        <f>ANACO!BS140</f>
        <v>0</v>
      </c>
      <c r="I144" s="172">
        <f>ANACO!BT140</f>
        <v>0</v>
      </c>
      <c r="J144" s="161"/>
      <c r="K144" s="161">
        <f t="shared" si="9"/>
        <v>0</v>
      </c>
      <c r="L144" s="244">
        <v>0</v>
      </c>
      <c r="M144" s="244"/>
      <c r="N144" s="244"/>
      <c r="O144" s="244"/>
      <c r="P144" s="244"/>
      <c r="Q144" s="244"/>
      <c r="R144" s="244"/>
      <c r="S144" s="244"/>
      <c r="T144" s="244"/>
      <c r="U144" s="244"/>
      <c r="V144" s="244"/>
      <c r="W144" s="244"/>
      <c r="X144" s="244"/>
      <c r="Y144" s="244"/>
      <c r="Z144" s="244"/>
      <c r="AA144" s="244"/>
      <c r="AB144" s="244"/>
      <c r="AC144" s="244"/>
      <c r="AD144" s="244"/>
      <c r="AE144" s="244"/>
      <c r="AF144" s="244"/>
      <c r="AG144" s="244"/>
      <c r="AH144" s="244"/>
      <c r="AI144" s="244"/>
      <c r="AJ144" s="244"/>
      <c r="AK144" s="244"/>
      <c r="AL144" s="244"/>
      <c r="AM144" s="244"/>
      <c r="AN144" s="244"/>
      <c r="AO144" s="244"/>
      <c r="AP144" s="244"/>
      <c r="AQ144" s="244"/>
      <c r="AR144" s="244"/>
      <c r="AS144" s="244"/>
      <c r="AT144" s="244"/>
      <c r="AU144" s="244"/>
      <c r="AV144" s="161"/>
      <c r="AW144" s="161"/>
      <c r="AX144" s="243">
        <v>0</v>
      </c>
      <c r="AY144" s="161"/>
      <c r="AZ144" s="161"/>
      <c r="BA144" s="243">
        <v>0</v>
      </c>
      <c r="BB144" s="212">
        <f t="shared" si="10"/>
        <v>0</v>
      </c>
      <c r="BC144" s="256"/>
      <c r="BD144" s="162" t="e">
        <f t="shared" si="11"/>
        <v>#DIV/0!</v>
      </c>
      <c r="BE144" s="162" t="e">
        <f t="shared" si="12"/>
        <v>#DIV/0!</v>
      </c>
      <c r="BF144" s="243"/>
      <c r="BG144" s="243"/>
      <c r="BH144" s="243"/>
      <c r="BI144" s="257"/>
      <c r="BJ144" s="257"/>
      <c r="BK144" s="243"/>
      <c r="BL144" s="243"/>
      <c r="BM144" s="243"/>
      <c r="BN144" s="243"/>
      <c r="BO144" s="243"/>
      <c r="BP144" s="243"/>
      <c r="BQ144" s="243"/>
      <c r="BR144" s="243"/>
      <c r="BS144" s="243"/>
      <c r="BT144" s="243"/>
      <c r="BU144" s="243"/>
      <c r="BV144" s="243"/>
      <c r="BW144" s="243"/>
      <c r="BX144" s="243"/>
      <c r="BY144" s="243"/>
      <c r="BZ144" s="243"/>
      <c r="CA144" s="243"/>
      <c r="CB144" s="243"/>
      <c r="CC144" s="243"/>
      <c r="CD144" s="243"/>
      <c r="CE144" s="245">
        <v>0</v>
      </c>
      <c r="CF144" s="245">
        <v>0</v>
      </c>
      <c r="CG144" s="245">
        <v>1</v>
      </c>
      <c r="CH144" s="246">
        <v>0</v>
      </c>
      <c r="CI144" s="219" t="e">
        <f t="shared" si="13"/>
        <v>#DIV/0!</v>
      </c>
      <c r="CJ144" s="245">
        <v>1</v>
      </c>
      <c r="CK144" s="246">
        <v>0</v>
      </c>
      <c r="CL144" s="163" t="e">
        <f t="shared" si="14"/>
        <v>#DIV/0!</v>
      </c>
      <c r="CM144" s="245">
        <v>1</v>
      </c>
      <c r="CN144" s="246">
        <v>0</v>
      </c>
      <c r="CO144" s="163" t="e">
        <f t="shared" si="15"/>
        <v>#DIV/0!</v>
      </c>
      <c r="CP144" s="245">
        <v>1</v>
      </c>
      <c r="CQ144" s="246">
        <v>0</v>
      </c>
      <c r="CR144" s="163" t="e">
        <f t="shared" si="16"/>
        <v>#DIV/0!</v>
      </c>
      <c r="CS144" s="207" t="e">
        <f t="shared" si="17"/>
        <v>#DIV/0!</v>
      </c>
      <c r="CT144" s="258"/>
      <c r="CU144" s="258"/>
      <c r="CV144" s="258"/>
      <c r="CW144" s="258"/>
      <c r="CX144" s="258"/>
      <c r="CY144" s="258"/>
      <c r="CZ144" s="258"/>
      <c r="DA144" s="258"/>
      <c r="DB144" s="258"/>
      <c r="DC144" s="258"/>
    </row>
    <row r="145" spans="1:173">
      <c r="B145" s="205">
        <f>ANACO!B141</f>
        <v>0</v>
      </c>
      <c r="C145" s="204">
        <f>ANACO!C141</f>
        <v>0</v>
      </c>
      <c r="D145" s="165">
        <f>ANACO!H141</f>
        <v>0</v>
      </c>
      <c r="E145" s="165"/>
      <c r="F145" s="203">
        <f>ANACO!G141</f>
        <v>0</v>
      </c>
      <c r="G145" s="203">
        <f>ANACO!I141</f>
        <v>0</v>
      </c>
      <c r="H145" s="166">
        <f>ANACO!BS141</f>
        <v>0</v>
      </c>
      <c r="I145" s="172">
        <f>ANACO!BT141</f>
        <v>0</v>
      </c>
      <c r="J145" s="161"/>
      <c r="K145" s="161">
        <f t="shared" ref="K145:K156" si="18">SUM(L145:AU145)</f>
        <v>0</v>
      </c>
      <c r="L145" s="244">
        <v>0</v>
      </c>
      <c r="M145" s="244"/>
      <c r="N145" s="244"/>
      <c r="O145" s="244"/>
      <c r="P145" s="244"/>
      <c r="Q145" s="244"/>
      <c r="R145" s="244"/>
      <c r="S145" s="244"/>
      <c r="T145" s="244"/>
      <c r="U145" s="244"/>
      <c r="V145" s="244"/>
      <c r="W145" s="244"/>
      <c r="X145" s="244"/>
      <c r="Y145" s="244"/>
      <c r="Z145" s="244"/>
      <c r="AA145" s="244"/>
      <c r="AB145" s="244"/>
      <c r="AC145" s="244"/>
      <c r="AD145" s="244"/>
      <c r="AE145" s="244"/>
      <c r="AF145" s="244"/>
      <c r="AG145" s="244"/>
      <c r="AH145" s="244"/>
      <c r="AI145" s="244"/>
      <c r="AJ145" s="244"/>
      <c r="AK145" s="244"/>
      <c r="AL145" s="244"/>
      <c r="AM145" s="244"/>
      <c r="AN145" s="244"/>
      <c r="AO145" s="244"/>
      <c r="AP145" s="244"/>
      <c r="AQ145" s="244"/>
      <c r="AR145" s="244"/>
      <c r="AS145" s="244"/>
      <c r="AT145" s="244"/>
      <c r="AU145" s="244"/>
      <c r="AV145" s="161"/>
      <c r="AW145" s="161"/>
      <c r="AX145" s="243">
        <v>0</v>
      </c>
      <c r="AY145" s="161"/>
      <c r="AZ145" s="161"/>
      <c r="BA145" s="243">
        <v>0</v>
      </c>
      <c r="BB145" s="212">
        <f t="shared" ref="BB145:BB156" si="19">K145*(AX145*BA145/1000000)</f>
        <v>0</v>
      </c>
      <c r="BC145" s="256"/>
      <c r="BD145" s="162" t="e">
        <f t="shared" ref="BD145:BD156" si="20">H145/(F145)</f>
        <v>#DIV/0!</v>
      </c>
      <c r="BE145" s="162" t="e">
        <f t="shared" ref="BE145:BE156" si="21">(BB145*BD145)</f>
        <v>#DIV/0!</v>
      </c>
      <c r="BF145" s="243"/>
      <c r="BG145" s="243"/>
      <c r="BH145" s="243"/>
      <c r="BI145" s="257"/>
      <c r="BJ145" s="257"/>
      <c r="BK145" s="243"/>
      <c r="BL145" s="243"/>
      <c r="BM145" s="243"/>
      <c r="BN145" s="243"/>
      <c r="BO145" s="243"/>
      <c r="BP145" s="243"/>
      <c r="BQ145" s="243"/>
      <c r="BR145" s="243"/>
      <c r="BS145" s="243"/>
      <c r="BT145" s="243"/>
      <c r="BU145" s="243"/>
      <c r="BV145" s="243"/>
      <c r="BW145" s="243"/>
      <c r="BX145" s="243"/>
      <c r="BY145" s="243"/>
      <c r="BZ145" s="243"/>
      <c r="CA145" s="243"/>
      <c r="CB145" s="243"/>
      <c r="CC145" s="243"/>
      <c r="CD145" s="243"/>
      <c r="CE145" s="245">
        <v>0</v>
      </c>
      <c r="CF145" s="245">
        <v>0</v>
      </c>
      <c r="CG145" s="245">
        <v>1</v>
      </c>
      <c r="CH145" s="246">
        <v>0</v>
      </c>
      <c r="CI145" s="219" t="e">
        <f t="shared" ref="CI145:CI156" si="22">+CH145*BE145*$CI$10*CG145</f>
        <v>#DIV/0!</v>
      </c>
      <c r="CJ145" s="245">
        <v>1</v>
      </c>
      <c r="CK145" s="246">
        <v>0</v>
      </c>
      <c r="CL145" s="163" t="e">
        <f t="shared" ref="CL145:CL156" si="23">+CK145*BE145*$CL$10*CJ145</f>
        <v>#DIV/0!</v>
      </c>
      <c r="CM145" s="245">
        <v>1</v>
      </c>
      <c r="CN145" s="246">
        <v>0</v>
      </c>
      <c r="CO145" s="163" t="e">
        <f t="shared" ref="CO145:CO156" si="24">+CN145*BE145*$CO$10*CM145</f>
        <v>#DIV/0!</v>
      </c>
      <c r="CP145" s="245">
        <v>1</v>
      </c>
      <c r="CQ145" s="246">
        <v>0</v>
      </c>
      <c r="CR145" s="163" t="e">
        <f t="shared" ref="CR145:CR156" si="25">+CQ145*BE145*$CR$10*CP145</f>
        <v>#DIV/0!</v>
      </c>
      <c r="CS145" s="207" t="e">
        <f t="shared" ref="CS145:CS156" si="26">SUM(CR145+CO145+CL145+CI145+CF145+CE145)</f>
        <v>#DIV/0!</v>
      </c>
      <c r="CT145" s="258"/>
      <c r="CU145" s="258"/>
      <c r="CV145" s="258"/>
      <c r="CW145" s="258"/>
      <c r="CX145" s="258"/>
      <c r="CY145" s="258"/>
      <c r="CZ145" s="258"/>
      <c r="DA145" s="258"/>
      <c r="DB145" s="258"/>
      <c r="DC145" s="258"/>
    </row>
    <row r="146" spans="1:173" s="168" customFormat="1">
      <c r="A146" s="156"/>
      <c r="B146" s="205">
        <f>ANACO!B142</f>
        <v>0</v>
      </c>
      <c r="C146" s="204">
        <f>ANACO!C142</f>
        <v>0</v>
      </c>
      <c r="D146" s="165">
        <f>ANACO!H142</f>
        <v>0</v>
      </c>
      <c r="E146" s="165"/>
      <c r="F146" s="203">
        <f>ANACO!G142</f>
        <v>0</v>
      </c>
      <c r="G146" s="203">
        <f>ANACO!I142</f>
        <v>0</v>
      </c>
      <c r="H146" s="166">
        <f>ANACO!BS142</f>
        <v>0</v>
      </c>
      <c r="I146" s="172">
        <f>ANACO!BT142</f>
        <v>0</v>
      </c>
      <c r="J146" s="161"/>
      <c r="K146" s="161">
        <f t="shared" si="18"/>
        <v>0</v>
      </c>
      <c r="L146" s="244">
        <v>0</v>
      </c>
      <c r="M146" s="244"/>
      <c r="N146" s="244"/>
      <c r="O146" s="244"/>
      <c r="P146" s="244"/>
      <c r="Q146" s="244"/>
      <c r="R146" s="244"/>
      <c r="S146" s="244"/>
      <c r="T146" s="244"/>
      <c r="U146" s="244"/>
      <c r="V146" s="244"/>
      <c r="W146" s="244"/>
      <c r="X146" s="244"/>
      <c r="Y146" s="244"/>
      <c r="Z146" s="244"/>
      <c r="AA146" s="244"/>
      <c r="AB146" s="244"/>
      <c r="AC146" s="244"/>
      <c r="AD146" s="244"/>
      <c r="AE146" s="244"/>
      <c r="AF146" s="244"/>
      <c r="AG146" s="244"/>
      <c r="AH146" s="244"/>
      <c r="AI146" s="244"/>
      <c r="AJ146" s="244"/>
      <c r="AK146" s="244"/>
      <c r="AL146" s="244"/>
      <c r="AM146" s="244"/>
      <c r="AN146" s="244"/>
      <c r="AO146" s="244"/>
      <c r="AP146" s="244"/>
      <c r="AQ146" s="244"/>
      <c r="AR146" s="244"/>
      <c r="AS146" s="244"/>
      <c r="AT146" s="244"/>
      <c r="AU146" s="244"/>
      <c r="AV146" s="161"/>
      <c r="AW146" s="161"/>
      <c r="AX146" s="243">
        <v>0</v>
      </c>
      <c r="AY146" s="161"/>
      <c r="AZ146" s="161"/>
      <c r="BA146" s="243">
        <v>0</v>
      </c>
      <c r="BB146" s="212">
        <f t="shared" si="19"/>
        <v>0</v>
      </c>
      <c r="BC146" s="256"/>
      <c r="BD146" s="162" t="e">
        <f t="shared" si="20"/>
        <v>#DIV/0!</v>
      </c>
      <c r="BE146" s="162" t="e">
        <f t="shared" si="21"/>
        <v>#DIV/0!</v>
      </c>
      <c r="BF146" s="243"/>
      <c r="BG146" s="243"/>
      <c r="BH146" s="243"/>
      <c r="BI146" s="257"/>
      <c r="BJ146" s="257"/>
      <c r="BK146" s="243"/>
      <c r="BL146" s="243"/>
      <c r="BM146" s="243"/>
      <c r="BN146" s="243"/>
      <c r="BO146" s="243"/>
      <c r="BP146" s="243"/>
      <c r="BQ146" s="243"/>
      <c r="BR146" s="243"/>
      <c r="BS146" s="243"/>
      <c r="BT146" s="243"/>
      <c r="BU146" s="243"/>
      <c r="BV146" s="243"/>
      <c r="BW146" s="243"/>
      <c r="BX146" s="243"/>
      <c r="BY146" s="243"/>
      <c r="BZ146" s="243"/>
      <c r="CA146" s="243"/>
      <c r="CB146" s="243"/>
      <c r="CC146" s="243"/>
      <c r="CD146" s="243"/>
      <c r="CE146" s="245">
        <v>0</v>
      </c>
      <c r="CF146" s="245">
        <v>0</v>
      </c>
      <c r="CG146" s="245">
        <v>1</v>
      </c>
      <c r="CH146" s="246">
        <v>0</v>
      </c>
      <c r="CI146" s="219" t="e">
        <f t="shared" si="22"/>
        <v>#DIV/0!</v>
      </c>
      <c r="CJ146" s="245">
        <v>1</v>
      </c>
      <c r="CK146" s="246">
        <v>0</v>
      </c>
      <c r="CL146" s="163" t="e">
        <f t="shared" si="23"/>
        <v>#DIV/0!</v>
      </c>
      <c r="CM146" s="245">
        <v>1</v>
      </c>
      <c r="CN146" s="246">
        <v>0</v>
      </c>
      <c r="CO146" s="163" t="e">
        <f t="shared" si="24"/>
        <v>#DIV/0!</v>
      </c>
      <c r="CP146" s="245">
        <v>1</v>
      </c>
      <c r="CQ146" s="246">
        <v>0</v>
      </c>
      <c r="CR146" s="163" t="e">
        <f t="shared" si="25"/>
        <v>#DIV/0!</v>
      </c>
      <c r="CS146" s="207" t="e">
        <f t="shared" si="26"/>
        <v>#DIV/0!</v>
      </c>
      <c r="CT146" s="258"/>
      <c r="CU146" s="258"/>
      <c r="CV146" s="258"/>
      <c r="CW146" s="258"/>
      <c r="CX146" s="258"/>
      <c r="CY146" s="258"/>
      <c r="CZ146" s="258"/>
      <c r="DA146" s="258"/>
      <c r="DB146" s="258"/>
      <c r="DC146" s="258"/>
      <c r="DD146" s="156"/>
      <c r="DE146" s="156"/>
      <c r="DF146" s="156"/>
      <c r="DG146" s="156"/>
      <c r="DH146" s="156"/>
      <c r="DI146" s="156"/>
      <c r="DJ146" s="156"/>
      <c r="DK146" s="156"/>
      <c r="DL146" s="156"/>
      <c r="DM146" s="156"/>
      <c r="DN146" s="156"/>
      <c r="DO146" s="156"/>
      <c r="DP146" s="156"/>
      <c r="DQ146" s="156"/>
      <c r="DR146" s="156"/>
      <c r="DS146" s="156"/>
      <c r="DT146" s="156"/>
      <c r="DU146" s="156"/>
      <c r="DV146" s="156"/>
      <c r="DW146" s="156"/>
      <c r="DX146" s="156"/>
      <c r="DY146" s="156"/>
      <c r="DZ146" s="156"/>
      <c r="EA146" s="156"/>
      <c r="EB146" s="156"/>
      <c r="EC146" s="156"/>
      <c r="ED146" s="156"/>
      <c r="EE146" s="156"/>
      <c r="EF146" s="156"/>
      <c r="EG146" s="156"/>
      <c r="EH146" s="156"/>
      <c r="EI146" s="156"/>
      <c r="EJ146" s="156"/>
      <c r="EK146" s="156"/>
      <c r="EL146" s="156"/>
      <c r="EM146" s="156"/>
      <c r="EN146" s="156"/>
      <c r="EO146" s="156"/>
      <c r="EP146" s="156"/>
      <c r="EQ146" s="156"/>
      <c r="ER146" s="156"/>
      <c r="ES146" s="156"/>
      <c r="ET146" s="156"/>
      <c r="EU146" s="156"/>
      <c r="EV146" s="156"/>
      <c r="EW146" s="156"/>
      <c r="EX146" s="156"/>
      <c r="EY146" s="156"/>
      <c r="EZ146" s="156"/>
      <c r="FA146" s="156"/>
      <c r="FB146" s="156"/>
      <c r="FC146" s="156"/>
      <c r="FD146" s="156"/>
      <c r="FE146" s="156"/>
      <c r="FF146" s="156"/>
      <c r="FG146" s="156"/>
      <c r="FH146" s="156"/>
      <c r="FI146" s="156"/>
      <c r="FJ146" s="156"/>
      <c r="FK146" s="156"/>
      <c r="FL146" s="156"/>
      <c r="FM146" s="156"/>
      <c r="FN146" s="156"/>
      <c r="FO146" s="156"/>
      <c r="FP146" s="156"/>
      <c r="FQ146" s="156"/>
    </row>
    <row r="147" spans="1:173" s="168" customFormat="1">
      <c r="A147" s="156"/>
      <c r="B147" s="205">
        <f>ANACO!B143</f>
        <v>0</v>
      </c>
      <c r="C147" s="204">
        <f>ANACO!C143</f>
        <v>0</v>
      </c>
      <c r="D147" s="165">
        <f>ANACO!H143</f>
        <v>0</v>
      </c>
      <c r="E147" s="165"/>
      <c r="F147" s="203">
        <f>ANACO!G143</f>
        <v>0</v>
      </c>
      <c r="G147" s="203">
        <f>ANACO!I143</f>
        <v>0</v>
      </c>
      <c r="H147" s="166">
        <f>ANACO!BS143</f>
        <v>0</v>
      </c>
      <c r="I147" s="172">
        <f>ANACO!BT143</f>
        <v>0</v>
      </c>
      <c r="J147" s="161"/>
      <c r="K147" s="161">
        <f t="shared" si="18"/>
        <v>0</v>
      </c>
      <c r="L147" s="244">
        <v>0</v>
      </c>
      <c r="M147" s="244"/>
      <c r="N147" s="244"/>
      <c r="O147" s="244"/>
      <c r="P147" s="244"/>
      <c r="Q147" s="244"/>
      <c r="R147" s="244"/>
      <c r="S147" s="244"/>
      <c r="T147" s="244"/>
      <c r="U147" s="244"/>
      <c r="V147" s="244"/>
      <c r="W147" s="244"/>
      <c r="X147" s="244"/>
      <c r="Y147" s="244"/>
      <c r="Z147" s="244"/>
      <c r="AA147" s="244"/>
      <c r="AB147" s="244"/>
      <c r="AC147" s="244"/>
      <c r="AD147" s="244"/>
      <c r="AE147" s="244"/>
      <c r="AF147" s="244"/>
      <c r="AG147" s="244"/>
      <c r="AH147" s="244"/>
      <c r="AI147" s="244"/>
      <c r="AJ147" s="244"/>
      <c r="AK147" s="244"/>
      <c r="AL147" s="244"/>
      <c r="AM147" s="244"/>
      <c r="AN147" s="244"/>
      <c r="AO147" s="244"/>
      <c r="AP147" s="244"/>
      <c r="AQ147" s="244"/>
      <c r="AR147" s="244"/>
      <c r="AS147" s="244"/>
      <c r="AT147" s="244"/>
      <c r="AU147" s="244"/>
      <c r="AV147" s="161"/>
      <c r="AW147" s="161"/>
      <c r="AX147" s="243">
        <v>0</v>
      </c>
      <c r="AY147" s="161"/>
      <c r="AZ147" s="161"/>
      <c r="BA147" s="243">
        <v>0</v>
      </c>
      <c r="BB147" s="212">
        <f t="shared" si="19"/>
        <v>0</v>
      </c>
      <c r="BC147" s="256"/>
      <c r="BD147" s="162" t="e">
        <f t="shared" si="20"/>
        <v>#DIV/0!</v>
      </c>
      <c r="BE147" s="162" t="e">
        <f t="shared" si="21"/>
        <v>#DIV/0!</v>
      </c>
      <c r="BF147" s="243"/>
      <c r="BG147" s="243"/>
      <c r="BH147" s="243"/>
      <c r="BI147" s="257"/>
      <c r="BJ147" s="257"/>
      <c r="BK147" s="243"/>
      <c r="BL147" s="243"/>
      <c r="BM147" s="243"/>
      <c r="BN147" s="243"/>
      <c r="BO147" s="243"/>
      <c r="BP147" s="243"/>
      <c r="BQ147" s="243"/>
      <c r="BR147" s="243"/>
      <c r="BS147" s="243"/>
      <c r="BT147" s="243"/>
      <c r="BU147" s="243"/>
      <c r="BV147" s="243"/>
      <c r="BW147" s="243"/>
      <c r="BX147" s="243"/>
      <c r="BY147" s="243"/>
      <c r="BZ147" s="243"/>
      <c r="CA147" s="243"/>
      <c r="CB147" s="243"/>
      <c r="CC147" s="243"/>
      <c r="CD147" s="243"/>
      <c r="CE147" s="245">
        <v>0</v>
      </c>
      <c r="CF147" s="245">
        <v>0</v>
      </c>
      <c r="CG147" s="245">
        <v>1</v>
      </c>
      <c r="CH147" s="246">
        <v>0</v>
      </c>
      <c r="CI147" s="219" t="e">
        <f t="shared" si="22"/>
        <v>#DIV/0!</v>
      </c>
      <c r="CJ147" s="245">
        <v>1</v>
      </c>
      <c r="CK147" s="246">
        <v>0</v>
      </c>
      <c r="CL147" s="163" t="e">
        <f t="shared" si="23"/>
        <v>#DIV/0!</v>
      </c>
      <c r="CM147" s="245">
        <v>1</v>
      </c>
      <c r="CN147" s="246">
        <v>0</v>
      </c>
      <c r="CO147" s="163" t="e">
        <f t="shared" si="24"/>
        <v>#DIV/0!</v>
      </c>
      <c r="CP147" s="245">
        <v>1</v>
      </c>
      <c r="CQ147" s="246">
        <v>0</v>
      </c>
      <c r="CR147" s="163" t="e">
        <f t="shared" si="25"/>
        <v>#DIV/0!</v>
      </c>
      <c r="CS147" s="207" t="e">
        <f t="shared" si="26"/>
        <v>#DIV/0!</v>
      </c>
      <c r="CT147" s="258"/>
      <c r="CU147" s="258"/>
      <c r="CV147" s="258"/>
      <c r="CW147" s="258"/>
      <c r="CX147" s="258"/>
      <c r="CY147" s="258"/>
      <c r="CZ147" s="258"/>
      <c r="DA147" s="258"/>
      <c r="DB147" s="258"/>
      <c r="DC147" s="258"/>
      <c r="DD147" s="156"/>
      <c r="DE147" s="156"/>
      <c r="DF147" s="156"/>
      <c r="DG147" s="156"/>
      <c r="DH147" s="156"/>
      <c r="DI147" s="156"/>
      <c r="DJ147" s="156"/>
      <c r="DK147" s="156"/>
      <c r="DL147" s="156"/>
      <c r="DM147" s="156"/>
      <c r="DN147" s="156"/>
      <c r="DO147" s="156"/>
      <c r="DP147" s="156"/>
      <c r="DQ147" s="156"/>
      <c r="DR147" s="156"/>
      <c r="DS147" s="156"/>
      <c r="DT147" s="156"/>
      <c r="DU147" s="156"/>
      <c r="DV147" s="156"/>
      <c r="DW147" s="156"/>
      <c r="DX147" s="156"/>
      <c r="DY147" s="156"/>
      <c r="DZ147" s="156"/>
      <c r="EA147" s="156"/>
      <c r="EB147" s="156"/>
      <c r="EC147" s="156"/>
      <c r="ED147" s="156"/>
      <c r="EE147" s="156"/>
      <c r="EF147" s="156"/>
      <c r="EG147" s="156"/>
      <c r="EH147" s="156"/>
      <c r="EI147" s="156"/>
      <c r="EJ147" s="156"/>
      <c r="EK147" s="156"/>
      <c r="EL147" s="156"/>
      <c r="EM147" s="156"/>
      <c r="EN147" s="156"/>
      <c r="EO147" s="156"/>
      <c r="EP147" s="156"/>
      <c r="EQ147" s="156"/>
      <c r="ER147" s="156"/>
      <c r="ES147" s="156"/>
      <c r="ET147" s="156"/>
      <c r="EU147" s="156"/>
      <c r="EV147" s="156"/>
      <c r="EW147" s="156"/>
      <c r="EX147" s="156"/>
      <c r="EY147" s="156"/>
      <c r="EZ147" s="156"/>
      <c r="FA147" s="156"/>
      <c r="FB147" s="156"/>
      <c r="FC147" s="156"/>
      <c r="FD147" s="156"/>
      <c r="FE147" s="156"/>
      <c r="FF147" s="156"/>
      <c r="FG147" s="156"/>
      <c r="FH147" s="156"/>
      <c r="FI147" s="156"/>
      <c r="FJ147" s="156"/>
      <c r="FK147" s="156"/>
      <c r="FL147" s="156"/>
      <c r="FM147" s="156"/>
      <c r="FN147" s="156"/>
      <c r="FO147" s="156"/>
      <c r="FP147" s="156"/>
      <c r="FQ147" s="156"/>
    </row>
    <row r="148" spans="1:173" s="168" customFormat="1">
      <c r="A148" s="156"/>
      <c r="B148" s="205">
        <f>ANACO!B144</f>
        <v>0</v>
      </c>
      <c r="C148" s="204">
        <f>ANACO!C144</f>
        <v>0</v>
      </c>
      <c r="D148" s="165">
        <f>ANACO!H144</f>
        <v>0</v>
      </c>
      <c r="E148" s="165"/>
      <c r="F148" s="203">
        <f>ANACO!G144</f>
        <v>0</v>
      </c>
      <c r="G148" s="203">
        <f>ANACO!I144</f>
        <v>0</v>
      </c>
      <c r="H148" s="166">
        <f>ANACO!BS144</f>
        <v>0</v>
      </c>
      <c r="I148" s="172">
        <f>ANACO!BT144</f>
        <v>0</v>
      </c>
      <c r="J148" s="161"/>
      <c r="K148" s="161">
        <f t="shared" si="18"/>
        <v>0</v>
      </c>
      <c r="L148" s="244">
        <v>0</v>
      </c>
      <c r="M148" s="244"/>
      <c r="N148" s="244"/>
      <c r="O148" s="244"/>
      <c r="P148" s="244"/>
      <c r="Q148" s="244"/>
      <c r="R148" s="244"/>
      <c r="S148" s="244"/>
      <c r="T148" s="244"/>
      <c r="U148" s="244"/>
      <c r="V148" s="244"/>
      <c r="W148" s="244"/>
      <c r="X148" s="244"/>
      <c r="Y148" s="244"/>
      <c r="Z148" s="244"/>
      <c r="AA148" s="244"/>
      <c r="AB148" s="244"/>
      <c r="AC148" s="244"/>
      <c r="AD148" s="244"/>
      <c r="AE148" s="244"/>
      <c r="AF148" s="244"/>
      <c r="AG148" s="244"/>
      <c r="AH148" s="244"/>
      <c r="AI148" s="244"/>
      <c r="AJ148" s="244"/>
      <c r="AK148" s="244"/>
      <c r="AL148" s="244"/>
      <c r="AM148" s="244"/>
      <c r="AN148" s="244"/>
      <c r="AO148" s="244"/>
      <c r="AP148" s="244"/>
      <c r="AQ148" s="244"/>
      <c r="AR148" s="244"/>
      <c r="AS148" s="244"/>
      <c r="AT148" s="244"/>
      <c r="AU148" s="244"/>
      <c r="AV148" s="161"/>
      <c r="AW148" s="161"/>
      <c r="AX148" s="243">
        <v>0</v>
      </c>
      <c r="AY148" s="161"/>
      <c r="AZ148" s="161"/>
      <c r="BA148" s="243">
        <v>0</v>
      </c>
      <c r="BB148" s="212">
        <f t="shared" si="19"/>
        <v>0</v>
      </c>
      <c r="BC148" s="256"/>
      <c r="BD148" s="162" t="e">
        <f t="shared" si="20"/>
        <v>#DIV/0!</v>
      </c>
      <c r="BE148" s="162" t="e">
        <f t="shared" si="21"/>
        <v>#DIV/0!</v>
      </c>
      <c r="BF148" s="243"/>
      <c r="BG148" s="243"/>
      <c r="BH148" s="243"/>
      <c r="BI148" s="257"/>
      <c r="BJ148" s="257"/>
      <c r="BK148" s="243"/>
      <c r="BL148" s="243"/>
      <c r="BM148" s="243"/>
      <c r="BN148" s="243"/>
      <c r="BO148" s="243"/>
      <c r="BP148" s="243"/>
      <c r="BQ148" s="243"/>
      <c r="BR148" s="243"/>
      <c r="BS148" s="243"/>
      <c r="BT148" s="243"/>
      <c r="BU148" s="243"/>
      <c r="BV148" s="243"/>
      <c r="BW148" s="243"/>
      <c r="BX148" s="243"/>
      <c r="BY148" s="243"/>
      <c r="BZ148" s="243"/>
      <c r="CA148" s="243"/>
      <c r="CB148" s="243"/>
      <c r="CC148" s="243"/>
      <c r="CD148" s="243"/>
      <c r="CE148" s="245">
        <v>0</v>
      </c>
      <c r="CF148" s="245">
        <v>0</v>
      </c>
      <c r="CG148" s="245">
        <v>1</v>
      </c>
      <c r="CH148" s="246">
        <v>0</v>
      </c>
      <c r="CI148" s="219" t="e">
        <f t="shared" si="22"/>
        <v>#DIV/0!</v>
      </c>
      <c r="CJ148" s="245">
        <v>1</v>
      </c>
      <c r="CK148" s="246">
        <v>0</v>
      </c>
      <c r="CL148" s="163" t="e">
        <f t="shared" si="23"/>
        <v>#DIV/0!</v>
      </c>
      <c r="CM148" s="245">
        <v>1</v>
      </c>
      <c r="CN148" s="246">
        <v>0</v>
      </c>
      <c r="CO148" s="163" t="e">
        <f t="shared" si="24"/>
        <v>#DIV/0!</v>
      </c>
      <c r="CP148" s="245">
        <v>1</v>
      </c>
      <c r="CQ148" s="246">
        <v>0</v>
      </c>
      <c r="CR148" s="163" t="e">
        <f t="shared" si="25"/>
        <v>#DIV/0!</v>
      </c>
      <c r="CS148" s="207" t="e">
        <f t="shared" si="26"/>
        <v>#DIV/0!</v>
      </c>
      <c r="CT148" s="258"/>
      <c r="CU148" s="258"/>
      <c r="CV148" s="258"/>
      <c r="CW148" s="258"/>
      <c r="CX148" s="258"/>
      <c r="CY148" s="258"/>
      <c r="CZ148" s="258"/>
      <c r="DA148" s="258"/>
      <c r="DB148" s="258"/>
      <c r="DC148" s="258"/>
      <c r="DD148" s="156"/>
      <c r="DE148" s="156"/>
      <c r="DF148" s="156"/>
      <c r="DG148" s="156"/>
      <c r="DH148" s="156"/>
      <c r="DI148" s="156"/>
      <c r="DJ148" s="156"/>
      <c r="DK148" s="156"/>
      <c r="DL148" s="156"/>
      <c r="DM148" s="156"/>
      <c r="DN148" s="156"/>
      <c r="DO148" s="156"/>
      <c r="DP148" s="156"/>
      <c r="DQ148" s="156"/>
      <c r="DR148" s="156"/>
      <c r="DS148" s="156"/>
      <c r="DT148" s="156"/>
      <c r="DU148" s="156"/>
      <c r="DV148" s="156"/>
      <c r="DW148" s="156"/>
      <c r="DX148" s="156"/>
      <c r="DY148" s="156"/>
      <c r="DZ148" s="156"/>
      <c r="EA148" s="156"/>
      <c r="EB148" s="156"/>
      <c r="EC148" s="156"/>
      <c r="ED148" s="156"/>
      <c r="EE148" s="156"/>
      <c r="EF148" s="156"/>
      <c r="EG148" s="156"/>
      <c r="EH148" s="156"/>
      <c r="EI148" s="156"/>
      <c r="EJ148" s="156"/>
      <c r="EK148" s="156"/>
      <c r="EL148" s="156"/>
      <c r="EM148" s="156"/>
      <c r="EN148" s="156"/>
      <c r="EO148" s="156"/>
      <c r="EP148" s="156"/>
      <c r="EQ148" s="156"/>
      <c r="ER148" s="156"/>
      <c r="ES148" s="156"/>
      <c r="ET148" s="156"/>
      <c r="EU148" s="156"/>
      <c r="EV148" s="156"/>
      <c r="EW148" s="156"/>
      <c r="EX148" s="156"/>
      <c r="EY148" s="156"/>
      <c r="EZ148" s="156"/>
      <c r="FA148" s="156"/>
      <c r="FB148" s="156"/>
      <c r="FC148" s="156"/>
      <c r="FD148" s="156"/>
      <c r="FE148" s="156"/>
      <c r="FF148" s="156"/>
      <c r="FG148" s="156"/>
      <c r="FH148" s="156"/>
      <c r="FI148" s="156"/>
      <c r="FJ148" s="156"/>
      <c r="FK148" s="156"/>
      <c r="FL148" s="156"/>
      <c r="FM148" s="156"/>
      <c r="FN148" s="156"/>
      <c r="FO148" s="156"/>
      <c r="FP148" s="156"/>
      <c r="FQ148" s="156"/>
    </row>
    <row r="149" spans="1:173" s="168" customFormat="1">
      <c r="A149" s="156"/>
      <c r="B149" s="205">
        <f>ANACO!B145</f>
        <v>0</v>
      </c>
      <c r="C149" s="204">
        <f>ANACO!C145</f>
        <v>0</v>
      </c>
      <c r="D149" s="165">
        <f>ANACO!H145</f>
        <v>0</v>
      </c>
      <c r="E149" s="165"/>
      <c r="F149" s="203">
        <f>ANACO!G145</f>
        <v>0</v>
      </c>
      <c r="G149" s="203">
        <f>ANACO!I145</f>
        <v>0</v>
      </c>
      <c r="H149" s="166">
        <f>ANACO!BS145</f>
        <v>0</v>
      </c>
      <c r="I149" s="172">
        <f>ANACO!BT145</f>
        <v>0</v>
      </c>
      <c r="J149" s="161"/>
      <c r="K149" s="161">
        <f t="shared" si="18"/>
        <v>0</v>
      </c>
      <c r="L149" s="244">
        <v>0</v>
      </c>
      <c r="M149" s="244"/>
      <c r="N149" s="244"/>
      <c r="O149" s="244"/>
      <c r="P149" s="244"/>
      <c r="Q149" s="244"/>
      <c r="R149" s="244"/>
      <c r="S149" s="244"/>
      <c r="T149" s="244"/>
      <c r="U149" s="244"/>
      <c r="V149" s="244"/>
      <c r="W149" s="244"/>
      <c r="X149" s="244"/>
      <c r="Y149" s="244"/>
      <c r="Z149" s="244"/>
      <c r="AA149" s="244"/>
      <c r="AB149" s="244"/>
      <c r="AC149" s="244"/>
      <c r="AD149" s="244"/>
      <c r="AE149" s="244"/>
      <c r="AF149" s="244"/>
      <c r="AG149" s="244"/>
      <c r="AH149" s="244"/>
      <c r="AI149" s="244"/>
      <c r="AJ149" s="244"/>
      <c r="AK149" s="244"/>
      <c r="AL149" s="244"/>
      <c r="AM149" s="244"/>
      <c r="AN149" s="244"/>
      <c r="AO149" s="244"/>
      <c r="AP149" s="244"/>
      <c r="AQ149" s="244"/>
      <c r="AR149" s="244"/>
      <c r="AS149" s="244"/>
      <c r="AT149" s="244"/>
      <c r="AU149" s="244"/>
      <c r="AV149" s="161"/>
      <c r="AW149" s="161"/>
      <c r="AX149" s="243">
        <v>0</v>
      </c>
      <c r="AY149" s="161"/>
      <c r="AZ149" s="161"/>
      <c r="BA149" s="243">
        <v>0</v>
      </c>
      <c r="BB149" s="212">
        <f t="shared" si="19"/>
        <v>0</v>
      </c>
      <c r="BC149" s="256"/>
      <c r="BD149" s="162" t="e">
        <f t="shared" si="20"/>
        <v>#DIV/0!</v>
      </c>
      <c r="BE149" s="162" t="e">
        <f t="shared" si="21"/>
        <v>#DIV/0!</v>
      </c>
      <c r="BF149" s="243"/>
      <c r="BG149" s="243"/>
      <c r="BH149" s="243"/>
      <c r="BI149" s="257"/>
      <c r="BJ149" s="257"/>
      <c r="BK149" s="243"/>
      <c r="BL149" s="243"/>
      <c r="BM149" s="243"/>
      <c r="BN149" s="243"/>
      <c r="BO149" s="243"/>
      <c r="BP149" s="243"/>
      <c r="BQ149" s="243"/>
      <c r="BR149" s="243"/>
      <c r="BS149" s="243"/>
      <c r="BT149" s="243"/>
      <c r="BU149" s="243"/>
      <c r="BV149" s="243"/>
      <c r="BW149" s="243"/>
      <c r="BX149" s="243"/>
      <c r="BY149" s="243"/>
      <c r="BZ149" s="243"/>
      <c r="CA149" s="243"/>
      <c r="CB149" s="243"/>
      <c r="CC149" s="243"/>
      <c r="CD149" s="243"/>
      <c r="CE149" s="245">
        <v>0</v>
      </c>
      <c r="CF149" s="245">
        <v>0</v>
      </c>
      <c r="CG149" s="245">
        <v>1</v>
      </c>
      <c r="CH149" s="246">
        <v>0</v>
      </c>
      <c r="CI149" s="219" t="e">
        <f t="shared" si="22"/>
        <v>#DIV/0!</v>
      </c>
      <c r="CJ149" s="245">
        <v>1</v>
      </c>
      <c r="CK149" s="246">
        <v>0</v>
      </c>
      <c r="CL149" s="163" t="e">
        <f t="shared" si="23"/>
        <v>#DIV/0!</v>
      </c>
      <c r="CM149" s="245">
        <v>1</v>
      </c>
      <c r="CN149" s="246">
        <v>0</v>
      </c>
      <c r="CO149" s="163" t="e">
        <f t="shared" si="24"/>
        <v>#DIV/0!</v>
      </c>
      <c r="CP149" s="245">
        <v>1</v>
      </c>
      <c r="CQ149" s="246">
        <v>0</v>
      </c>
      <c r="CR149" s="163" t="e">
        <f t="shared" si="25"/>
        <v>#DIV/0!</v>
      </c>
      <c r="CS149" s="207" t="e">
        <f t="shared" si="26"/>
        <v>#DIV/0!</v>
      </c>
      <c r="CT149" s="258"/>
      <c r="CU149" s="258"/>
      <c r="CV149" s="258"/>
      <c r="CW149" s="258"/>
      <c r="CX149" s="258"/>
      <c r="CY149" s="258"/>
      <c r="CZ149" s="258"/>
      <c r="DA149" s="258"/>
      <c r="DB149" s="258"/>
      <c r="DC149" s="258"/>
      <c r="DD149" s="156"/>
      <c r="DE149" s="156"/>
      <c r="DF149" s="156"/>
      <c r="DG149" s="156"/>
      <c r="DH149" s="156"/>
      <c r="DI149" s="156"/>
      <c r="DJ149" s="156"/>
      <c r="DK149" s="156"/>
      <c r="DL149" s="156"/>
      <c r="DM149" s="156"/>
      <c r="DN149" s="156"/>
      <c r="DO149" s="156"/>
      <c r="DP149" s="156"/>
      <c r="DQ149" s="156"/>
      <c r="DR149" s="156"/>
      <c r="DS149" s="156"/>
      <c r="DT149" s="156"/>
      <c r="DU149" s="156"/>
      <c r="DV149" s="156"/>
      <c r="DW149" s="156"/>
      <c r="DX149" s="156"/>
      <c r="DY149" s="156"/>
      <c r="DZ149" s="156"/>
      <c r="EA149" s="156"/>
      <c r="EB149" s="156"/>
      <c r="EC149" s="156"/>
      <c r="ED149" s="156"/>
      <c r="EE149" s="156"/>
      <c r="EF149" s="156"/>
      <c r="EG149" s="156"/>
      <c r="EH149" s="156"/>
      <c r="EI149" s="156"/>
      <c r="EJ149" s="156"/>
      <c r="EK149" s="156"/>
      <c r="EL149" s="156"/>
      <c r="EM149" s="156"/>
      <c r="EN149" s="156"/>
      <c r="EO149" s="156"/>
      <c r="EP149" s="156"/>
      <c r="EQ149" s="156"/>
      <c r="ER149" s="156"/>
      <c r="ES149" s="156"/>
      <c r="ET149" s="156"/>
      <c r="EU149" s="156"/>
      <c r="EV149" s="156"/>
      <c r="EW149" s="156"/>
      <c r="EX149" s="156"/>
      <c r="EY149" s="156"/>
      <c r="EZ149" s="156"/>
      <c r="FA149" s="156"/>
      <c r="FB149" s="156"/>
      <c r="FC149" s="156"/>
      <c r="FD149" s="156"/>
      <c r="FE149" s="156"/>
      <c r="FF149" s="156"/>
      <c r="FG149" s="156"/>
      <c r="FH149" s="156"/>
      <c r="FI149" s="156"/>
      <c r="FJ149" s="156"/>
      <c r="FK149" s="156"/>
      <c r="FL149" s="156"/>
      <c r="FM149" s="156"/>
      <c r="FN149" s="156"/>
      <c r="FO149" s="156"/>
      <c r="FP149" s="156"/>
      <c r="FQ149" s="156"/>
    </row>
    <row r="150" spans="1:173">
      <c r="B150" s="205">
        <f>ANACO!B146</f>
        <v>0</v>
      </c>
      <c r="C150" s="204">
        <f>ANACO!C146</f>
        <v>0</v>
      </c>
      <c r="D150" s="165">
        <f>ANACO!H146</f>
        <v>0</v>
      </c>
      <c r="E150" s="165"/>
      <c r="F150" s="203">
        <f>ANACO!G146</f>
        <v>0</v>
      </c>
      <c r="G150" s="203">
        <f>ANACO!I146</f>
        <v>0</v>
      </c>
      <c r="H150" s="166">
        <f>ANACO!BS146</f>
        <v>0</v>
      </c>
      <c r="I150" s="172">
        <f>ANACO!BT146</f>
        <v>0</v>
      </c>
      <c r="J150" s="161"/>
      <c r="K150" s="161">
        <f t="shared" si="18"/>
        <v>0</v>
      </c>
      <c r="L150" s="244">
        <v>0</v>
      </c>
      <c r="M150" s="244"/>
      <c r="N150" s="244"/>
      <c r="O150" s="244"/>
      <c r="P150" s="244"/>
      <c r="Q150" s="244"/>
      <c r="R150" s="244"/>
      <c r="S150" s="244"/>
      <c r="T150" s="244"/>
      <c r="U150" s="244"/>
      <c r="V150" s="244"/>
      <c r="W150" s="244"/>
      <c r="X150" s="244"/>
      <c r="Y150" s="244"/>
      <c r="Z150" s="244"/>
      <c r="AA150" s="244"/>
      <c r="AB150" s="244"/>
      <c r="AC150" s="244"/>
      <c r="AD150" s="244"/>
      <c r="AE150" s="244"/>
      <c r="AF150" s="244"/>
      <c r="AG150" s="244"/>
      <c r="AH150" s="244"/>
      <c r="AI150" s="244"/>
      <c r="AJ150" s="244"/>
      <c r="AK150" s="244"/>
      <c r="AL150" s="244"/>
      <c r="AM150" s="244"/>
      <c r="AN150" s="244"/>
      <c r="AO150" s="244"/>
      <c r="AP150" s="244"/>
      <c r="AQ150" s="244"/>
      <c r="AR150" s="244"/>
      <c r="AS150" s="244"/>
      <c r="AT150" s="244"/>
      <c r="AU150" s="244"/>
      <c r="AV150" s="161"/>
      <c r="AW150" s="161"/>
      <c r="AX150" s="243">
        <v>0</v>
      </c>
      <c r="AY150" s="161"/>
      <c r="AZ150" s="161"/>
      <c r="BA150" s="243">
        <v>0</v>
      </c>
      <c r="BB150" s="212">
        <f t="shared" si="19"/>
        <v>0</v>
      </c>
      <c r="BC150" s="256"/>
      <c r="BD150" s="162" t="e">
        <f t="shared" si="20"/>
        <v>#DIV/0!</v>
      </c>
      <c r="BE150" s="162" t="e">
        <f t="shared" si="21"/>
        <v>#DIV/0!</v>
      </c>
      <c r="BF150" s="243"/>
      <c r="BG150" s="243"/>
      <c r="BH150" s="243"/>
      <c r="BI150" s="257"/>
      <c r="BJ150" s="257"/>
      <c r="BK150" s="243"/>
      <c r="BL150" s="243"/>
      <c r="BM150" s="243"/>
      <c r="BN150" s="243"/>
      <c r="BO150" s="243"/>
      <c r="BP150" s="243"/>
      <c r="BQ150" s="243"/>
      <c r="BR150" s="243"/>
      <c r="BS150" s="243"/>
      <c r="BT150" s="243"/>
      <c r="BU150" s="243"/>
      <c r="BV150" s="243"/>
      <c r="BW150" s="243"/>
      <c r="BX150" s="243"/>
      <c r="BY150" s="243"/>
      <c r="BZ150" s="243"/>
      <c r="CA150" s="243"/>
      <c r="CB150" s="243"/>
      <c r="CC150" s="243"/>
      <c r="CD150" s="243"/>
      <c r="CE150" s="245">
        <v>0</v>
      </c>
      <c r="CF150" s="245">
        <v>0</v>
      </c>
      <c r="CG150" s="245">
        <v>1</v>
      </c>
      <c r="CH150" s="246">
        <v>0</v>
      </c>
      <c r="CI150" s="219" t="e">
        <f t="shared" si="22"/>
        <v>#DIV/0!</v>
      </c>
      <c r="CJ150" s="245">
        <v>1</v>
      </c>
      <c r="CK150" s="246">
        <v>0</v>
      </c>
      <c r="CL150" s="163" t="e">
        <f t="shared" si="23"/>
        <v>#DIV/0!</v>
      </c>
      <c r="CM150" s="245">
        <v>1</v>
      </c>
      <c r="CN150" s="246">
        <v>0</v>
      </c>
      <c r="CO150" s="163" t="e">
        <f t="shared" si="24"/>
        <v>#DIV/0!</v>
      </c>
      <c r="CP150" s="245">
        <v>1</v>
      </c>
      <c r="CQ150" s="246">
        <v>0</v>
      </c>
      <c r="CR150" s="163" t="e">
        <f t="shared" si="25"/>
        <v>#DIV/0!</v>
      </c>
      <c r="CS150" s="207" t="e">
        <f t="shared" si="26"/>
        <v>#DIV/0!</v>
      </c>
      <c r="CT150" s="258"/>
      <c r="CU150" s="258"/>
      <c r="CV150" s="258"/>
      <c r="CW150" s="258"/>
      <c r="CX150" s="258"/>
      <c r="CY150" s="258"/>
      <c r="CZ150" s="258"/>
      <c r="DA150" s="258"/>
      <c r="DB150" s="258"/>
      <c r="DC150" s="258"/>
    </row>
    <row r="151" spans="1:173">
      <c r="B151" s="205">
        <f>ANACO!B147</f>
        <v>0</v>
      </c>
      <c r="C151" s="204">
        <f>ANACO!C147</f>
        <v>0</v>
      </c>
      <c r="D151" s="165">
        <f>ANACO!H147</f>
        <v>0</v>
      </c>
      <c r="E151" s="165"/>
      <c r="F151" s="203">
        <f>ANACO!G147</f>
        <v>0</v>
      </c>
      <c r="G151" s="203">
        <f>ANACO!I147</f>
        <v>0</v>
      </c>
      <c r="H151" s="166">
        <f>ANACO!BS147</f>
        <v>0</v>
      </c>
      <c r="I151" s="172">
        <f>ANACO!BT147</f>
        <v>0</v>
      </c>
      <c r="J151" s="161"/>
      <c r="K151" s="161">
        <f t="shared" si="18"/>
        <v>0</v>
      </c>
      <c r="L151" s="244">
        <v>0</v>
      </c>
      <c r="M151" s="244"/>
      <c r="N151" s="244"/>
      <c r="O151" s="244"/>
      <c r="P151" s="244"/>
      <c r="Q151" s="244"/>
      <c r="R151" s="244"/>
      <c r="S151" s="244"/>
      <c r="T151" s="244"/>
      <c r="U151" s="244"/>
      <c r="V151" s="244"/>
      <c r="W151" s="244"/>
      <c r="X151" s="244"/>
      <c r="Y151" s="244"/>
      <c r="Z151" s="244"/>
      <c r="AA151" s="244"/>
      <c r="AB151" s="244"/>
      <c r="AC151" s="244"/>
      <c r="AD151" s="244"/>
      <c r="AE151" s="244"/>
      <c r="AF151" s="244"/>
      <c r="AG151" s="244"/>
      <c r="AH151" s="244"/>
      <c r="AI151" s="244"/>
      <c r="AJ151" s="244"/>
      <c r="AK151" s="244"/>
      <c r="AL151" s="244"/>
      <c r="AM151" s="244"/>
      <c r="AN151" s="244"/>
      <c r="AO151" s="244"/>
      <c r="AP151" s="244"/>
      <c r="AQ151" s="244"/>
      <c r="AR151" s="244"/>
      <c r="AS151" s="244"/>
      <c r="AT151" s="244"/>
      <c r="AU151" s="244"/>
      <c r="AV151" s="161"/>
      <c r="AW151" s="161"/>
      <c r="AX151" s="243">
        <v>0</v>
      </c>
      <c r="AY151" s="161"/>
      <c r="AZ151" s="161"/>
      <c r="BA151" s="243">
        <v>0</v>
      </c>
      <c r="BB151" s="212">
        <f t="shared" si="19"/>
        <v>0</v>
      </c>
      <c r="BC151" s="256"/>
      <c r="BD151" s="162" t="e">
        <f t="shared" si="20"/>
        <v>#DIV/0!</v>
      </c>
      <c r="BE151" s="162" t="e">
        <f t="shared" si="21"/>
        <v>#DIV/0!</v>
      </c>
      <c r="BF151" s="243"/>
      <c r="BG151" s="243"/>
      <c r="BH151" s="243"/>
      <c r="BI151" s="257"/>
      <c r="BJ151" s="257"/>
      <c r="BK151" s="243"/>
      <c r="BL151" s="243"/>
      <c r="BM151" s="243"/>
      <c r="BN151" s="243"/>
      <c r="BO151" s="243"/>
      <c r="BP151" s="243"/>
      <c r="BQ151" s="243"/>
      <c r="BR151" s="243"/>
      <c r="BS151" s="243"/>
      <c r="BT151" s="243"/>
      <c r="BU151" s="243"/>
      <c r="BV151" s="243"/>
      <c r="BW151" s="243"/>
      <c r="BX151" s="243"/>
      <c r="BY151" s="243"/>
      <c r="BZ151" s="243"/>
      <c r="CA151" s="243"/>
      <c r="CB151" s="243"/>
      <c r="CC151" s="243"/>
      <c r="CD151" s="243"/>
      <c r="CE151" s="245">
        <v>0</v>
      </c>
      <c r="CF151" s="245">
        <v>0</v>
      </c>
      <c r="CG151" s="245">
        <v>1</v>
      </c>
      <c r="CH151" s="246">
        <v>0</v>
      </c>
      <c r="CI151" s="219" t="e">
        <f t="shared" si="22"/>
        <v>#DIV/0!</v>
      </c>
      <c r="CJ151" s="245">
        <v>1</v>
      </c>
      <c r="CK151" s="246">
        <v>0</v>
      </c>
      <c r="CL151" s="163" t="e">
        <f t="shared" si="23"/>
        <v>#DIV/0!</v>
      </c>
      <c r="CM151" s="245">
        <v>1</v>
      </c>
      <c r="CN151" s="246">
        <v>0</v>
      </c>
      <c r="CO151" s="163" t="e">
        <f t="shared" si="24"/>
        <v>#DIV/0!</v>
      </c>
      <c r="CP151" s="245">
        <v>1</v>
      </c>
      <c r="CQ151" s="246">
        <v>0</v>
      </c>
      <c r="CR151" s="163" t="e">
        <f t="shared" si="25"/>
        <v>#DIV/0!</v>
      </c>
      <c r="CS151" s="207" t="e">
        <f t="shared" si="26"/>
        <v>#DIV/0!</v>
      </c>
      <c r="CT151" s="258"/>
      <c r="CU151" s="258"/>
      <c r="CV151" s="258"/>
      <c r="CW151" s="258"/>
      <c r="CX151" s="258"/>
      <c r="CY151" s="258"/>
      <c r="CZ151" s="258"/>
      <c r="DA151" s="258"/>
      <c r="DB151" s="258"/>
      <c r="DC151" s="258"/>
    </row>
    <row r="152" spans="1:173">
      <c r="B152" s="205">
        <f>ANACO!B148</f>
        <v>0</v>
      </c>
      <c r="C152" s="204">
        <f>ANACO!C148</f>
        <v>0</v>
      </c>
      <c r="D152" s="165">
        <f>ANACO!H148</f>
        <v>0</v>
      </c>
      <c r="E152" s="165"/>
      <c r="F152" s="203">
        <f>ANACO!G148</f>
        <v>0</v>
      </c>
      <c r="G152" s="203">
        <f>ANACO!I148</f>
        <v>0</v>
      </c>
      <c r="H152" s="166">
        <f>ANACO!BS148</f>
        <v>0</v>
      </c>
      <c r="I152" s="172">
        <f>ANACO!BT148</f>
        <v>0</v>
      </c>
      <c r="J152" s="161"/>
      <c r="K152" s="161">
        <f t="shared" si="18"/>
        <v>0</v>
      </c>
      <c r="L152" s="244">
        <v>0</v>
      </c>
      <c r="M152" s="244"/>
      <c r="N152" s="244"/>
      <c r="O152" s="244"/>
      <c r="P152" s="244"/>
      <c r="Q152" s="244"/>
      <c r="R152" s="244"/>
      <c r="S152" s="244"/>
      <c r="T152" s="244"/>
      <c r="U152" s="244"/>
      <c r="V152" s="244"/>
      <c r="W152" s="244"/>
      <c r="X152" s="244"/>
      <c r="Y152" s="244"/>
      <c r="Z152" s="244"/>
      <c r="AA152" s="244"/>
      <c r="AB152" s="244"/>
      <c r="AC152" s="244"/>
      <c r="AD152" s="244"/>
      <c r="AE152" s="244"/>
      <c r="AF152" s="244"/>
      <c r="AG152" s="244"/>
      <c r="AH152" s="244"/>
      <c r="AI152" s="244"/>
      <c r="AJ152" s="244"/>
      <c r="AK152" s="244"/>
      <c r="AL152" s="244"/>
      <c r="AM152" s="244"/>
      <c r="AN152" s="244"/>
      <c r="AO152" s="244"/>
      <c r="AP152" s="244"/>
      <c r="AQ152" s="244"/>
      <c r="AR152" s="244"/>
      <c r="AS152" s="244"/>
      <c r="AT152" s="244"/>
      <c r="AU152" s="244"/>
      <c r="AV152" s="161"/>
      <c r="AW152" s="161"/>
      <c r="AX152" s="243">
        <v>0</v>
      </c>
      <c r="AY152" s="161"/>
      <c r="AZ152" s="161"/>
      <c r="BA152" s="243">
        <v>0</v>
      </c>
      <c r="BB152" s="212">
        <f t="shared" si="19"/>
        <v>0</v>
      </c>
      <c r="BC152" s="256"/>
      <c r="BD152" s="162" t="e">
        <f t="shared" si="20"/>
        <v>#DIV/0!</v>
      </c>
      <c r="BE152" s="162" t="e">
        <f t="shared" si="21"/>
        <v>#DIV/0!</v>
      </c>
      <c r="BF152" s="243"/>
      <c r="BG152" s="243"/>
      <c r="BH152" s="243"/>
      <c r="BI152" s="257"/>
      <c r="BJ152" s="257"/>
      <c r="BK152" s="243"/>
      <c r="BL152" s="243"/>
      <c r="BM152" s="243"/>
      <c r="BN152" s="243"/>
      <c r="BO152" s="243"/>
      <c r="BP152" s="243"/>
      <c r="BQ152" s="243"/>
      <c r="BR152" s="243"/>
      <c r="BS152" s="243"/>
      <c r="BT152" s="243"/>
      <c r="BU152" s="243"/>
      <c r="BV152" s="243"/>
      <c r="BW152" s="243"/>
      <c r="BX152" s="243"/>
      <c r="BY152" s="243"/>
      <c r="BZ152" s="243"/>
      <c r="CA152" s="243"/>
      <c r="CB152" s="243"/>
      <c r="CC152" s="243"/>
      <c r="CD152" s="243"/>
      <c r="CE152" s="245">
        <v>0</v>
      </c>
      <c r="CF152" s="245">
        <v>0</v>
      </c>
      <c r="CG152" s="245">
        <v>1</v>
      </c>
      <c r="CH152" s="246">
        <v>0</v>
      </c>
      <c r="CI152" s="219" t="e">
        <f t="shared" si="22"/>
        <v>#DIV/0!</v>
      </c>
      <c r="CJ152" s="245">
        <v>1</v>
      </c>
      <c r="CK152" s="246">
        <v>0</v>
      </c>
      <c r="CL152" s="163" t="e">
        <f t="shared" si="23"/>
        <v>#DIV/0!</v>
      </c>
      <c r="CM152" s="245">
        <v>1</v>
      </c>
      <c r="CN152" s="246">
        <v>0</v>
      </c>
      <c r="CO152" s="163" t="e">
        <f t="shared" si="24"/>
        <v>#DIV/0!</v>
      </c>
      <c r="CP152" s="245">
        <v>1</v>
      </c>
      <c r="CQ152" s="246">
        <v>0</v>
      </c>
      <c r="CR152" s="163" t="e">
        <f t="shared" si="25"/>
        <v>#DIV/0!</v>
      </c>
      <c r="CS152" s="207" t="e">
        <f t="shared" si="26"/>
        <v>#DIV/0!</v>
      </c>
      <c r="CT152" s="258"/>
      <c r="CU152" s="258"/>
      <c r="CV152" s="258"/>
      <c r="CW152" s="258"/>
      <c r="CX152" s="258"/>
      <c r="CY152" s="258"/>
      <c r="CZ152" s="258"/>
      <c r="DA152" s="258"/>
      <c r="DB152" s="258"/>
      <c r="DC152" s="258"/>
    </row>
    <row r="153" spans="1:173">
      <c r="B153" s="205">
        <f>ANACO!B149</f>
        <v>0</v>
      </c>
      <c r="C153" s="204">
        <f>ANACO!C149</f>
        <v>0</v>
      </c>
      <c r="D153" s="165">
        <f>ANACO!H149</f>
        <v>0</v>
      </c>
      <c r="E153" s="165"/>
      <c r="F153" s="203">
        <f>ANACO!G149</f>
        <v>0</v>
      </c>
      <c r="G153" s="203">
        <f>ANACO!I149</f>
        <v>0</v>
      </c>
      <c r="H153" s="166">
        <f>ANACO!BS149</f>
        <v>0</v>
      </c>
      <c r="I153" s="172">
        <f>ANACO!BT149</f>
        <v>0</v>
      </c>
      <c r="J153" s="161"/>
      <c r="K153" s="161">
        <f t="shared" si="18"/>
        <v>0</v>
      </c>
      <c r="L153" s="244">
        <v>0</v>
      </c>
      <c r="M153" s="244"/>
      <c r="N153" s="244"/>
      <c r="O153" s="244"/>
      <c r="P153" s="244"/>
      <c r="Q153" s="244"/>
      <c r="R153" s="244"/>
      <c r="S153" s="244"/>
      <c r="T153" s="244"/>
      <c r="U153" s="244"/>
      <c r="V153" s="244"/>
      <c r="W153" s="244"/>
      <c r="X153" s="244"/>
      <c r="Y153" s="244"/>
      <c r="Z153" s="244"/>
      <c r="AA153" s="244"/>
      <c r="AB153" s="244"/>
      <c r="AC153" s="244"/>
      <c r="AD153" s="244"/>
      <c r="AE153" s="244"/>
      <c r="AF153" s="244"/>
      <c r="AG153" s="244"/>
      <c r="AH153" s="244"/>
      <c r="AI153" s="244"/>
      <c r="AJ153" s="244"/>
      <c r="AK153" s="244"/>
      <c r="AL153" s="244"/>
      <c r="AM153" s="244"/>
      <c r="AN153" s="244"/>
      <c r="AO153" s="244"/>
      <c r="AP153" s="244"/>
      <c r="AQ153" s="244"/>
      <c r="AR153" s="244"/>
      <c r="AS153" s="244"/>
      <c r="AT153" s="244"/>
      <c r="AU153" s="244"/>
      <c r="AV153" s="161"/>
      <c r="AW153" s="161"/>
      <c r="AX153" s="243">
        <v>0</v>
      </c>
      <c r="AY153" s="161"/>
      <c r="AZ153" s="161"/>
      <c r="BA153" s="243">
        <v>0</v>
      </c>
      <c r="BB153" s="212">
        <f t="shared" si="19"/>
        <v>0</v>
      </c>
      <c r="BC153" s="256"/>
      <c r="BD153" s="162" t="e">
        <f t="shared" si="20"/>
        <v>#DIV/0!</v>
      </c>
      <c r="BE153" s="162" t="e">
        <f t="shared" si="21"/>
        <v>#DIV/0!</v>
      </c>
      <c r="BF153" s="243"/>
      <c r="BG153" s="243"/>
      <c r="BH153" s="243"/>
      <c r="BI153" s="257"/>
      <c r="BJ153" s="257"/>
      <c r="BK153" s="243"/>
      <c r="BL153" s="243"/>
      <c r="BM153" s="243"/>
      <c r="BN153" s="243"/>
      <c r="BO153" s="243"/>
      <c r="BP153" s="243"/>
      <c r="BQ153" s="243"/>
      <c r="BR153" s="243"/>
      <c r="BS153" s="243"/>
      <c r="BT153" s="243"/>
      <c r="BU153" s="243"/>
      <c r="BV153" s="243"/>
      <c r="BW153" s="243"/>
      <c r="BX153" s="243"/>
      <c r="BY153" s="243"/>
      <c r="BZ153" s="243"/>
      <c r="CA153" s="243"/>
      <c r="CB153" s="243"/>
      <c r="CC153" s="243"/>
      <c r="CD153" s="243"/>
      <c r="CE153" s="245">
        <v>0</v>
      </c>
      <c r="CF153" s="245">
        <v>0</v>
      </c>
      <c r="CG153" s="245">
        <v>1</v>
      </c>
      <c r="CH153" s="246">
        <v>0</v>
      </c>
      <c r="CI153" s="219" t="e">
        <f t="shared" si="22"/>
        <v>#DIV/0!</v>
      </c>
      <c r="CJ153" s="245">
        <v>1</v>
      </c>
      <c r="CK153" s="246">
        <v>0</v>
      </c>
      <c r="CL153" s="163" t="e">
        <f t="shared" si="23"/>
        <v>#DIV/0!</v>
      </c>
      <c r="CM153" s="245">
        <v>1</v>
      </c>
      <c r="CN153" s="246">
        <v>0</v>
      </c>
      <c r="CO153" s="163" t="e">
        <f t="shared" si="24"/>
        <v>#DIV/0!</v>
      </c>
      <c r="CP153" s="245">
        <v>1</v>
      </c>
      <c r="CQ153" s="246">
        <v>0</v>
      </c>
      <c r="CR153" s="163" t="e">
        <f t="shared" si="25"/>
        <v>#DIV/0!</v>
      </c>
      <c r="CS153" s="207" t="e">
        <f t="shared" si="26"/>
        <v>#DIV/0!</v>
      </c>
      <c r="CT153" s="258"/>
      <c r="CU153" s="258"/>
      <c r="CV153" s="258"/>
      <c r="CW153" s="258"/>
      <c r="CX153" s="258"/>
      <c r="CY153" s="258"/>
      <c r="CZ153" s="258"/>
      <c r="DA153" s="258"/>
      <c r="DB153" s="258"/>
      <c r="DC153" s="258"/>
    </row>
    <row r="154" spans="1:173" s="168" customFormat="1">
      <c r="A154" s="156"/>
      <c r="B154" s="205">
        <f>ANACO!B150</f>
        <v>0</v>
      </c>
      <c r="C154" s="204">
        <f>ANACO!C150</f>
        <v>0</v>
      </c>
      <c r="D154" s="165">
        <f>ANACO!H150</f>
        <v>0</v>
      </c>
      <c r="E154" s="165"/>
      <c r="F154" s="203">
        <f>ANACO!G150</f>
        <v>0</v>
      </c>
      <c r="G154" s="203">
        <f>ANACO!I150</f>
        <v>0</v>
      </c>
      <c r="H154" s="166">
        <f>ANACO!BS150</f>
        <v>0</v>
      </c>
      <c r="I154" s="172">
        <f>ANACO!BT150</f>
        <v>0</v>
      </c>
      <c r="J154" s="161"/>
      <c r="K154" s="161">
        <f t="shared" si="18"/>
        <v>0</v>
      </c>
      <c r="L154" s="244">
        <v>0</v>
      </c>
      <c r="M154" s="244"/>
      <c r="N154" s="244"/>
      <c r="O154" s="244"/>
      <c r="P154" s="244"/>
      <c r="Q154" s="244"/>
      <c r="R154" s="244"/>
      <c r="S154" s="244"/>
      <c r="T154" s="244"/>
      <c r="U154" s="244"/>
      <c r="V154" s="244"/>
      <c r="W154" s="244"/>
      <c r="X154" s="244"/>
      <c r="Y154" s="244"/>
      <c r="Z154" s="244"/>
      <c r="AA154" s="244"/>
      <c r="AB154" s="244"/>
      <c r="AC154" s="244"/>
      <c r="AD154" s="244"/>
      <c r="AE154" s="244"/>
      <c r="AF154" s="244"/>
      <c r="AG154" s="244"/>
      <c r="AH154" s="244"/>
      <c r="AI154" s="244"/>
      <c r="AJ154" s="244"/>
      <c r="AK154" s="244"/>
      <c r="AL154" s="244"/>
      <c r="AM154" s="244"/>
      <c r="AN154" s="244"/>
      <c r="AO154" s="244"/>
      <c r="AP154" s="244"/>
      <c r="AQ154" s="244"/>
      <c r="AR154" s="244"/>
      <c r="AS154" s="244"/>
      <c r="AT154" s="244"/>
      <c r="AU154" s="244"/>
      <c r="AV154" s="161"/>
      <c r="AW154" s="161"/>
      <c r="AX154" s="243">
        <v>0</v>
      </c>
      <c r="AY154" s="161"/>
      <c r="AZ154" s="161"/>
      <c r="BA154" s="243">
        <v>0</v>
      </c>
      <c r="BB154" s="212">
        <f t="shared" si="19"/>
        <v>0</v>
      </c>
      <c r="BC154" s="256"/>
      <c r="BD154" s="162" t="e">
        <f t="shared" si="20"/>
        <v>#DIV/0!</v>
      </c>
      <c r="BE154" s="162" t="e">
        <f t="shared" si="21"/>
        <v>#DIV/0!</v>
      </c>
      <c r="BF154" s="243"/>
      <c r="BG154" s="243"/>
      <c r="BH154" s="243"/>
      <c r="BI154" s="257"/>
      <c r="BJ154" s="257"/>
      <c r="BK154" s="243"/>
      <c r="BL154" s="243"/>
      <c r="BM154" s="243"/>
      <c r="BN154" s="243"/>
      <c r="BO154" s="243"/>
      <c r="BP154" s="243"/>
      <c r="BQ154" s="243"/>
      <c r="BR154" s="243"/>
      <c r="BS154" s="243"/>
      <c r="BT154" s="243"/>
      <c r="BU154" s="243"/>
      <c r="BV154" s="243"/>
      <c r="BW154" s="243"/>
      <c r="BX154" s="243"/>
      <c r="BY154" s="243"/>
      <c r="BZ154" s="243"/>
      <c r="CA154" s="243"/>
      <c r="CB154" s="243"/>
      <c r="CC154" s="243"/>
      <c r="CD154" s="243"/>
      <c r="CE154" s="245">
        <v>0</v>
      </c>
      <c r="CF154" s="245">
        <v>0</v>
      </c>
      <c r="CG154" s="245">
        <v>1</v>
      </c>
      <c r="CH154" s="246">
        <v>0</v>
      </c>
      <c r="CI154" s="219" t="e">
        <f t="shared" si="22"/>
        <v>#DIV/0!</v>
      </c>
      <c r="CJ154" s="245">
        <v>1</v>
      </c>
      <c r="CK154" s="246">
        <v>0</v>
      </c>
      <c r="CL154" s="163" t="e">
        <f t="shared" si="23"/>
        <v>#DIV/0!</v>
      </c>
      <c r="CM154" s="245">
        <v>1</v>
      </c>
      <c r="CN154" s="246">
        <v>0</v>
      </c>
      <c r="CO154" s="163" t="e">
        <f t="shared" si="24"/>
        <v>#DIV/0!</v>
      </c>
      <c r="CP154" s="245">
        <v>1</v>
      </c>
      <c r="CQ154" s="246">
        <v>0</v>
      </c>
      <c r="CR154" s="163" t="e">
        <f t="shared" si="25"/>
        <v>#DIV/0!</v>
      </c>
      <c r="CS154" s="207" t="e">
        <f t="shared" si="26"/>
        <v>#DIV/0!</v>
      </c>
      <c r="CT154" s="258"/>
      <c r="CU154" s="258"/>
      <c r="CV154" s="258"/>
      <c r="CW154" s="258"/>
      <c r="CX154" s="258"/>
      <c r="CY154" s="258"/>
      <c r="CZ154" s="258"/>
      <c r="DA154" s="258"/>
      <c r="DB154" s="258"/>
      <c r="DC154" s="258"/>
      <c r="DD154" s="156"/>
      <c r="DE154" s="156"/>
      <c r="DF154" s="156"/>
      <c r="DG154" s="156"/>
      <c r="DH154" s="156"/>
      <c r="DI154" s="156"/>
      <c r="DJ154" s="156"/>
      <c r="DK154" s="156"/>
      <c r="DL154" s="156"/>
      <c r="DM154" s="156"/>
      <c r="DN154" s="156"/>
      <c r="DO154" s="156"/>
      <c r="DP154" s="156"/>
      <c r="DQ154" s="156"/>
      <c r="DR154" s="156"/>
      <c r="DS154" s="156"/>
      <c r="DT154" s="156"/>
      <c r="DU154" s="156"/>
      <c r="DV154" s="156"/>
      <c r="DW154" s="156"/>
      <c r="DX154" s="156"/>
      <c r="DY154" s="156"/>
      <c r="DZ154" s="156"/>
      <c r="EA154" s="156"/>
      <c r="EB154" s="156"/>
      <c r="EC154" s="156"/>
      <c r="ED154" s="156"/>
      <c r="EE154" s="156"/>
      <c r="EF154" s="156"/>
      <c r="EG154" s="156"/>
      <c r="EH154" s="156"/>
      <c r="EI154" s="156"/>
      <c r="EJ154" s="156"/>
      <c r="EK154" s="156"/>
      <c r="EL154" s="156"/>
      <c r="EM154" s="156"/>
      <c r="EN154" s="156"/>
      <c r="EO154" s="156"/>
      <c r="EP154" s="156"/>
      <c r="EQ154" s="156"/>
      <c r="ER154" s="156"/>
      <c r="ES154" s="156"/>
      <c r="ET154" s="156"/>
      <c r="EU154" s="156"/>
      <c r="EV154" s="156"/>
      <c r="EW154" s="156"/>
      <c r="EX154" s="156"/>
      <c r="EY154" s="156"/>
      <c r="EZ154" s="156"/>
      <c r="FA154" s="156"/>
      <c r="FB154" s="156"/>
      <c r="FC154" s="156"/>
      <c r="FD154" s="156"/>
      <c r="FE154" s="156"/>
      <c r="FF154" s="156"/>
      <c r="FG154" s="156"/>
      <c r="FH154" s="156"/>
      <c r="FI154" s="156"/>
      <c r="FJ154" s="156"/>
      <c r="FK154" s="156"/>
      <c r="FL154" s="156"/>
      <c r="FM154" s="156"/>
      <c r="FN154" s="156"/>
      <c r="FO154" s="156"/>
      <c r="FP154" s="156"/>
      <c r="FQ154" s="156"/>
    </row>
    <row r="155" spans="1:173">
      <c r="B155" s="205">
        <f>ANACO!B151</f>
        <v>0</v>
      </c>
      <c r="C155" s="204">
        <f>ANACO!C151</f>
        <v>0</v>
      </c>
      <c r="D155" s="165">
        <f>ANACO!H151</f>
        <v>0</v>
      </c>
      <c r="E155" s="165"/>
      <c r="F155" s="203">
        <f>ANACO!G151</f>
        <v>0</v>
      </c>
      <c r="G155" s="203">
        <f>ANACO!I151</f>
        <v>0</v>
      </c>
      <c r="H155" s="166">
        <f>ANACO!BS151</f>
        <v>0</v>
      </c>
      <c r="I155" s="172">
        <f>ANACO!BT151</f>
        <v>0</v>
      </c>
      <c r="J155" s="161"/>
      <c r="K155" s="161">
        <f t="shared" si="18"/>
        <v>0</v>
      </c>
      <c r="L155" s="244">
        <v>0</v>
      </c>
      <c r="M155" s="244"/>
      <c r="N155" s="244"/>
      <c r="O155" s="244"/>
      <c r="P155" s="244"/>
      <c r="Q155" s="244"/>
      <c r="R155" s="244"/>
      <c r="S155" s="244"/>
      <c r="T155" s="244"/>
      <c r="U155" s="244"/>
      <c r="V155" s="244"/>
      <c r="W155" s="244"/>
      <c r="X155" s="244"/>
      <c r="Y155" s="244"/>
      <c r="Z155" s="244"/>
      <c r="AA155" s="244"/>
      <c r="AB155" s="244"/>
      <c r="AC155" s="244"/>
      <c r="AD155" s="244"/>
      <c r="AE155" s="244"/>
      <c r="AF155" s="244"/>
      <c r="AG155" s="244"/>
      <c r="AH155" s="244"/>
      <c r="AI155" s="244"/>
      <c r="AJ155" s="244"/>
      <c r="AK155" s="244"/>
      <c r="AL155" s="244"/>
      <c r="AM155" s="244"/>
      <c r="AN155" s="244"/>
      <c r="AO155" s="244"/>
      <c r="AP155" s="244"/>
      <c r="AQ155" s="244"/>
      <c r="AR155" s="244"/>
      <c r="AS155" s="244"/>
      <c r="AT155" s="244"/>
      <c r="AU155" s="244"/>
      <c r="AV155" s="161"/>
      <c r="AW155" s="161"/>
      <c r="AX155" s="243">
        <v>0</v>
      </c>
      <c r="AY155" s="161"/>
      <c r="AZ155" s="161"/>
      <c r="BA155" s="243">
        <v>0</v>
      </c>
      <c r="BB155" s="212">
        <f t="shared" si="19"/>
        <v>0</v>
      </c>
      <c r="BC155" s="256"/>
      <c r="BD155" s="162" t="e">
        <f t="shared" si="20"/>
        <v>#DIV/0!</v>
      </c>
      <c r="BE155" s="162" t="e">
        <f t="shared" si="21"/>
        <v>#DIV/0!</v>
      </c>
      <c r="BF155" s="243"/>
      <c r="BG155" s="243"/>
      <c r="BH155" s="243"/>
      <c r="BI155" s="257"/>
      <c r="BJ155" s="257"/>
      <c r="BK155" s="243"/>
      <c r="BL155" s="243"/>
      <c r="BM155" s="243"/>
      <c r="BN155" s="243"/>
      <c r="BO155" s="243"/>
      <c r="BP155" s="243"/>
      <c r="BQ155" s="243"/>
      <c r="BR155" s="243"/>
      <c r="BS155" s="243"/>
      <c r="BT155" s="243"/>
      <c r="BU155" s="243"/>
      <c r="BV155" s="243"/>
      <c r="BW155" s="243"/>
      <c r="BX155" s="243"/>
      <c r="BY155" s="243"/>
      <c r="BZ155" s="243"/>
      <c r="CA155" s="243"/>
      <c r="CB155" s="243"/>
      <c r="CC155" s="243"/>
      <c r="CD155" s="243"/>
      <c r="CE155" s="245">
        <v>0</v>
      </c>
      <c r="CF155" s="245">
        <v>0</v>
      </c>
      <c r="CG155" s="245">
        <v>1</v>
      </c>
      <c r="CH155" s="246">
        <v>0</v>
      </c>
      <c r="CI155" s="219" t="e">
        <f t="shared" si="22"/>
        <v>#DIV/0!</v>
      </c>
      <c r="CJ155" s="245">
        <v>1</v>
      </c>
      <c r="CK155" s="246">
        <v>0</v>
      </c>
      <c r="CL155" s="163" t="e">
        <f t="shared" si="23"/>
        <v>#DIV/0!</v>
      </c>
      <c r="CM155" s="245">
        <v>1</v>
      </c>
      <c r="CN155" s="246">
        <v>0</v>
      </c>
      <c r="CO155" s="163" t="e">
        <f t="shared" si="24"/>
        <v>#DIV/0!</v>
      </c>
      <c r="CP155" s="245">
        <v>1</v>
      </c>
      <c r="CQ155" s="246">
        <v>0</v>
      </c>
      <c r="CR155" s="163" t="e">
        <f t="shared" si="25"/>
        <v>#DIV/0!</v>
      </c>
      <c r="CS155" s="207" t="e">
        <f t="shared" si="26"/>
        <v>#DIV/0!</v>
      </c>
      <c r="CT155" s="258"/>
      <c r="CU155" s="258"/>
      <c r="CV155" s="258"/>
      <c r="CW155" s="258"/>
      <c r="CX155" s="258"/>
      <c r="CY155" s="258"/>
      <c r="CZ155" s="258"/>
      <c r="DA155" s="258"/>
      <c r="DB155" s="258"/>
      <c r="DC155" s="258"/>
    </row>
    <row r="156" spans="1:173">
      <c r="B156" s="205">
        <f>ANACO!B152</f>
        <v>0</v>
      </c>
      <c r="C156" s="204">
        <f>ANACO!C152</f>
        <v>0</v>
      </c>
      <c r="D156" s="165">
        <f>ANACO!H152</f>
        <v>0</v>
      </c>
      <c r="E156" s="165"/>
      <c r="F156" s="203">
        <f>ANACO!G152</f>
        <v>0</v>
      </c>
      <c r="G156" s="203">
        <f>ANACO!I152</f>
        <v>0</v>
      </c>
      <c r="H156" s="166">
        <f>ANACO!BS152</f>
        <v>0</v>
      </c>
      <c r="I156" s="172">
        <f>ANACO!BT152</f>
        <v>0</v>
      </c>
      <c r="J156" s="161"/>
      <c r="K156" s="161">
        <f t="shared" si="18"/>
        <v>0</v>
      </c>
      <c r="L156" s="244">
        <v>0</v>
      </c>
      <c r="M156" s="244"/>
      <c r="N156" s="244"/>
      <c r="O156" s="244"/>
      <c r="P156" s="244"/>
      <c r="Q156" s="244"/>
      <c r="R156" s="244"/>
      <c r="S156" s="244"/>
      <c r="T156" s="244"/>
      <c r="U156" s="244"/>
      <c r="V156" s="244"/>
      <c r="W156" s="244"/>
      <c r="X156" s="244"/>
      <c r="Y156" s="244"/>
      <c r="Z156" s="244"/>
      <c r="AA156" s="244"/>
      <c r="AB156" s="244"/>
      <c r="AC156" s="244"/>
      <c r="AD156" s="244"/>
      <c r="AE156" s="244"/>
      <c r="AF156" s="244"/>
      <c r="AG156" s="244"/>
      <c r="AH156" s="244"/>
      <c r="AI156" s="244"/>
      <c r="AJ156" s="244"/>
      <c r="AK156" s="244"/>
      <c r="AL156" s="244"/>
      <c r="AM156" s="244"/>
      <c r="AN156" s="244"/>
      <c r="AO156" s="244"/>
      <c r="AP156" s="244"/>
      <c r="AQ156" s="244"/>
      <c r="AR156" s="244"/>
      <c r="AS156" s="244"/>
      <c r="AT156" s="244"/>
      <c r="AU156" s="244"/>
      <c r="AV156" s="161"/>
      <c r="AW156" s="161"/>
      <c r="AX156" s="243">
        <v>0</v>
      </c>
      <c r="AY156" s="161"/>
      <c r="AZ156" s="161"/>
      <c r="BA156" s="243">
        <v>0</v>
      </c>
      <c r="BB156" s="212">
        <f t="shared" si="19"/>
        <v>0</v>
      </c>
      <c r="BC156" s="256"/>
      <c r="BD156" s="162" t="e">
        <f t="shared" si="20"/>
        <v>#DIV/0!</v>
      </c>
      <c r="BE156" s="162" t="e">
        <f t="shared" si="21"/>
        <v>#DIV/0!</v>
      </c>
      <c r="BF156" s="243"/>
      <c r="BG156" s="243"/>
      <c r="BH156" s="243"/>
      <c r="BI156" s="257"/>
      <c r="BJ156" s="257"/>
      <c r="BK156" s="243"/>
      <c r="BL156" s="243"/>
      <c r="BM156" s="243"/>
      <c r="BN156" s="243"/>
      <c r="BO156" s="243"/>
      <c r="BP156" s="243"/>
      <c r="BQ156" s="243"/>
      <c r="BR156" s="243"/>
      <c r="BS156" s="243"/>
      <c r="BT156" s="243"/>
      <c r="BU156" s="243"/>
      <c r="BV156" s="243"/>
      <c r="BW156" s="243"/>
      <c r="BX156" s="243"/>
      <c r="BY156" s="243"/>
      <c r="BZ156" s="243"/>
      <c r="CA156" s="243"/>
      <c r="CB156" s="243"/>
      <c r="CC156" s="243"/>
      <c r="CD156" s="243"/>
      <c r="CE156" s="245">
        <v>0</v>
      </c>
      <c r="CF156" s="245">
        <v>0</v>
      </c>
      <c r="CG156" s="245">
        <v>1</v>
      </c>
      <c r="CH156" s="246">
        <v>0</v>
      </c>
      <c r="CI156" s="219" t="e">
        <f t="shared" si="22"/>
        <v>#DIV/0!</v>
      </c>
      <c r="CJ156" s="245">
        <v>1</v>
      </c>
      <c r="CK156" s="246">
        <v>0</v>
      </c>
      <c r="CL156" s="163" t="e">
        <f t="shared" si="23"/>
        <v>#DIV/0!</v>
      </c>
      <c r="CM156" s="245">
        <v>1</v>
      </c>
      <c r="CN156" s="246">
        <v>0</v>
      </c>
      <c r="CO156" s="163" t="e">
        <f t="shared" si="24"/>
        <v>#DIV/0!</v>
      </c>
      <c r="CP156" s="245">
        <v>1</v>
      </c>
      <c r="CQ156" s="246">
        <v>0</v>
      </c>
      <c r="CR156" s="163" t="e">
        <f t="shared" si="25"/>
        <v>#DIV/0!</v>
      </c>
      <c r="CS156" s="207" t="e">
        <f t="shared" si="26"/>
        <v>#DIV/0!</v>
      </c>
      <c r="CT156" s="258"/>
      <c r="CU156" s="258"/>
      <c r="CV156" s="258"/>
      <c r="CW156" s="258"/>
      <c r="CX156" s="258"/>
      <c r="CY156" s="258"/>
      <c r="CZ156" s="258"/>
      <c r="DA156" s="258"/>
      <c r="DB156" s="258"/>
      <c r="DC156" s="258"/>
    </row>
    <row r="157" spans="1:173" s="260" customFormat="1">
      <c r="B157" s="261"/>
      <c r="C157" s="262" t="s">
        <v>353</v>
      </c>
      <c r="D157" s="263">
        <f>SUM(D119:D156)</f>
        <v>0</v>
      </c>
      <c r="E157" s="261"/>
      <c r="F157" s="264"/>
      <c r="G157" s="265">
        <f>SUM(G16:G156)</f>
        <v>630.43399999999986</v>
      </c>
      <c r="H157" s="261"/>
      <c r="I157" s="266">
        <f>SUM(I16:I156)</f>
        <v>1264104.8267100002</v>
      </c>
      <c r="J157" s="266"/>
      <c r="K157" s="266">
        <f t="shared" ref="K157" si="27">SUM(K16:K156)</f>
        <v>0</v>
      </c>
      <c r="L157" s="267">
        <f t="shared" ref="L157" si="28">SUM(L16:L156)</f>
        <v>0</v>
      </c>
      <c r="M157" s="267">
        <f t="shared" ref="M157" si="29">SUM(M16:M156)</f>
        <v>0</v>
      </c>
      <c r="N157" s="267">
        <f t="shared" ref="N157" si="30">SUM(N16:N156)</f>
        <v>0</v>
      </c>
      <c r="O157" s="267">
        <f t="shared" ref="O157" si="31">SUM(O16:O156)</f>
        <v>0</v>
      </c>
      <c r="P157" s="267">
        <f t="shared" ref="P157" si="32">SUM(P16:P156)</f>
        <v>0</v>
      </c>
      <c r="Q157" s="267">
        <f t="shared" ref="Q157" si="33">SUM(Q16:Q156)</f>
        <v>0</v>
      </c>
      <c r="R157" s="267">
        <f t="shared" ref="R157" si="34">SUM(R16:R156)</f>
        <v>0</v>
      </c>
      <c r="S157" s="267">
        <f t="shared" ref="S157" si="35">SUM(S16:S156)</f>
        <v>0</v>
      </c>
      <c r="T157" s="267">
        <f t="shared" ref="T157" si="36">SUM(T16:T156)</f>
        <v>0</v>
      </c>
      <c r="U157" s="267">
        <f t="shared" ref="U157" si="37">SUM(U16:U156)</f>
        <v>0</v>
      </c>
      <c r="V157" s="267">
        <f t="shared" ref="V157" si="38">SUM(V16:V156)</f>
        <v>0</v>
      </c>
      <c r="W157" s="267">
        <f t="shared" ref="W157" si="39">SUM(W16:W156)</f>
        <v>0</v>
      </c>
      <c r="X157" s="267">
        <f t="shared" ref="X157" si="40">SUM(X16:X156)</f>
        <v>0</v>
      </c>
      <c r="Y157" s="267">
        <f t="shared" ref="Y157" si="41">SUM(Y16:Y156)</f>
        <v>0</v>
      </c>
      <c r="Z157" s="267">
        <f t="shared" ref="Z157" si="42">SUM(Z16:Z156)</f>
        <v>0</v>
      </c>
      <c r="AA157" s="267">
        <f t="shared" ref="AA157" si="43">SUM(AA16:AA156)</f>
        <v>0</v>
      </c>
      <c r="AB157" s="267">
        <f t="shared" ref="AB157" si="44">SUM(AB16:AB156)</f>
        <v>0</v>
      </c>
      <c r="AC157" s="267">
        <f t="shared" ref="AC157" si="45">SUM(AC16:AC156)</f>
        <v>0</v>
      </c>
      <c r="AD157" s="267">
        <f t="shared" ref="AD157" si="46">SUM(AD16:AD156)</f>
        <v>0</v>
      </c>
      <c r="AE157" s="267">
        <f t="shared" ref="AE157" si="47">SUM(AE16:AE156)</f>
        <v>0</v>
      </c>
      <c r="AF157" s="267">
        <f t="shared" ref="AF157" si="48">SUM(AF16:AF156)</f>
        <v>0</v>
      </c>
      <c r="AG157" s="267">
        <f t="shared" ref="AG157" si="49">SUM(AG16:AG156)</f>
        <v>0</v>
      </c>
      <c r="AH157" s="267">
        <f t="shared" ref="AH157" si="50">SUM(AH16:AH156)</f>
        <v>0</v>
      </c>
      <c r="AI157" s="267">
        <f t="shared" ref="AI157" si="51">SUM(AI16:AI156)</f>
        <v>0</v>
      </c>
      <c r="AJ157" s="267">
        <f t="shared" ref="AJ157" si="52">SUM(AJ16:AJ156)</f>
        <v>0</v>
      </c>
      <c r="AK157" s="267">
        <f t="shared" ref="AK157" si="53">SUM(AK16:AK156)</f>
        <v>0</v>
      </c>
      <c r="AL157" s="267">
        <f t="shared" ref="AL157" si="54">SUM(AL16:AL156)</f>
        <v>0</v>
      </c>
      <c r="AM157" s="267">
        <f t="shared" ref="AM157" si="55">SUM(AM16:AM156)</f>
        <v>0</v>
      </c>
      <c r="AN157" s="267">
        <f t="shared" ref="AN157" si="56">SUM(AN16:AN156)</f>
        <v>0</v>
      </c>
      <c r="AO157" s="267">
        <f t="shared" ref="AO157" si="57">SUM(AO16:AO156)</f>
        <v>0</v>
      </c>
      <c r="AP157" s="267">
        <f t="shared" ref="AP157" si="58">SUM(AP16:AP156)</f>
        <v>0</v>
      </c>
      <c r="AQ157" s="267">
        <f t="shared" ref="AQ157" si="59">SUM(AQ16:AQ156)</f>
        <v>0</v>
      </c>
      <c r="AR157" s="267">
        <f t="shared" ref="AR157" si="60">SUM(AR16:AR156)</f>
        <v>0</v>
      </c>
      <c r="AS157" s="267">
        <f t="shared" ref="AS157" si="61">SUM(AS16:AS156)</f>
        <v>0</v>
      </c>
      <c r="AT157" s="267">
        <f t="shared" ref="AT157" si="62">SUM(AT16:AT156)</f>
        <v>0</v>
      </c>
      <c r="AU157" s="267">
        <f t="shared" ref="AU157:BB157" si="63">SUM(AU16:AU156)</f>
        <v>0</v>
      </c>
      <c r="AV157" s="267"/>
      <c r="AW157" s="267"/>
      <c r="AX157" s="267">
        <f t="shared" si="63"/>
        <v>0</v>
      </c>
      <c r="AY157" s="267"/>
      <c r="AZ157" s="267"/>
      <c r="BA157" s="267">
        <f t="shared" si="63"/>
        <v>0</v>
      </c>
      <c r="BB157" s="267">
        <f t="shared" si="63"/>
        <v>0</v>
      </c>
      <c r="BC157" s="267"/>
      <c r="BD157" s="267"/>
      <c r="BE157" s="267" t="e">
        <f>SUM(BE16:BE156)</f>
        <v>#DIV/0!</v>
      </c>
      <c r="BF157" s="261"/>
      <c r="BG157" s="261"/>
      <c r="BH157" s="261"/>
      <c r="BI157" s="261"/>
      <c r="BJ157" s="272"/>
      <c r="BK157" s="272"/>
      <c r="BL157" s="272"/>
      <c r="BM157" s="272"/>
      <c r="BN157" s="272"/>
      <c r="BO157" s="272"/>
      <c r="BP157" s="272"/>
      <c r="BQ157" s="272"/>
      <c r="BR157" s="272"/>
      <c r="BS157" s="272"/>
      <c r="BT157" s="272"/>
      <c r="BU157" s="272"/>
      <c r="BV157" s="272"/>
      <c r="BW157" s="272"/>
      <c r="BX157" s="272"/>
      <c r="BY157" s="272"/>
      <c r="BZ157" s="272"/>
      <c r="CA157" s="272"/>
      <c r="CB157" s="272"/>
      <c r="CC157" s="272"/>
      <c r="CD157" s="272"/>
      <c r="CE157" s="266"/>
      <c r="CF157" s="261"/>
      <c r="CG157" s="261"/>
      <c r="CH157" s="261"/>
      <c r="CI157" s="261" t="e">
        <f>SUM(CI16:CI156)</f>
        <v>#DIV/0!</v>
      </c>
      <c r="CJ157" s="261"/>
      <c r="CK157" s="261"/>
      <c r="CL157" s="261" t="e">
        <f t="shared" ref="CL157:CR157" si="64">SUM(CL16:CL156)</f>
        <v>#DIV/0!</v>
      </c>
      <c r="CM157" s="261"/>
      <c r="CN157" s="261"/>
      <c r="CO157" s="261" t="e">
        <f t="shared" si="64"/>
        <v>#DIV/0!</v>
      </c>
      <c r="CP157" s="261"/>
      <c r="CQ157" s="261"/>
      <c r="CR157" s="261" t="e">
        <f t="shared" si="64"/>
        <v>#DIV/0!</v>
      </c>
      <c r="CS157" s="268" t="e">
        <f>SUM(CR157+CO157+CL157+CI157+CF157+CE157)</f>
        <v>#DIV/0!</v>
      </c>
      <c r="CT157" s="269"/>
      <c r="CU157" s="269"/>
      <c r="CV157" s="269"/>
      <c r="CW157" s="269"/>
      <c r="CX157" s="269"/>
      <c r="CY157" s="269"/>
      <c r="CZ157" s="269"/>
      <c r="DA157" s="269"/>
      <c r="DB157" s="269"/>
      <c r="DC157" s="269"/>
    </row>
    <row r="158" spans="1:173" s="171" customFormat="1">
      <c r="C158" s="180"/>
      <c r="D158" s="179"/>
      <c r="F158" s="178"/>
      <c r="G158" s="177"/>
      <c r="I158" s="176"/>
      <c r="J158" s="213"/>
      <c r="BB158" s="212"/>
      <c r="BC158" s="214"/>
      <c r="BD158" s="175"/>
      <c r="BE158" s="175"/>
      <c r="CE158" s="174"/>
      <c r="CS158" s="220"/>
      <c r="CT158" s="248"/>
      <c r="CU158" s="248"/>
      <c r="CV158" s="248"/>
      <c r="CW158" s="248"/>
      <c r="CX158" s="248"/>
      <c r="CY158" s="248"/>
      <c r="CZ158" s="248"/>
      <c r="DA158" s="248"/>
      <c r="DB158" s="248"/>
      <c r="DC158" s="248"/>
    </row>
    <row r="159" spans="1:173">
      <c r="BB159" s="212"/>
      <c r="BC159" s="210"/>
      <c r="BD159" s="169"/>
      <c r="BE159" s="169"/>
      <c r="CS159" s="207"/>
      <c r="CT159" s="247"/>
      <c r="CU159" s="247"/>
      <c r="CV159" s="247"/>
      <c r="CW159" s="247"/>
      <c r="CX159" s="247"/>
      <c r="CY159" s="247"/>
      <c r="CZ159" s="247"/>
      <c r="DA159" s="247"/>
      <c r="DB159" s="247"/>
      <c r="DC159" s="247"/>
    </row>
    <row r="160" spans="1:173" s="170" customFormat="1">
      <c r="A160" s="273"/>
      <c r="B160" s="273"/>
      <c r="C160" s="274"/>
      <c r="D160" s="275" t="s">
        <v>405</v>
      </c>
      <c r="E160" s="276"/>
      <c r="F160" s="277"/>
      <c r="G160" s="277"/>
      <c r="H160" s="277"/>
      <c r="I160" s="278" t="e">
        <f>I116+I157+#REF!+#REF!</f>
        <v>#REF!</v>
      </c>
      <c r="J160" s="156"/>
      <c r="K160" s="156"/>
      <c r="L160" s="156"/>
      <c r="M160" s="156"/>
      <c r="N160" s="156"/>
      <c r="O160" s="156"/>
      <c r="P160" s="156"/>
      <c r="Q160" s="156"/>
      <c r="R160" s="156"/>
      <c r="S160" s="156"/>
      <c r="T160" s="156"/>
      <c r="U160" s="156"/>
      <c r="V160" s="156"/>
      <c r="W160" s="156"/>
      <c r="X160" s="156"/>
      <c r="Y160" s="156"/>
      <c r="Z160" s="156"/>
      <c r="AA160" s="156"/>
      <c r="AB160" s="156"/>
      <c r="AC160" s="156"/>
      <c r="AD160" s="156"/>
      <c r="AE160" s="156"/>
      <c r="AF160" s="156"/>
      <c r="AG160" s="156"/>
      <c r="AH160" s="156"/>
      <c r="AI160" s="156"/>
      <c r="AJ160" s="156"/>
      <c r="AK160" s="156"/>
      <c r="AL160" s="156"/>
      <c r="AM160" s="156"/>
      <c r="AN160" s="156"/>
      <c r="AO160" s="156"/>
      <c r="AP160" s="156"/>
      <c r="AQ160" s="156"/>
      <c r="AR160" s="156"/>
      <c r="AS160" s="156"/>
      <c r="AT160" s="156"/>
      <c r="AU160" s="156"/>
      <c r="AV160" s="156"/>
      <c r="AW160" s="156"/>
      <c r="AX160" s="156"/>
      <c r="AY160" s="156"/>
      <c r="AZ160" s="156"/>
      <c r="BA160" s="156"/>
      <c r="BB160" s="212"/>
      <c r="BC160" s="210"/>
      <c r="BD160" s="169"/>
      <c r="BE160" s="169"/>
      <c r="BF160" s="156"/>
      <c r="BG160" s="156"/>
      <c r="BH160" s="156"/>
      <c r="BI160" s="156"/>
      <c r="BJ160" s="156"/>
      <c r="BK160" s="156"/>
      <c r="BL160" s="156"/>
      <c r="BM160" s="156"/>
      <c r="BN160" s="156"/>
      <c r="BO160" s="156"/>
      <c r="BP160" s="156"/>
      <c r="BQ160" s="156"/>
      <c r="BR160" s="156"/>
      <c r="BS160" s="156"/>
      <c r="BT160" s="156"/>
      <c r="BU160" s="156"/>
      <c r="BV160" s="156"/>
      <c r="BW160" s="156"/>
      <c r="BX160" s="156"/>
      <c r="BY160" s="156"/>
      <c r="BZ160" s="156"/>
      <c r="CA160" s="156"/>
      <c r="CB160" s="156"/>
      <c r="CC160" s="156"/>
      <c r="CD160" s="156"/>
      <c r="CE160" s="156"/>
      <c r="CF160" s="270"/>
      <c r="CG160" s="156"/>
      <c r="CH160" s="156"/>
      <c r="CI160" s="271"/>
      <c r="CJ160" s="156"/>
      <c r="CK160" s="156"/>
      <c r="CL160" s="156"/>
      <c r="CM160" s="156"/>
      <c r="CN160" s="156"/>
      <c r="CO160" s="156"/>
      <c r="CP160" s="156"/>
      <c r="CQ160" s="156"/>
      <c r="CR160" s="156"/>
      <c r="CS160" s="221"/>
      <c r="CT160" s="249"/>
      <c r="CU160" s="249"/>
      <c r="CV160" s="249"/>
      <c r="CW160" s="249"/>
      <c r="CX160" s="249"/>
      <c r="CY160" s="249"/>
      <c r="CZ160" s="249"/>
      <c r="DA160" s="249"/>
      <c r="DB160" s="249"/>
      <c r="DC160" s="249"/>
      <c r="DD160" s="156"/>
      <c r="DE160" s="156"/>
      <c r="DF160" s="156"/>
      <c r="DG160" s="156"/>
      <c r="DH160" s="156"/>
      <c r="DI160" s="156"/>
      <c r="DJ160" s="156"/>
      <c r="DK160" s="156"/>
      <c r="DL160" s="156"/>
      <c r="DM160" s="156"/>
      <c r="DN160" s="156"/>
      <c r="DO160" s="156"/>
      <c r="DP160" s="156"/>
      <c r="DQ160" s="156"/>
      <c r="DR160" s="156"/>
      <c r="DS160" s="156"/>
      <c r="DT160" s="156"/>
      <c r="DU160" s="156"/>
      <c r="DV160" s="156"/>
      <c r="DW160" s="156"/>
      <c r="DX160" s="156"/>
      <c r="DY160" s="156"/>
      <c r="DZ160" s="156"/>
      <c r="EA160" s="156"/>
      <c r="EB160" s="156"/>
      <c r="EC160" s="156"/>
      <c r="ED160" s="156"/>
      <c r="EE160" s="156"/>
      <c r="EF160" s="156"/>
      <c r="EG160" s="156"/>
      <c r="EH160" s="156"/>
      <c r="EI160" s="156"/>
      <c r="EJ160" s="156"/>
      <c r="EK160" s="156"/>
      <c r="EL160" s="156"/>
      <c r="EM160" s="156"/>
      <c r="EN160" s="156"/>
      <c r="EO160" s="156"/>
      <c r="EP160" s="156"/>
      <c r="EQ160" s="156"/>
      <c r="ER160" s="156"/>
      <c r="ES160" s="156"/>
      <c r="ET160" s="156"/>
      <c r="EU160" s="156"/>
      <c r="EV160" s="156"/>
      <c r="EW160" s="156"/>
      <c r="EX160" s="156"/>
      <c r="EY160" s="156"/>
      <c r="EZ160" s="156"/>
      <c r="FA160" s="156"/>
      <c r="FB160" s="156"/>
      <c r="FC160" s="156"/>
      <c r="FD160" s="156"/>
      <c r="FE160" s="156"/>
      <c r="FF160" s="156"/>
      <c r="FG160" s="156"/>
      <c r="FH160" s="156"/>
      <c r="FI160" s="156"/>
      <c r="FJ160" s="156"/>
      <c r="FK160" s="156"/>
      <c r="FL160" s="156"/>
      <c r="FM160" s="156"/>
      <c r="FN160" s="156"/>
      <c r="FO160" s="156"/>
      <c r="FP160" s="156"/>
      <c r="FQ160" s="156"/>
    </row>
    <row r="161" spans="1:173" s="170" customFormat="1">
      <c r="A161" s="273"/>
      <c r="B161" s="273"/>
      <c r="C161" s="274"/>
      <c r="D161" s="275" t="s">
        <v>406</v>
      </c>
      <c r="E161" s="276"/>
      <c r="F161" s="277"/>
      <c r="G161" s="277"/>
      <c r="H161" s="277"/>
      <c r="I161" s="278" t="e">
        <f>BE157</f>
        <v>#DIV/0!</v>
      </c>
      <c r="J161" s="156"/>
      <c r="K161" s="156"/>
      <c r="L161" s="156"/>
      <c r="M161" s="156"/>
      <c r="N161" s="156"/>
      <c r="O161" s="156"/>
      <c r="P161" s="156"/>
      <c r="Q161" s="156"/>
      <c r="R161" s="156"/>
      <c r="S161" s="156"/>
      <c r="T161" s="156"/>
      <c r="U161" s="156"/>
      <c r="V161" s="156"/>
      <c r="W161" s="156"/>
      <c r="X161" s="156"/>
      <c r="Y161" s="156"/>
      <c r="Z161" s="156"/>
      <c r="AA161" s="156"/>
      <c r="AB161" s="156"/>
      <c r="AC161" s="156"/>
      <c r="AD161" s="156"/>
      <c r="AE161" s="156"/>
      <c r="AF161" s="156"/>
      <c r="AG161" s="156"/>
      <c r="AH161" s="156"/>
      <c r="AI161" s="156"/>
      <c r="AJ161" s="156"/>
      <c r="AK161" s="156"/>
      <c r="AL161" s="156"/>
      <c r="AM161" s="156"/>
      <c r="AN161" s="156"/>
      <c r="AO161" s="156"/>
      <c r="AP161" s="156"/>
      <c r="AQ161" s="156"/>
      <c r="AR161" s="156"/>
      <c r="AS161" s="156"/>
      <c r="AT161" s="156"/>
      <c r="AU161" s="156"/>
      <c r="AV161" s="156"/>
      <c r="AW161" s="156"/>
      <c r="AX161" s="156"/>
      <c r="AY161" s="156"/>
      <c r="AZ161" s="156"/>
      <c r="BA161" s="156"/>
      <c r="BB161" s="212"/>
      <c r="BC161" s="210"/>
      <c r="BD161" s="169"/>
      <c r="BE161" s="169"/>
      <c r="BF161" s="156"/>
      <c r="BG161" s="156"/>
      <c r="BH161" s="156"/>
      <c r="BI161" s="156"/>
      <c r="BJ161" s="156"/>
      <c r="BK161" s="156"/>
      <c r="BL161" s="156"/>
      <c r="BM161" s="156"/>
      <c r="BN161" s="156"/>
      <c r="BO161" s="156"/>
      <c r="BP161" s="156"/>
      <c r="BQ161" s="156"/>
      <c r="BR161" s="156"/>
      <c r="BS161" s="156"/>
      <c r="BT161" s="156"/>
      <c r="BU161" s="156"/>
      <c r="BV161" s="156"/>
      <c r="BW161" s="156"/>
      <c r="BX161" s="156"/>
      <c r="BY161" s="156"/>
      <c r="BZ161" s="156"/>
      <c r="CA161" s="156"/>
      <c r="CB161" s="156"/>
      <c r="CC161" s="156"/>
      <c r="CD161" s="156"/>
      <c r="CE161" s="156"/>
      <c r="CF161" s="270"/>
      <c r="CG161" s="156"/>
      <c r="CH161" s="156"/>
      <c r="CI161" s="271"/>
      <c r="CJ161" s="156"/>
      <c r="CK161" s="156"/>
      <c r="CL161" s="156"/>
      <c r="CM161" s="156"/>
      <c r="CN161" s="156"/>
      <c r="CO161" s="156"/>
      <c r="CP161" s="156"/>
      <c r="CQ161" s="156"/>
      <c r="CR161" s="156"/>
      <c r="CS161" s="221"/>
      <c r="CT161" s="249"/>
      <c r="CU161" s="249"/>
      <c r="CV161" s="249"/>
      <c r="CW161" s="249"/>
      <c r="CX161" s="249"/>
      <c r="CY161" s="249"/>
      <c r="CZ161" s="249"/>
      <c r="DA161" s="249"/>
      <c r="DB161" s="249"/>
      <c r="DC161" s="249"/>
      <c r="DD161" s="156"/>
      <c r="DE161" s="156"/>
      <c r="DF161" s="156"/>
      <c r="DG161" s="156"/>
      <c r="DH161" s="156"/>
      <c r="DI161" s="156"/>
      <c r="DJ161" s="156"/>
      <c r="DK161" s="156"/>
      <c r="DL161" s="156"/>
      <c r="DM161" s="156"/>
      <c r="DN161" s="156"/>
      <c r="DO161" s="156"/>
      <c r="DP161" s="156"/>
      <c r="DQ161" s="156"/>
      <c r="DR161" s="156"/>
      <c r="DS161" s="156"/>
      <c r="DT161" s="156"/>
      <c r="DU161" s="156"/>
      <c r="DV161" s="156"/>
      <c r="DW161" s="156"/>
      <c r="DX161" s="156"/>
      <c r="DY161" s="156"/>
      <c r="DZ161" s="156"/>
      <c r="EA161" s="156"/>
      <c r="EB161" s="156"/>
      <c r="EC161" s="156"/>
      <c r="ED161" s="156"/>
      <c r="EE161" s="156"/>
      <c r="EF161" s="156"/>
      <c r="EG161" s="156"/>
      <c r="EH161" s="156"/>
      <c r="EI161" s="156"/>
      <c r="EJ161" s="156"/>
      <c r="EK161" s="156"/>
      <c r="EL161" s="156"/>
      <c r="EM161" s="156"/>
      <c r="EN161" s="156"/>
      <c r="EO161" s="156"/>
      <c r="EP161" s="156"/>
      <c r="EQ161" s="156"/>
      <c r="ER161" s="156"/>
      <c r="ES161" s="156"/>
      <c r="ET161" s="156"/>
      <c r="EU161" s="156"/>
      <c r="EV161" s="156"/>
      <c r="EW161" s="156"/>
      <c r="EX161" s="156"/>
      <c r="EY161" s="156"/>
      <c r="EZ161" s="156"/>
      <c r="FA161" s="156"/>
      <c r="FB161" s="156"/>
      <c r="FC161" s="156"/>
      <c r="FD161" s="156"/>
      <c r="FE161" s="156"/>
      <c r="FF161" s="156"/>
      <c r="FG161" s="156"/>
      <c r="FH161" s="156"/>
      <c r="FI161" s="156"/>
      <c r="FJ161" s="156"/>
      <c r="FK161" s="156"/>
      <c r="FL161" s="156"/>
      <c r="FM161" s="156"/>
      <c r="FN161" s="156"/>
      <c r="FO161" s="156"/>
      <c r="FP161" s="156"/>
      <c r="FQ161" s="156"/>
    </row>
    <row r="162" spans="1:173" s="239" customFormat="1" ht="48.75" customHeight="1">
      <c r="A162" s="156"/>
      <c r="B162" s="847" t="s">
        <v>407</v>
      </c>
      <c r="C162" s="848"/>
      <c r="D162" s="848"/>
      <c r="E162" s="848"/>
      <c r="F162" s="848"/>
      <c r="G162" s="848"/>
      <c r="H162" s="848"/>
      <c r="I162" s="849"/>
      <c r="J162" s="236"/>
      <c r="K162" s="236"/>
      <c r="L162" s="852"/>
      <c r="M162" s="853"/>
      <c r="N162" s="853"/>
      <c r="O162" s="853"/>
      <c r="P162" s="853"/>
      <c r="Q162" s="853"/>
      <c r="R162" s="853"/>
      <c r="S162" s="853"/>
      <c r="T162" s="853"/>
      <c r="U162" s="853"/>
      <c r="V162" s="853"/>
      <c r="W162" s="853"/>
      <c r="X162" s="853"/>
      <c r="Y162" s="853"/>
      <c r="Z162" s="853"/>
      <c r="AA162" s="853"/>
      <c r="AB162" s="853"/>
      <c r="AC162" s="853"/>
      <c r="AD162" s="853"/>
      <c r="AE162" s="853"/>
      <c r="AF162" s="853"/>
      <c r="AG162" s="853"/>
      <c r="AH162" s="853"/>
      <c r="AI162" s="853"/>
      <c r="AJ162" s="853"/>
      <c r="AK162" s="853"/>
      <c r="AL162" s="853"/>
      <c r="AM162" s="853"/>
      <c r="AN162" s="853"/>
      <c r="AO162" s="853"/>
      <c r="AP162" s="853"/>
      <c r="AQ162" s="853"/>
      <c r="AR162" s="853"/>
      <c r="AS162" s="853"/>
      <c r="AT162" s="853"/>
      <c r="AU162" s="853"/>
      <c r="AV162" s="853"/>
      <c r="AW162" s="853"/>
      <c r="AX162" s="853"/>
      <c r="AY162" s="853"/>
      <c r="AZ162" s="853"/>
      <c r="BA162" s="853"/>
      <c r="BB162" s="853"/>
      <c r="BC162" s="853"/>
      <c r="BD162" s="853"/>
      <c r="BE162" s="854"/>
      <c r="BF162" s="852" t="s">
        <v>354</v>
      </c>
      <c r="BG162" s="853"/>
      <c r="BH162" s="853"/>
      <c r="BI162" s="854"/>
      <c r="BJ162" s="238" t="s">
        <v>355</v>
      </c>
      <c r="BK162" s="852" t="s">
        <v>356</v>
      </c>
      <c r="BL162" s="853"/>
      <c r="BM162" s="853"/>
      <c r="BN162" s="853"/>
      <c r="BO162" s="853"/>
      <c r="BP162" s="853"/>
      <c r="BQ162" s="853"/>
      <c r="BR162" s="853"/>
      <c r="BS162" s="853"/>
      <c r="BT162" s="853"/>
      <c r="BU162" s="853"/>
      <c r="BV162" s="853"/>
      <c r="BW162" s="853"/>
      <c r="BX162" s="853"/>
      <c r="BY162" s="853"/>
      <c r="BZ162" s="853"/>
      <c r="CA162" s="853"/>
      <c r="CB162" s="854"/>
      <c r="CC162" s="852" t="s">
        <v>357</v>
      </c>
      <c r="CD162" s="854"/>
      <c r="CE162" s="250" t="s">
        <v>323</v>
      </c>
      <c r="CF162" s="250" t="s">
        <v>324</v>
      </c>
      <c r="CG162" s="250" t="s">
        <v>325</v>
      </c>
      <c r="CH162" s="250"/>
      <c r="CI162" s="250"/>
      <c r="CJ162" s="251" t="s">
        <v>326</v>
      </c>
      <c r="CK162" s="252"/>
      <c r="CL162" s="253"/>
      <c r="CM162" s="250" t="s">
        <v>327</v>
      </c>
      <c r="CN162" s="250"/>
      <c r="CO162" s="250"/>
      <c r="CP162" s="250" t="s">
        <v>328</v>
      </c>
      <c r="CQ162" s="250"/>
      <c r="CR162" s="250"/>
      <c r="CS162" s="207"/>
      <c r="CT162" s="250" t="s">
        <v>330</v>
      </c>
      <c r="CU162" s="250" t="s">
        <v>331</v>
      </c>
      <c r="CV162" s="250" t="s">
        <v>332</v>
      </c>
      <c r="CW162" s="250" t="s">
        <v>333</v>
      </c>
      <c r="CX162" s="250" t="s">
        <v>334</v>
      </c>
      <c r="CY162" s="250" t="s">
        <v>335</v>
      </c>
      <c r="CZ162" s="250" t="s">
        <v>336</v>
      </c>
      <c r="DA162" s="250" t="s">
        <v>337</v>
      </c>
      <c r="DB162" s="250" t="s">
        <v>338</v>
      </c>
      <c r="DC162" s="250" t="s">
        <v>339</v>
      </c>
      <c r="DD162" s="156"/>
      <c r="DE162" s="156"/>
      <c r="DF162" s="156"/>
      <c r="DG162" s="156"/>
      <c r="DH162" s="156"/>
      <c r="DI162" s="156"/>
      <c r="DJ162" s="156"/>
      <c r="DK162" s="156"/>
      <c r="DL162" s="156"/>
      <c r="DM162" s="156"/>
      <c r="DN162" s="156"/>
      <c r="DO162" s="156"/>
      <c r="DP162" s="156"/>
      <c r="DQ162" s="156"/>
      <c r="DR162" s="156"/>
      <c r="DS162" s="156"/>
      <c r="DT162" s="156"/>
      <c r="DU162" s="156"/>
      <c r="DV162" s="156"/>
      <c r="DW162" s="156"/>
      <c r="DX162" s="156"/>
      <c r="DY162" s="156"/>
      <c r="DZ162" s="156"/>
      <c r="EA162" s="156"/>
      <c r="EB162" s="156"/>
      <c r="EC162" s="156"/>
      <c r="ED162" s="156"/>
      <c r="EE162" s="156"/>
      <c r="EF162" s="156"/>
      <c r="EG162" s="156"/>
      <c r="EH162" s="156"/>
      <c r="EI162" s="156"/>
      <c r="EJ162" s="156"/>
      <c r="EK162" s="156"/>
      <c r="EL162" s="156"/>
      <c r="EM162" s="156"/>
      <c r="EN162" s="156"/>
      <c r="EO162" s="156"/>
      <c r="EP162" s="156"/>
      <c r="EQ162" s="156"/>
      <c r="ER162" s="156"/>
      <c r="ES162" s="156"/>
      <c r="ET162" s="156"/>
      <c r="EU162" s="156"/>
      <c r="EV162" s="156"/>
      <c r="EW162" s="156"/>
      <c r="EX162" s="156"/>
      <c r="EY162" s="156"/>
      <c r="EZ162" s="156"/>
      <c r="FA162" s="156"/>
      <c r="FB162" s="156"/>
      <c r="FC162" s="156"/>
      <c r="FD162" s="156"/>
      <c r="FE162" s="156"/>
      <c r="FF162" s="156"/>
      <c r="FG162" s="156"/>
      <c r="FH162" s="156"/>
      <c r="FI162" s="156"/>
      <c r="FJ162" s="156"/>
      <c r="FK162" s="156"/>
      <c r="FL162" s="156"/>
      <c r="FM162" s="156"/>
      <c r="FN162" s="156"/>
      <c r="FO162" s="156"/>
      <c r="FP162" s="156"/>
      <c r="FQ162" s="156"/>
    </row>
    <row r="163" spans="1:173" s="231" customFormat="1" ht="31.5">
      <c r="A163" s="217"/>
      <c r="B163" s="225"/>
      <c r="C163" s="225"/>
      <c r="D163" s="226" t="s">
        <v>358</v>
      </c>
      <c r="E163" s="225"/>
      <c r="F163" s="225"/>
      <c r="G163" s="225"/>
      <c r="H163" s="225"/>
      <c r="I163" s="225"/>
      <c r="J163" s="225" t="s">
        <v>291</v>
      </c>
      <c r="K163" s="226" t="s">
        <v>359</v>
      </c>
      <c r="L163" s="851" t="s">
        <v>360</v>
      </c>
      <c r="M163" s="851"/>
      <c r="N163" s="851"/>
      <c r="O163" s="851"/>
      <c r="P163" s="851" t="s">
        <v>361</v>
      </c>
      <c r="Q163" s="851"/>
      <c r="R163" s="851"/>
      <c r="S163" s="851"/>
      <c r="T163" s="851" t="s">
        <v>362</v>
      </c>
      <c r="U163" s="851"/>
      <c r="V163" s="851"/>
      <c r="W163" s="851"/>
      <c r="X163" s="851" t="s">
        <v>363</v>
      </c>
      <c r="Y163" s="851"/>
      <c r="Z163" s="851"/>
      <c r="AA163" s="851"/>
      <c r="AB163" s="851" t="s">
        <v>364</v>
      </c>
      <c r="AC163" s="851"/>
      <c r="AD163" s="851"/>
      <c r="AE163" s="851"/>
      <c r="AF163" s="851" t="s">
        <v>365</v>
      </c>
      <c r="AG163" s="851"/>
      <c r="AH163" s="851"/>
      <c r="AI163" s="851"/>
      <c r="AJ163" s="851" t="s">
        <v>366</v>
      </c>
      <c r="AK163" s="851"/>
      <c r="AL163" s="851"/>
      <c r="AM163" s="851"/>
      <c r="AN163" s="851" t="s">
        <v>367</v>
      </c>
      <c r="AO163" s="851"/>
      <c r="AP163" s="851"/>
      <c r="AQ163" s="851"/>
      <c r="AR163" s="851" t="s">
        <v>368</v>
      </c>
      <c r="AS163" s="851"/>
      <c r="AT163" s="851"/>
      <c r="AU163" s="851"/>
      <c r="AV163" s="225"/>
      <c r="AW163" s="225"/>
      <c r="AX163" s="225"/>
      <c r="AY163" s="225"/>
      <c r="AZ163" s="225"/>
      <c r="BA163" s="225"/>
      <c r="BB163" s="225"/>
      <c r="BC163" s="225"/>
      <c r="BD163" s="227"/>
      <c r="BE163" s="227"/>
      <c r="BF163" s="228" t="s">
        <v>369</v>
      </c>
      <c r="BG163" s="228" t="s">
        <v>370</v>
      </c>
      <c r="BH163" s="228" t="s">
        <v>371</v>
      </c>
      <c r="BI163" s="228" t="s">
        <v>372</v>
      </c>
      <c r="BJ163" s="229"/>
      <c r="BK163" s="230" t="s">
        <v>373</v>
      </c>
      <c r="BL163" s="230" t="s">
        <v>374</v>
      </c>
      <c r="BM163" s="230" t="s">
        <v>373</v>
      </c>
      <c r="BN163" s="230" t="s">
        <v>374</v>
      </c>
      <c r="BO163" s="230" t="s">
        <v>373</v>
      </c>
      <c r="BP163" s="230" t="s">
        <v>374</v>
      </c>
      <c r="BQ163" s="230" t="s">
        <v>373</v>
      </c>
      <c r="BR163" s="230" t="s">
        <v>374</v>
      </c>
      <c r="BS163" s="230" t="s">
        <v>373</v>
      </c>
      <c r="BT163" s="230" t="s">
        <v>374</v>
      </c>
      <c r="BU163" s="230" t="s">
        <v>373</v>
      </c>
      <c r="BV163" s="230" t="s">
        <v>374</v>
      </c>
      <c r="BW163" s="230" t="s">
        <v>373</v>
      </c>
      <c r="BX163" s="230" t="s">
        <v>374</v>
      </c>
      <c r="BY163" s="230" t="s">
        <v>373</v>
      </c>
      <c r="BZ163" s="230" t="s">
        <v>374</v>
      </c>
      <c r="CA163" s="230" t="s">
        <v>373</v>
      </c>
      <c r="CB163" s="230" t="s">
        <v>374</v>
      </c>
      <c r="CC163" s="230" t="s">
        <v>373</v>
      </c>
      <c r="CD163" s="230" t="s">
        <v>375</v>
      </c>
      <c r="CE163" s="636" t="s">
        <v>288</v>
      </c>
      <c r="CF163" s="636" t="s">
        <v>288</v>
      </c>
      <c r="CG163" s="637" t="s">
        <v>340</v>
      </c>
      <c r="CH163" s="638" t="s">
        <v>341</v>
      </c>
      <c r="CI163" s="636" t="s">
        <v>288</v>
      </c>
      <c r="CJ163" s="637" t="s">
        <v>340</v>
      </c>
      <c r="CK163" s="638" t="s">
        <v>341</v>
      </c>
      <c r="CL163" s="636" t="s">
        <v>288</v>
      </c>
      <c r="CM163" s="637" t="s">
        <v>340</v>
      </c>
      <c r="CN163" s="638" t="s">
        <v>341</v>
      </c>
      <c r="CO163" s="636" t="s">
        <v>288</v>
      </c>
      <c r="CP163" s="639" t="s">
        <v>340</v>
      </c>
      <c r="CQ163" s="638" t="s">
        <v>341</v>
      </c>
      <c r="CR163" s="636" t="s">
        <v>288</v>
      </c>
      <c r="CS163" s="218"/>
      <c r="CT163" s="250" t="s">
        <v>342</v>
      </c>
      <c r="CU163" s="250" t="s">
        <v>343</v>
      </c>
      <c r="CV163" s="250" t="s">
        <v>344</v>
      </c>
      <c r="CW163" s="250" t="s">
        <v>345</v>
      </c>
      <c r="CX163" s="250" t="s">
        <v>346</v>
      </c>
      <c r="CY163" s="250" t="s">
        <v>347</v>
      </c>
      <c r="CZ163" s="250" t="s">
        <v>348</v>
      </c>
      <c r="DA163" s="250" t="s">
        <v>349</v>
      </c>
      <c r="DB163" s="250" t="s">
        <v>350</v>
      </c>
      <c r="DC163" s="250" t="s">
        <v>351</v>
      </c>
      <c r="DD163" s="217"/>
      <c r="DE163" s="217"/>
      <c r="DF163" s="217"/>
      <c r="DG163" s="217"/>
      <c r="DH163" s="217"/>
      <c r="DI163" s="217"/>
      <c r="DJ163" s="217"/>
      <c r="DK163" s="217"/>
      <c r="DL163" s="217"/>
      <c r="DM163" s="217"/>
      <c r="DN163" s="217"/>
      <c r="DO163" s="217"/>
      <c r="DP163" s="217"/>
      <c r="DQ163" s="217"/>
      <c r="DR163" s="217"/>
      <c r="DS163" s="217"/>
      <c r="DT163" s="217"/>
      <c r="DU163" s="217"/>
      <c r="DV163" s="217"/>
      <c r="DW163" s="217"/>
      <c r="DX163" s="217"/>
      <c r="DY163" s="217"/>
      <c r="DZ163" s="217"/>
      <c r="EA163" s="217"/>
      <c r="EB163" s="217"/>
      <c r="EC163" s="217"/>
      <c r="ED163" s="217"/>
      <c r="EE163" s="217"/>
      <c r="EF163" s="217"/>
      <c r="EG163" s="217"/>
      <c r="EH163" s="217"/>
      <c r="EI163" s="217"/>
      <c r="EJ163" s="217"/>
      <c r="EK163" s="217"/>
      <c r="EL163" s="217"/>
      <c r="EM163" s="217"/>
      <c r="EN163" s="217"/>
      <c r="EO163" s="217"/>
      <c r="EP163" s="217"/>
      <c r="EQ163" s="217"/>
      <c r="ER163" s="217"/>
      <c r="ES163" s="217"/>
      <c r="ET163" s="217"/>
      <c r="EU163" s="217"/>
      <c r="EV163" s="217"/>
      <c r="EW163" s="217"/>
      <c r="EX163" s="217"/>
      <c r="EY163" s="217"/>
      <c r="EZ163" s="217"/>
      <c r="FA163" s="217"/>
      <c r="FB163" s="217"/>
      <c r="FC163" s="217"/>
      <c r="FD163" s="217"/>
      <c r="FE163" s="217"/>
      <c r="FF163" s="217"/>
      <c r="FG163" s="217"/>
      <c r="FH163" s="217"/>
      <c r="FI163" s="217"/>
      <c r="FJ163" s="217"/>
      <c r="FK163" s="217"/>
      <c r="FL163" s="217"/>
      <c r="FM163" s="217"/>
      <c r="FN163" s="217"/>
      <c r="FO163" s="217"/>
      <c r="FP163" s="217"/>
      <c r="FQ163" s="217"/>
    </row>
    <row r="164" spans="1:173" s="235" customFormat="1" ht="43.5" customHeight="1">
      <c r="A164" s="217"/>
      <c r="B164" s="232" t="s">
        <v>19</v>
      </c>
      <c r="C164" s="232" t="s">
        <v>316</v>
      </c>
      <c r="D164" s="232" t="s">
        <v>317</v>
      </c>
      <c r="E164" s="232" t="s">
        <v>318</v>
      </c>
      <c r="F164" s="232" t="s">
        <v>319</v>
      </c>
      <c r="G164" s="232" t="s">
        <v>320</v>
      </c>
      <c r="H164" s="232" t="s">
        <v>321</v>
      </c>
      <c r="I164" s="233" t="s">
        <v>322</v>
      </c>
      <c r="J164" s="232"/>
      <c r="K164" s="232"/>
      <c r="L164" s="232" t="s">
        <v>376</v>
      </c>
      <c r="M164" s="232" t="s">
        <v>377</v>
      </c>
      <c r="N164" s="233" t="s">
        <v>378</v>
      </c>
      <c r="O164" s="233" t="s">
        <v>379</v>
      </c>
      <c r="P164" s="232" t="s">
        <v>376</v>
      </c>
      <c r="Q164" s="232" t="s">
        <v>377</v>
      </c>
      <c r="R164" s="233" t="s">
        <v>378</v>
      </c>
      <c r="S164" s="233" t="s">
        <v>379</v>
      </c>
      <c r="T164" s="232" t="s">
        <v>376</v>
      </c>
      <c r="U164" s="232" t="s">
        <v>377</v>
      </c>
      <c r="V164" s="233" t="s">
        <v>378</v>
      </c>
      <c r="W164" s="233" t="s">
        <v>379</v>
      </c>
      <c r="X164" s="232" t="s">
        <v>376</v>
      </c>
      <c r="Y164" s="232" t="s">
        <v>377</v>
      </c>
      <c r="Z164" s="233" t="s">
        <v>378</v>
      </c>
      <c r="AA164" s="233" t="s">
        <v>379</v>
      </c>
      <c r="AB164" s="232" t="s">
        <v>376</v>
      </c>
      <c r="AC164" s="232" t="s">
        <v>377</v>
      </c>
      <c r="AD164" s="233" t="s">
        <v>378</v>
      </c>
      <c r="AE164" s="233" t="s">
        <v>379</v>
      </c>
      <c r="AF164" s="232" t="s">
        <v>376</v>
      </c>
      <c r="AG164" s="232" t="s">
        <v>377</v>
      </c>
      <c r="AH164" s="233" t="s">
        <v>378</v>
      </c>
      <c r="AI164" s="233" t="s">
        <v>379</v>
      </c>
      <c r="AJ164" s="232" t="s">
        <v>376</v>
      </c>
      <c r="AK164" s="232" t="s">
        <v>377</v>
      </c>
      <c r="AL164" s="233" t="s">
        <v>378</v>
      </c>
      <c r="AM164" s="233" t="s">
        <v>379</v>
      </c>
      <c r="AN164" s="232" t="s">
        <v>376</v>
      </c>
      <c r="AO164" s="232" t="s">
        <v>377</v>
      </c>
      <c r="AP164" s="233" t="s">
        <v>378</v>
      </c>
      <c r="AQ164" s="233" t="s">
        <v>379</v>
      </c>
      <c r="AR164" s="232" t="s">
        <v>376</v>
      </c>
      <c r="AS164" s="232" t="s">
        <v>377</v>
      </c>
      <c r="AT164" s="233" t="s">
        <v>378</v>
      </c>
      <c r="AU164" s="233" t="s">
        <v>379</v>
      </c>
      <c r="AV164" s="232" t="s">
        <v>380</v>
      </c>
      <c r="AW164" s="232" t="s">
        <v>381</v>
      </c>
      <c r="AX164" s="232" t="s">
        <v>382</v>
      </c>
      <c r="AY164" s="232" t="s">
        <v>383</v>
      </c>
      <c r="AZ164" s="232" t="s">
        <v>384</v>
      </c>
      <c r="BA164" s="232" t="s">
        <v>136</v>
      </c>
      <c r="BB164" s="233" t="s">
        <v>385</v>
      </c>
      <c r="BC164" s="233" t="s">
        <v>386</v>
      </c>
      <c r="BD164" s="234" t="s">
        <v>387</v>
      </c>
      <c r="BE164" s="234" t="s">
        <v>388</v>
      </c>
      <c r="BF164" s="233" t="s">
        <v>389</v>
      </c>
      <c r="BG164" s="233" t="s">
        <v>390</v>
      </c>
      <c r="BH164" s="233" t="s">
        <v>391</v>
      </c>
      <c r="BI164" s="233" t="s">
        <v>392</v>
      </c>
      <c r="BJ164" s="232" t="s">
        <v>393</v>
      </c>
      <c r="BK164" s="850" t="s">
        <v>394</v>
      </c>
      <c r="BL164" s="850"/>
      <c r="BM164" s="850" t="s">
        <v>395</v>
      </c>
      <c r="BN164" s="850"/>
      <c r="BO164" s="850" t="s">
        <v>396</v>
      </c>
      <c r="BP164" s="850"/>
      <c r="BQ164" s="850" t="s">
        <v>397</v>
      </c>
      <c r="BR164" s="850"/>
      <c r="BS164" s="850" t="s">
        <v>398</v>
      </c>
      <c r="BT164" s="850"/>
      <c r="BU164" s="850" t="s">
        <v>399</v>
      </c>
      <c r="BV164" s="850"/>
      <c r="BW164" s="850" t="s">
        <v>400</v>
      </c>
      <c r="BX164" s="850"/>
      <c r="BY164" s="850" t="s">
        <v>401</v>
      </c>
      <c r="BZ164" s="850"/>
      <c r="CA164" s="850" t="s">
        <v>402</v>
      </c>
      <c r="CB164" s="850"/>
      <c r="CC164" s="233" t="s">
        <v>403</v>
      </c>
      <c r="CD164" s="233" t="s">
        <v>404</v>
      </c>
      <c r="CE164" s="640">
        <v>0</v>
      </c>
      <c r="CF164" s="640">
        <v>0</v>
      </c>
      <c r="CG164" s="254"/>
      <c r="CH164" s="255"/>
      <c r="CI164" s="640">
        <v>0.2</v>
      </c>
      <c r="CJ164" s="254"/>
      <c r="CK164" s="255"/>
      <c r="CL164" s="640">
        <v>0.3</v>
      </c>
      <c r="CM164" s="254"/>
      <c r="CN164" s="255"/>
      <c r="CO164" s="640">
        <v>0.4</v>
      </c>
      <c r="CP164" s="254"/>
      <c r="CQ164" s="254"/>
      <c r="CR164" s="640">
        <v>0.1</v>
      </c>
      <c r="CS164" s="216"/>
      <c r="CT164" s="844"/>
      <c r="CU164" s="845"/>
      <c r="CV164" s="845"/>
      <c r="CW164" s="845"/>
      <c r="CX164" s="845"/>
      <c r="CY164" s="845"/>
      <c r="CZ164" s="845"/>
      <c r="DA164" s="845"/>
      <c r="DB164" s="845"/>
      <c r="DC164" s="846"/>
      <c r="DD164" s="215"/>
      <c r="DE164" s="215"/>
      <c r="DF164" s="215"/>
      <c r="DG164" s="215"/>
      <c r="DH164" s="215"/>
      <c r="DI164" s="215"/>
      <c r="DJ164" s="215"/>
      <c r="DK164" s="215"/>
      <c r="DL164" s="215"/>
      <c r="DM164" s="215"/>
      <c r="DN164" s="215"/>
      <c r="DO164" s="215"/>
      <c r="DP164" s="215"/>
      <c r="DQ164" s="215"/>
      <c r="DR164" s="215"/>
      <c r="DS164" s="215"/>
      <c r="DT164" s="215"/>
      <c r="DU164" s="215"/>
      <c r="DV164" s="215"/>
      <c r="DW164" s="215"/>
      <c r="DX164" s="215"/>
      <c r="DY164" s="215"/>
      <c r="DZ164" s="215"/>
      <c r="EA164" s="215"/>
      <c r="EB164" s="215"/>
      <c r="EC164" s="215"/>
      <c r="ED164" s="215"/>
      <c r="EE164" s="215"/>
      <c r="EF164" s="215"/>
      <c r="EG164" s="215"/>
      <c r="EH164" s="215"/>
      <c r="EI164" s="215"/>
      <c r="EJ164" s="215"/>
      <c r="EK164" s="215"/>
      <c r="EL164" s="215"/>
      <c r="EM164" s="215"/>
      <c r="EN164" s="215"/>
      <c r="EO164" s="215"/>
      <c r="EP164" s="215"/>
      <c r="EQ164" s="215"/>
      <c r="ER164" s="215"/>
      <c r="ES164" s="215"/>
      <c r="ET164" s="215"/>
      <c r="EU164" s="215"/>
      <c r="EV164" s="215"/>
      <c r="EW164" s="215"/>
      <c r="EX164" s="215"/>
      <c r="EY164" s="215"/>
      <c r="EZ164" s="215"/>
      <c r="FA164" s="215"/>
      <c r="FB164" s="215"/>
      <c r="FC164" s="215"/>
      <c r="FD164" s="215"/>
      <c r="FE164" s="215"/>
      <c r="FF164" s="215"/>
      <c r="FG164" s="215"/>
      <c r="FH164" s="215"/>
      <c r="FI164" s="215"/>
      <c r="FJ164" s="215"/>
      <c r="FK164" s="215"/>
      <c r="FL164" s="215"/>
      <c r="FM164" s="215"/>
      <c r="FN164" s="215"/>
      <c r="FO164" s="215"/>
      <c r="FP164" s="215"/>
      <c r="FQ164" s="215"/>
    </row>
    <row r="165" spans="1:173">
      <c r="B165" s="205">
        <f>ANACO!B161</f>
        <v>0</v>
      </c>
      <c r="C165" s="204"/>
      <c r="D165" s="165"/>
      <c r="E165" s="165"/>
      <c r="F165" s="203"/>
      <c r="G165" s="203"/>
      <c r="H165" s="166"/>
      <c r="I165" s="172"/>
      <c r="J165" s="161"/>
      <c r="K165" s="161">
        <f>SUM(L165:AU165)</f>
        <v>0</v>
      </c>
      <c r="L165" s="244">
        <v>0</v>
      </c>
      <c r="M165" s="244"/>
      <c r="N165" s="244"/>
      <c r="O165" s="244"/>
      <c r="P165" s="244"/>
      <c r="Q165" s="244"/>
      <c r="R165" s="244"/>
      <c r="S165" s="244"/>
      <c r="T165" s="244"/>
      <c r="U165" s="244"/>
      <c r="V165" s="244"/>
      <c r="W165" s="244"/>
      <c r="X165" s="244"/>
      <c r="Y165" s="244"/>
      <c r="Z165" s="244"/>
      <c r="AA165" s="244"/>
      <c r="AB165" s="244"/>
      <c r="AC165" s="244"/>
      <c r="AD165" s="244"/>
      <c r="AE165" s="244"/>
      <c r="AF165" s="244"/>
      <c r="AG165" s="244"/>
      <c r="AH165" s="244"/>
      <c r="AI165" s="244"/>
      <c r="AJ165" s="244"/>
      <c r="AK165" s="244"/>
      <c r="AL165" s="244"/>
      <c r="AM165" s="244"/>
      <c r="AN165" s="244"/>
      <c r="AO165" s="244"/>
      <c r="AP165" s="244"/>
      <c r="AQ165" s="244"/>
      <c r="AR165" s="244"/>
      <c r="AS165" s="244"/>
      <c r="AT165" s="244"/>
      <c r="AU165" s="244"/>
      <c r="AV165" s="161"/>
      <c r="AW165" s="161"/>
      <c r="AX165" s="243">
        <v>0</v>
      </c>
      <c r="AY165" s="161"/>
      <c r="AZ165" s="161"/>
      <c r="BA165" s="243">
        <v>0</v>
      </c>
      <c r="BB165" s="212">
        <f>K165*(AX165*BA165/1000000)</f>
        <v>0</v>
      </c>
      <c r="BC165" s="256"/>
      <c r="BD165" s="162" t="e">
        <f>H165/(F165)</f>
        <v>#DIV/0!</v>
      </c>
      <c r="BE165" s="162" t="e">
        <f>(BB165*BD165)</f>
        <v>#DIV/0!</v>
      </c>
      <c r="BF165" s="243"/>
      <c r="BG165" s="243"/>
      <c r="BH165" s="243"/>
      <c r="BI165" s="257"/>
      <c r="BJ165" s="257"/>
      <c r="BK165" s="243"/>
      <c r="BL165" s="243"/>
      <c r="BM165" s="243"/>
      <c r="BN165" s="243"/>
      <c r="BO165" s="243"/>
      <c r="BP165" s="243"/>
      <c r="BQ165" s="243"/>
      <c r="BR165" s="243"/>
      <c r="BS165" s="243"/>
      <c r="BT165" s="243"/>
      <c r="BU165" s="243"/>
      <c r="BV165" s="243"/>
      <c r="BW165" s="243"/>
      <c r="BX165" s="243"/>
      <c r="BY165" s="243"/>
      <c r="BZ165" s="243"/>
      <c r="CA165" s="243"/>
      <c r="CB165" s="243"/>
      <c r="CC165" s="243"/>
      <c r="CD165" s="243"/>
      <c r="CE165" s="245">
        <v>0</v>
      </c>
      <c r="CF165" s="245">
        <v>0</v>
      </c>
      <c r="CG165" s="245">
        <v>1</v>
      </c>
      <c r="CH165" s="246">
        <v>0</v>
      </c>
      <c r="CI165" s="219" t="e">
        <f>+CH165*BE165*$CI$10*CG165</f>
        <v>#DIV/0!</v>
      </c>
      <c r="CJ165" s="245">
        <v>1</v>
      </c>
      <c r="CK165" s="246">
        <v>0</v>
      </c>
      <c r="CL165" s="163" t="e">
        <f>+CK165*BE165*$CL$10*CJ165</f>
        <v>#DIV/0!</v>
      </c>
      <c r="CM165" s="245">
        <v>1</v>
      </c>
      <c r="CN165" s="246">
        <v>0</v>
      </c>
      <c r="CO165" s="163" t="e">
        <f>+CN165*BE165*$CO$10*CM165</f>
        <v>#DIV/0!</v>
      </c>
      <c r="CP165" s="245">
        <v>1</v>
      </c>
      <c r="CQ165" s="246">
        <v>0</v>
      </c>
      <c r="CR165" s="163" t="e">
        <f>+CQ165*BE165*$CR$10*CP165</f>
        <v>#DIV/0!</v>
      </c>
      <c r="CS165" s="207" t="e">
        <f>SUM(CR165+CO165+CL165+CI165+CF165+CE165)</f>
        <v>#DIV/0!</v>
      </c>
      <c r="CT165" s="258"/>
      <c r="CU165" s="258"/>
      <c r="CV165" s="258"/>
      <c r="CW165" s="258"/>
      <c r="CX165" s="258"/>
      <c r="CY165" s="258"/>
      <c r="CZ165" s="258"/>
      <c r="DA165" s="258"/>
      <c r="DB165" s="258"/>
      <c r="DC165" s="258"/>
    </row>
    <row r="166" spans="1:173">
      <c r="B166" s="205">
        <f>ANACO!B162</f>
        <v>0</v>
      </c>
      <c r="C166" s="204"/>
      <c r="D166" s="165"/>
      <c r="E166" s="165"/>
      <c r="F166" s="203"/>
      <c r="G166" s="203"/>
      <c r="H166" s="166"/>
      <c r="I166" s="172"/>
      <c r="J166" s="161"/>
      <c r="K166" s="161">
        <f t="shared" ref="K166:K182" si="65">SUM(L166:AU166)</f>
        <v>0</v>
      </c>
      <c r="L166" s="244">
        <v>0</v>
      </c>
      <c r="M166" s="244"/>
      <c r="N166" s="244"/>
      <c r="O166" s="244"/>
      <c r="P166" s="244"/>
      <c r="Q166" s="244"/>
      <c r="R166" s="244"/>
      <c r="S166" s="244"/>
      <c r="T166" s="244"/>
      <c r="U166" s="244"/>
      <c r="V166" s="244"/>
      <c r="W166" s="244"/>
      <c r="X166" s="244"/>
      <c r="Y166" s="244"/>
      <c r="Z166" s="244"/>
      <c r="AA166" s="244"/>
      <c r="AB166" s="244"/>
      <c r="AC166" s="244"/>
      <c r="AD166" s="244"/>
      <c r="AE166" s="244"/>
      <c r="AF166" s="244"/>
      <c r="AG166" s="244"/>
      <c r="AH166" s="244"/>
      <c r="AI166" s="244"/>
      <c r="AJ166" s="244"/>
      <c r="AK166" s="244"/>
      <c r="AL166" s="244"/>
      <c r="AM166" s="244"/>
      <c r="AN166" s="244"/>
      <c r="AO166" s="244"/>
      <c r="AP166" s="244"/>
      <c r="AQ166" s="244"/>
      <c r="AR166" s="244"/>
      <c r="AS166" s="244"/>
      <c r="AT166" s="244"/>
      <c r="AU166" s="244"/>
      <c r="AV166" s="161"/>
      <c r="AW166" s="161"/>
      <c r="AX166" s="243">
        <v>0</v>
      </c>
      <c r="AY166" s="161"/>
      <c r="AZ166" s="161"/>
      <c r="BA166" s="243">
        <v>0</v>
      </c>
      <c r="BB166" s="212">
        <f t="shared" ref="BB166:BB182" si="66">K166*(AX166*BA166/1000000)</f>
        <v>0</v>
      </c>
      <c r="BC166" s="256"/>
      <c r="BD166" s="162" t="e">
        <f t="shared" ref="BD166:BD182" si="67">H166/(F166)</f>
        <v>#DIV/0!</v>
      </c>
      <c r="BE166" s="162" t="e">
        <f t="shared" ref="BE166:BE182" si="68">(BB166*BD166)</f>
        <v>#DIV/0!</v>
      </c>
      <c r="BF166" s="243"/>
      <c r="BG166" s="243"/>
      <c r="BH166" s="243"/>
      <c r="BI166" s="257"/>
      <c r="BJ166" s="257"/>
      <c r="BK166" s="243"/>
      <c r="BL166" s="243"/>
      <c r="BM166" s="243"/>
      <c r="BN166" s="243"/>
      <c r="BO166" s="243"/>
      <c r="BP166" s="243"/>
      <c r="BQ166" s="243"/>
      <c r="BR166" s="243"/>
      <c r="BS166" s="243"/>
      <c r="BT166" s="243"/>
      <c r="BU166" s="243"/>
      <c r="BV166" s="243"/>
      <c r="BW166" s="243"/>
      <c r="BX166" s="243"/>
      <c r="BY166" s="243"/>
      <c r="BZ166" s="243"/>
      <c r="CA166" s="243"/>
      <c r="CB166" s="243"/>
      <c r="CC166" s="243"/>
      <c r="CD166" s="243"/>
      <c r="CE166" s="245">
        <v>0</v>
      </c>
      <c r="CF166" s="245">
        <v>0</v>
      </c>
      <c r="CG166" s="245">
        <v>1</v>
      </c>
      <c r="CH166" s="246">
        <v>0</v>
      </c>
      <c r="CI166" s="219" t="e">
        <f t="shared" ref="CI166:CI182" si="69">+CH166*BE166*$CI$10*CG166</f>
        <v>#DIV/0!</v>
      </c>
      <c r="CJ166" s="245">
        <v>1</v>
      </c>
      <c r="CK166" s="246">
        <v>0</v>
      </c>
      <c r="CL166" s="163" t="e">
        <f t="shared" ref="CL166:CL182" si="70">+CK166*BE166*$CL$10*CJ166</f>
        <v>#DIV/0!</v>
      </c>
      <c r="CM166" s="245">
        <v>1</v>
      </c>
      <c r="CN166" s="246">
        <v>0</v>
      </c>
      <c r="CO166" s="163" t="e">
        <f t="shared" ref="CO166:CO182" si="71">+CN166*BE166*$CO$10*CM166</f>
        <v>#DIV/0!</v>
      </c>
      <c r="CP166" s="245">
        <v>1</v>
      </c>
      <c r="CQ166" s="246">
        <v>0</v>
      </c>
      <c r="CR166" s="163" t="e">
        <f t="shared" ref="CR166:CR182" si="72">+CQ166*BE166*$CR$10*CP166</f>
        <v>#DIV/0!</v>
      </c>
      <c r="CS166" s="207" t="e">
        <f t="shared" ref="CS166:CS182" si="73">SUM(CR166+CO166+CL166+CI166+CF166+CE166)</f>
        <v>#DIV/0!</v>
      </c>
      <c r="CT166" s="258"/>
      <c r="CU166" s="258"/>
      <c r="CV166" s="258"/>
      <c r="CW166" s="258"/>
      <c r="CX166" s="258"/>
      <c r="CY166" s="258"/>
      <c r="CZ166" s="258"/>
      <c r="DA166" s="258"/>
      <c r="DB166" s="258"/>
      <c r="DC166" s="258"/>
    </row>
    <row r="167" spans="1:173">
      <c r="B167" s="205">
        <f>ANACO!B163</f>
        <v>0</v>
      </c>
      <c r="C167" s="204"/>
      <c r="D167" s="165"/>
      <c r="E167" s="165"/>
      <c r="F167" s="203"/>
      <c r="G167" s="203"/>
      <c r="H167" s="166"/>
      <c r="I167" s="172"/>
      <c r="J167" s="161"/>
      <c r="K167" s="161">
        <f t="shared" si="65"/>
        <v>0</v>
      </c>
      <c r="L167" s="244">
        <v>0</v>
      </c>
      <c r="M167" s="244"/>
      <c r="N167" s="244"/>
      <c r="O167" s="244"/>
      <c r="P167" s="244"/>
      <c r="Q167" s="244"/>
      <c r="R167" s="244"/>
      <c r="S167" s="244"/>
      <c r="T167" s="244"/>
      <c r="U167" s="244"/>
      <c r="V167" s="244"/>
      <c r="W167" s="244"/>
      <c r="X167" s="244"/>
      <c r="Y167" s="244"/>
      <c r="Z167" s="244"/>
      <c r="AA167" s="244"/>
      <c r="AB167" s="244"/>
      <c r="AC167" s="244"/>
      <c r="AD167" s="244"/>
      <c r="AE167" s="244"/>
      <c r="AF167" s="244"/>
      <c r="AG167" s="244"/>
      <c r="AH167" s="244"/>
      <c r="AI167" s="244"/>
      <c r="AJ167" s="244"/>
      <c r="AK167" s="244"/>
      <c r="AL167" s="244"/>
      <c r="AM167" s="244"/>
      <c r="AN167" s="244"/>
      <c r="AO167" s="244"/>
      <c r="AP167" s="244"/>
      <c r="AQ167" s="244"/>
      <c r="AR167" s="244"/>
      <c r="AS167" s="244"/>
      <c r="AT167" s="244"/>
      <c r="AU167" s="244"/>
      <c r="AV167" s="161"/>
      <c r="AW167" s="161"/>
      <c r="AX167" s="243">
        <v>0</v>
      </c>
      <c r="AY167" s="161"/>
      <c r="AZ167" s="161"/>
      <c r="BA167" s="243">
        <v>0</v>
      </c>
      <c r="BB167" s="212">
        <f t="shared" si="66"/>
        <v>0</v>
      </c>
      <c r="BC167" s="256"/>
      <c r="BD167" s="162" t="e">
        <f t="shared" si="67"/>
        <v>#DIV/0!</v>
      </c>
      <c r="BE167" s="162" t="e">
        <f t="shared" si="68"/>
        <v>#DIV/0!</v>
      </c>
      <c r="BF167" s="243"/>
      <c r="BG167" s="243"/>
      <c r="BH167" s="243"/>
      <c r="BI167" s="257"/>
      <c r="BJ167" s="257"/>
      <c r="BK167" s="243"/>
      <c r="BL167" s="243"/>
      <c r="BM167" s="243"/>
      <c r="BN167" s="243"/>
      <c r="BO167" s="243"/>
      <c r="BP167" s="243"/>
      <c r="BQ167" s="243"/>
      <c r="BR167" s="243"/>
      <c r="BS167" s="243"/>
      <c r="BT167" s="243"/>
      <c r="BU167" s="243"/>
      <c r="BV167" s="243"/>
      <c r="BW167" s="243"/>
      <c r="BX167" s="243"/>
      <c r="BY167" s="243"/>
      <c r="BZ167" s="243"/>
      <c r="CA167" s="243"/>
      <c r="CB167" s="243"/>
      <c r="CC167" s="243"/>
      <c r="CD167" s="243"/>
      <c r="CE167" s="245">
        <v>0</v>
      </c>
      <c r="CF167" s="245">
        <v>0</v>
      </c>
      <c r="CG167" s="245">
        <v>1</v>
      </c>
      <c r="CH167" s="246">
        <v>0</v>
      </c>
      <c r="CI167" s="219" t="e">
        <f t="shared" si="69"/>
        <v>#DIV/0!</v>
      </c>
      <c r="CJ167" s="245">
        <v>1</v>
      </c>
      <c r="CK167" s="246">
        <v>0</v>
      </c>
      <c r="CL167" s="163" t="e">
        <f t="shared" si="70"/>
        <v>#DIV/0!</v>
      </c>
      <c r="CM167" s="245">
        <v>1</v>
      </c>
      <c r="CN167" s="246">
        <v>0</v>
      </c>
      <c r="CO167" s="163" t="e">
        <f t="shared" si="71"/>
        <v>#DIV/0!</v>
      </c>
      <c r="CP167" s="245">
        <v>1</v>
      </c>
      <c r="CQ167" s="246">
        <v>0</v>
      </c>
      <c r="CR167" s="163" t="e">
        <f t="shared" si="72"/>
        <v>#DIV/0!</v>
      </c>
      <c r="CS167" s="207" t="e">
        <f t="shared" si="73"/>
        <v>#DIV/0!</v>
      </c>
      <c r="CT167" s="258"/>
      <c r="CU167" s="258"/>
      <c r="CV167" s="258"/>
      <c r="CW167" s="258"/>
      <c r="CX167" s="258"/>
      <c r="CY167" s="258"/>
      <c r="CZ167" s="258"/>
      <c r="DA167" s="258"/>
      <c r="DB167" s="258"/>
      <c r="DC167" s="258"/>
    </row>
    <row r="168" spans="1:173">
      <c r="B168" s="205">
        <f>ANACO!B164</f>
        <v>0</v>
      </c>
      <c r="C168" s="204"/>
      <c r="D168" s="165"/>
      <c r="E168" s="165"/>
      <c r="F168" s="203"/>
      <c r="G168" s="203"/>
      <c r="H168" s="166"/>
      <c r="I168" s="172"/>
      <c r="J168" s="161"/>
      <c r="K168" s="161">
        <f t="shared" si="65"/>
        <v>0</v>
      </c>
      <c r="L168" s="244">
        <v>0</v>
      </c>
      <c r="M168" s="244"/>
      <c r="N168" s="244"/>
      <c r="O168" s="244"/>
      <c r="P168" s="244"/>
      <c r="Q168" s="244"/>
      <c r="R168" s="244"/>
      <c r="S168" s="244"/>
      <c r="T168" s="244"/>
      <c r="U168" s="244"/>
      <c r="V168" s="244"/>
      <c r="W168" s="244"/>
      <c r="X168" s="244"/>
      <c r="Y168" s="244"/>
      <c r="Z168" s="244"/>
      <c r="AA168" s="244"/>
      <c r="AB168" s="244"/>
      <c r="AC168" s="244"/>
      <c r="AD168" s="244"/>
      <c r="AE168" s="244"/>
      <c r="AF168" s="244"/>
      <c r="AG168" s="244"/>
      <c r="AH168" s="244"/>
      <c r="AI168" s="244"/>
      <c r="AJ168" s="244"/>
      <c r="AK168" s="244"/>
      <c r="AL168" s="244"/>
      <c r="AM168" s="244"/>
      <c r="AN168" s="244"/>
      <c r="AO168" s="244"/>
      <c r="AP168" s="244"/>
      <c r="AQ168" s="244"/>
      <c r="AR168" s="244"/>
      <c r="AS168" s="244"/>
      <c r="AT168" s="244"/>
      <c r="AU168" s="244"/>
      <c r="AV168" s="161"/>
      <c r="AW168" s="161"/>
      <c r="AX168" s="243">
        <v>0</v>
      </c>
      <c r="AY168" s="161"/>
      <c r="AZ168" s="161"/>
      <c r="BA168" s="243">
        <v>0</v>
      </c>
      <c r="BB168" s="212">
        <f t="shared" si="66"/>
        <v>0</v>
      </c>
      <c r="BC168" s="256"/>
      <c r="BD168" s="162" t="e">
        <f t="shared" si="67"/>
        <v>#DIV/0!</v>
      </c>
      <c r="BE168" s="162" t="e">
        <f t="shared" si="68"/>
        <v>#DIV/0!</v>
      </c>
      <c r="BF168" s="243"/>
      <c r="BG168" s="243"/>
      <c r="BH168" s="243"/>
      <c r="BI168" s="257"/>
      <c r="BJ168" s="257"/>
      <c r="BK168" s="243"/>
      <c r="BL168" s="243"/>
      <c r="BM168" s="243"/>
      <c r="BN168" s="243"/>
      <c r="BO168" s="243"/>
      <c r="BP168" s="243"/>
      <c r="BQ168" s="243"/>
      <c r="BR168" s="243"/>
      <c r="BS168" s="243"/>
      <c r="BT168" s="243"/>
      <c r="BU168" s="243"/>
      <c r="BV168" s="243"/>
      <c r="BW168" s="243"/>
      <c r="BX168" s="243"/>
      <c r="BY168" s="243"/>
      <c r="BZ168" s="243"/>
      <c r="CA168" s="243"/>
      <c r="CB168" s="243"/>
      <c r="CC168" s="243"/>
      <c r="CD168" s="243"/>
      <c r="CE168" s="245">
        <v>0</v>
      </c>
      <c r="CF168" s="245">
        <v>0</v>
      </c>
      <c r="CG168" s="245">
        <v>1</v>
      </c>
      <c r="CH168" s="246">
        <v>0</v>
      </c>
      <c r="CI168" s="219" t="e">
        <f t="shared" si="69"/>
        <v>#DIV/0!</v>
      </c>
      <c r="CJ168" s="245">
        <v>1</v>
      </c>
      <c r="CK168" s="246">
        <v>0</v>
      </c>
      <c r="CL168" s="163" t="e">
        <f t="shared" si="70"/>
        <v>#DIV/0!</v>
      </c>
      <c r="CM168" s="245">
        <v>1</v>
      </c>
      <c r="CN168" s="246">
        <v>0</v>
      </c>
      <c r="CO168" s="163" t="e">
        <f t="shared" si="71"/>
        <v>#DIV/0!</v>
      </c>
      <c r="CP168" s="245">
        <v>1</v>
      </c>
      <c r="CQ168" s="246">
        <v>0</v>
      </c>
      <c r="CR168" s="163" t="e">
        <f t="shared" si="72"/>
        <v>#DIV/0!</v>
      </c>
      <c r="CS168" s="207" t="e">
        <f t="shared" si="73"/>
        <v>#DIV/0!</v>
      </c>
      <c r="CT168" s="258"/>
      <c r="CU168" s="258"/>
      <c r="CV168" s="258"/>
      <c r="CW168" s="258"/>
      <c r="CX168" s="258"/>
      <c r="CY168" s="258"/>
      <c r="CZ168" s="258"/>
      <c r="DA168" s="258"/>
      <c r="DB168" s="258"/>
      <c r="DC168" s="258"/>
    </row>
    <row r="169" spans="1:173">
      <c r="B169" s="205">
        <f>ANACO!B165</f>
        <v>0</v>
      </c>
      <c r="C169" s="204"/>
      <c r="D169" s="165"/>
      <c r="E169" s="165"/>
      <c r="F169" s="203"/>
      <c r="G169" s="203"/>
      <c r="H169" s="166"/>
      <c r="I169" s="172"/>
      <c r="J169" s="161"/>
      <c r="K169" s="161">
        <f t="shared" si="65"/>
        <v>0</v>
      </c>
      <c r="L169" s="244">
        <v>0</v>
      </c>
      <c r="M169" s="244"/>
      <c r="N169" s="244"/>
      <c r="O169" s="244"/>
      <c r="P169" s="244"/>
      <c r="Q169" s="244"/>
      <c r="R169" s="244"/>
      <c r="S169" s="244"/>
      <c r="T169" s="244"/>
      <c r="U169" s="244"/>
      <c r="V169" s="244"/>
      <c r="W169" s="244"/>
      <c r="X169" s="244"/>
      <c r="Y169" s="244"/>
      <c r="Z169" s="244"/>
      <c r="AA169" s="244"/>
      <c r="AB169" s="244"/>
      <c r="AC169" s="244"/>
      <c r="AD169" s="244"/>
      <c r="AE169" s="244"/>
      <c r="AF169" s="244"/>
      <c r="AG169" s="244"/>
      <c r="AH169" s="244"/>
      <c r="AI169" s="244"/>
      <c r="AJ169" s="244"/>
      <c r="AK169" s="244"/>
      <c r="AL169" s="244"/>
      <c r="AM169" s="244"/>
      <c r="AN169" s="244"/>
      <c r="AO169" s="244"/>
      <c r="AP169" s="244"/>
      <c r="AQ169" s="244"/>
      <c r="AR169" s="244"/>
      <c r="AS169" s="244"/>
      <c r="AT169" s="244"/>
      <c r="AU169" s="244"/>
      <c r="AV169" s="161"/>
      <c r="AW169" s="161"/>
      <c r="AX169" s="243">
        <v>0</v>
      </c>
      <c r="AY169" s="161"/>
      <c r="AZ169" s="161"/>
      <c r="BA169" s="243">
        <v>0</v>
      </c>
      <c r="BB169" s="212">
        <f t="shared" si="66"/>
        <v>0</v>
      </c>
      <c r="BC169" s="256"/>
      <c r="BD169" s="162" t="e">
        <f t="shared" si="67"/>
        <v>#DIV/0!</v>
      </c>
      <c r="BE169" s="162" t="e">
        <f t="shared" si="68"/>
        <v>#DIV/0!</v>
      </c>
      <c r="BF169" s="243"/>
      <c r="BG169" s="243"/>
      <c r="BH169" s="243"/>
      <c r="BI169" s="257"/>
      <c r="BJ169" s="257"/>
      <c r="BK169" s="243"/>
      <c r="BL169" s="243"/>
      <c r="BM169" s="243"/>
      <c r="BN169" s="243"/>
      <c r="BO169" s="243"/>
      <c r="BP169" s="243"/>
      <c r="BQ169" s="243"/>
      <c r="BR169" s="243"/>
      <c r="BS169" s="243"/>
      <c r="BT169" s="243"/>
      <c r="BU169" s="243"/>
      <c r="BV169" s="243"/>
      <c r="BW169" s="243"/>
      <c r="BX169" s="243"/>
      <c r="BY169" s="243"/>
      <c r="BZ169" s="243"/>
      <c r="CA169" s="243"/>
      <c r="CB169" s="243"/>
      <c r="CC169" s="243"/>
      <c r="CD169" s="243"/>
      <c r="CE169" s="245">
        <v>0</v>
      </c>
      <c r="CF169" s="245">
        <v>0</v>
      </c>
      <c r="CG169" s="245">
        <v>1</v>
      </c>
      <c r="CH169" s="246">
        <v>0</v>
      </c>
      <c r="CI169" s="219" t="e">
        <f t="shared" si="69"/>
        <v>#DIV/0!</v>
      </c>
      <c r="CJ169" s="245">
        <v>1</v>
      </c>
      <c r="CK169" s="246">
        <v>0</v>
      </c>
      <c r="CL169" s="163" t="e">
        <f t="shared" si="70"/>
        <v>#DIV/0!</v>
      </c>
      <c r="CM169" s="245">
        <v>1</v>
      </c>
      <c r="CN169" s="246">
        <v>0</v>
      </c>
      <c r="CO169" s="163" t="e">
        <f t="shared" si="71"/>
        <v>#DIV/0!</v>
      </c>
      <c r="CP169" s="245">
        <v>1</v>
      </c>
      <c r="CQ169" s="246">
        <v>0</v>
      </c>
      <c r="CR169" s="163" t="e">
        <f t="shared" si="72"/>
        <v>#DIV/0!</v>
      </c>
      <c r="CS169" s="207" t="e">
        <f t="shared" si="73"/>
        <v>#DIV/0!</v>
      </c>
      <c r="CT169" s="258"/>
      <c r="CU169" s="258"/>
      <c r="CV169" s="258"/>
      <c r="CW169" s="258"/>
      <c r="CX169" s="258"/>
      <c r="CY169" s="258"/>
      <c r="CZ169" s="258"/>
      <c r="DA169" s="258"/>
      <c r="DB169" s="258"/>
      <c r="DC169" s="258"/>
    </row>
    <row r="170" spans="1:173">
      <c r="B170" s="205">
        <f>ANACO!B166</f>
        <v>0</v>
      </c>
      <c r="C170" s="204"/>
      <c r="D170" s="165"/>
      <c r="E170" s="165"/>
      <c r="F170" s="203"/>
      <c r="G170" s="203"/>
      <c r="H170" s="166"/>
      <c r="I170" s="172"/>
      <c r="J170" s="161"/>
      <c r="K170" s="161">
        <f t="shared" si="65"/>
        <v>0</v>
      </c>
      <c r="L170" s="244">
        <v>0</v>
      </c>
      <c r="M170" s="244"/>
      <c r="N170" s="244"/>
      <c r="O170" s="244"/>
      <c r="P170" s="244"/>
      <c r="Q170" s="244"/>
      <c r="R170" s="244"/>
      <c r="S170" s="244"/>
      <c r="T170" s="244"/>
      <c r="U170" s="244"/>
      <c r="V170" s="244"/>
      <c r="W170" s="244"/>
      <c r="X170" s="244"/>
      <c r="Y170" s="244"/>
      <c r="Z170" s="244"/>
      <c r="AA170" s="244"/>
      <c r="AB170" s="244"/>
      <c r="AC170" s="244"/>
      <c r="AD170" s="244"/>
      <c r="AE170" s="244"/>
      <c r="AF170" s="244"/>
      <c r="AG170" s="244"/>
      <c r="AH170" s="244"/>
      <c r="AI170" s="244"/>
      <c r="AJ170" s="244"/>
      <c r="AK170" s="244"/>
      <c r="AL170" s="244"/>
      <c r="AM170" s="244"/>
      <c r="AN170" s="244"/>
      <c r="AO170" s="244"/>
      <c r="AP170" s="244"/>
      <c r="AQ170" s="244"/>
      <c r="AR170" s="244"/>
      <c r="AS170" s="244"/>
      <c r="AT170" s="244"/>
      <c r="AU170" s="244"/>
      <c r="AV170" s="161"/>
      <c r="AW170" s="161"/>
      <c r="AX170" s="243">
        <v>0</v>
      </c>
      <c r="AY170" s="161"/>
      <c r="AZ170" s="161"/>
      <c r="BA170" s="243">
        <v>0</v>
      </c>
      <c r="BB170" s="212">
        <f t="shared" si="66"/>
        <v>0</v>
      </c>
      <c r="BC170" s="256"/>
      <c r="BD170" s="162" t="e">
        <f t="shared" si="67"/>
        <v>#DIV/0!</v>
      </c>
      <c r="BE170" s="162" t="e">
        <f t="shared" si="68"/>
        <v>#DIV/0!</v>
      </c>
      <c r="BF170" s="243"/>
      <c r="BG170" s="243"/>
      <c r="BH170" s="243"/>
      <c r="BI170" s="257"/>
      <c r="BJ170" s="257"/>
      <c r="BK170" s="243"/>
      <c r="BL170" s="243"/>
      <c r="BM170" s="243"/>
      <c r="BN170" s="243"/>
      <c r="BO170" s="243"/>
      <c r="BP170" s="243"/>
      <c r="BQ170" s="243"/>
      <c r="BR170" s="243"/>
      <c r="BS170" s="243"/>
      <c r="BT170" s="243"/>
      <c r="BU170" s="243"/>
      <c r="BV170" s="243"/>
      <c r="BW170" s="243"/>
      <c r="BX170" s="243"/>
      <c r="BY170" s="243"/>
      <c r="BZ170" s="243"/>
      <c r="CA170" s="243"/>
      <c r="CB170" s="243"/>
      <c r="CC170" s="243"/>
      <c r="CD170" s="243"/>
      <c r="CE170" s="245">
        <v>0</v>
      </c>
      <c r="CF170" s="245">
        <v>0</v>
      </c>
      <c r="CG170" s="245">
        <v>1</v>
      </c>
      <c r="CH170" s="246">
        <v>0</v>
      </c>
      <c r="CI170" s="219" t="e">
        <f t="shared" si="69"/>
        <v>#DIV/0!</v>
      </c>
      <c r="CJ170" s="245">
        <v>1</v>
      </c>
      <c r="CK170" s="246">
        <v>0</v>
      </c>
      <c r="CL170" s="163" t="e">
        <f t="shared" si="70"/>
        <v>#DIV/0!</v>
      </c>
      <c r="CM170" s="245">
        <v>1</v>
      </c>
      <c r="CN170" s="246">
        <v>0</v>
      </c>
      <c r="CO170" s="163" t="e">
        <f t="shared" si="71"/>
        <v>#DIV/0!</v>
      </c>
      <c r="CP170" s="245">
        <v>1</v>
      </c>
      <c r="CQ170" s="246">
        <v>0</v>
      </c>
      <c r="CR170" s="163" t="e">
        <f t="shared" si="72"/>
        <v>#DIV/0!</v>
      </c>
      <c r="CS170" s="207" t="e">
        <f t="shared" si="73"/>
        <v>#DIV/0!</v>
      </c>
      <c r="CT170" s="258"/>
      <c r="CU170" s="258"/>
      <c r="CV170" s="258"/>
      <c r="CW170" s="258"/>
      <c r="CX170" s="258"/>
      <c r="CY170" s="258"/>
      <c r="CZ170" s="258"/>
      <c r="DA170" s="258"/>
      <c r="DB170" s="258"/>
      <c r="DC170" s="258"/>
    </row>
    <row r="171" spans="1:173">
      <c r="B171" s="205">
        <f>ANACO!B167</f>
        <v>0</v>
      </c>
      <c r="C171" s="204"/>
      <c r="D171" s="165"/>
      <c r="E171" s="165"/>
      <c r="F171" s="203"/>
      <c r="G171" s="203"/>
      <c r="H171" s="166"/>
      <c r="I171" s="172"/>
      <c r="J171" s="161"/>
      <c r="K171" s="161">
        <f t="shared" si="65"/>
        <v>0</v>
      </c>
      <c r="L171" s="244">
        <v>0</v>
      </c>
      <c r="M171" s="244"/>
      <c r="N171" s="244"/>
      <c r="O171" s="244"/>
      <c r="P171" s="244"/>
      <c r="Q171" s="244"/>
      <c r="R171" s="244"/>
      <c r="S171" s="244"/>
      <c r="T171" s="244"/>
      <c r="U171" s="244"/>
      <c r="V171" s="244"/>
      <c r="W171" s="244"/>
      <c r="X171" s="244"/>
      <c r="Y171" s="244"/>
      <c r="Z171" s="244"/>
      <c r="AA171" s="244"/>
      <c r="AB171" s="244"/>
      <c r="AC171" s="244"/>
      <c r="AD171" s="244"/>
      <c r="AE171" s="244"/>
      <c r="AF171" s="244"/>
      <c r="AG171" s="244"/>
      <c r="AH171" s="244"/>
      <c r="AI171" s="244"/>
      <c r="AJ171" s="244"/>
      <c r="AK171" s="244"/>
      <c r="AL171" s="244"/>
      <c r="AM171" s="244"/>
      <c r="AN171" s="244"/>
      <c r="AO171" s="244"/>
      <c r="AP171" s="244"/>
      <c r="AQ171" s="244"/>
      <c r="AR171" s="244"/>
      <c r="AS171" s="244"/>
      <c r="AT171" s="244"/>
      <c r="AU171" s="244"/>
      <c r="AV171" s="161"/>
      <c r="AW171" s="161"/>
      <c r="AX171" s="243">
        <v>0</v>
      </c>
      <c r="AY171" s="161"/>
      <c r="AZ171" s="161"/>
      <c r="BA171" s="243">
        <v>0</v>
      </c>
      <c r="BB171" s="212">
        <f t="shared" si="66"/>
        <v>0</v>
      </c>
      <c r="BC171" s="256"/>
      <c r="BD171" s="162" t="e">
        <f t="shared" si="67"/>
        <v>#DIV/0!</v>
      </c>
      <c r="BE171" s="162" t="e">
        <f t="shared" si="68"/>
        <v>#DIV/0!</v>
      </c>
      <c r="BF171" s="243"/>
      <c r="BG171" s="243"/>
      <c r="BH171" s="243"/>
      <c r="BI171" s="257"/>
      <c r="BJ171" s="257"/>
      <c r="BK171" s="243"/>
      <c r="BL171" s="243"/>
      <c r="BM171" s="243"/>
      <c r="BN171" s="243"/>
      <c r="BO171" s="243"/>
      <c r="BP171" s="243"/>
      <c r="BQ171" s="243"/>
      <c r="BR171" s="243"/>
      <c r="BS171" s="243"/>
      <c r="BT171" s="243"/>
      <c r="BU171" s="243"/>
      <c r="BV171" s="243"/>
      <c r="BW171" s="243"/>
      <c r="BX171" s="243"/>
      <c r="BY171" s="243"/>
      <c r="BZ171" s="243"/>
      <c r="CA171" s="243"/>
      <c r="CB171" s="243"/>
      <c r="CC171" s="243"/>
      <c r="CD171" s="243"/>
      <c r="CE171" s="245">
        <v>0</v>
      </c>
      <c r="CF171" s="245">
        <v>0</v>
      </c>
      <c r="CG171" s="245">
        <v>1</v>
      </c>
      <c r="CH171" s="246">
        <v>0</v>
      </c>
      <c r="CI171" s="219" t="e">
        <f t="shared" si="69"/>
        <v>#DIV/0!</v>
      </c>
      <c r="CJ171" s="245">
        <v>1</v>
      </c>
      <c r="CK171" s="246">
        <v>0</v>
      </c>
      <c r="CL171" s="163" t="e">
        <f t="shared" si="70"/>
        <v>#DIV/0!</v>
      </c>
      <c r="CM171" s="245">
        <v>1</v>
      </c>
      <c r="CN171" s="246">
        <v>0</v>
      </c>
      <c r="CO171" s="163" t="e">
        <f t="shared" si="71"/>
        <v>#DIV/0!</v>
      </c>
      <c r="CP171" s="245">
        <v>1</v>
      </c>
      <c r="CQ171" s="246">
        <v>0</v>
      </c>
      <c r="CR171" s="163" t="e">
        <f t="shared" si="72"/>
        <v>#DIV/0!</v>
      </c>
      <c r="CS171" s="207" t="e">
        <f t="shared" si="73"/>
        <v>#DIV/0!</v>
      </c>
      <c r="CT171" s="258"/>
      <c r="CU171" s="258"/>
      <c r="CV171" s="258"/>
      <c r="CW171" s="258"/>
      <c r="CX171" s="258"/>
      <c r="CY171" s="258"/>
      <c r="CZ171" s="258"/>
      <c r="DA171" s="258"/>
      <c r="DB171" s="258"/>
      <c r="DC171" s="258"/>
    </row>
    <row r="172" spans="1:173">
      <c r="B172" s="205">
        <f>ANACO!B168</f>
        <v>0</v>
      </c>
      <c r="C172" s="204"/>
      <c r="D172" s="165"/>
      <c r="E172" s="165"/>
      <c r="F172" s="203"/>
      <c r="G172" s="203"/>
      <c r="H172" s="166"/>
      <c r="I172" s="172"/>
      <c r="J172" s="161"/>
      <c r="K172" s="161">
        <f t="shared" si="65"/>
        <v>0</v>
      </c>
      <c r="L172" s="244">
        <v>0</v>
      </c>
      <c r="M172" s="244"/>
      <c r="N172" s="244"/>
      <c r="O172" s="244"/>
      <c r="P172" s="244"/>
      <c r="Q172" s="244"/>
      <c r="R172" s="244"/>
      <c r="S172" s="244"/>
      <c r="T172" s="244"/>
      <c r="U172" s="244"/>
      <c r="V172" s="244"/>
      <c r="W172" s="244"/>
      <c r="X172" s="244"/>
      <c r="Y172" s="244"/>
      <c r="Z172" s="244"/>
      <c r="AA172" s="244"/>
      <c r="AB172" s="244"/>
      <c r="AC172" s="244"/>
      <c r="AD172" s="244"/>
      <c r="AE172" s="244"/>
      <c r="AF172" s="244"/>
      <c r="AG172" s="244"/>
      <c r="AH172" s="244"/>
      <c r="AI172" s="244"/>
      <c r="AJ172" s="244"/>
      <c r="AK172" s="244"/>
      <c r="AL172" s="244"/>
      <c r="AM172" s="244"/>
      <c r="AN172" s="244"/>
      <c r="AO172" s="244"/>
      <c r="AP172" s="244"/>
      <c r="AQ172" s="244"/>
      <c r="AR172" s="244"/>
      <c r="AS172" s="244"/>
      <c r="AT172" s="244"/>
      <c r="AU172" s="244"/>
      <c r="AV172" s="161"/>
      <c r="AW172" s="161"/>
      <c r="AX172" s="243">
        <v>0</v>
      </c>
      <c r="AY172" s="161"/>
      <c r="AZ172" s="161"/>
      <c r="BA172" s="243">
        <v>0</v>
      </c>
      <c r="BB172" s="212">
        <f t="shared" si="66"/>
        <v>0</v>
      </c>
      <c r="BC172" s="256"/>
      <c r="BD172" s="162" t="e">
        <f t="shared" si="67"/>
        <v>#DIV/0!</v>
      </c>
      <c r="BE172" s="162" t="e">
        <f t="shared" si="68"/>
        <v>#DIV/0!</v>
      </c>
      <c r="BF172" s="243"/>
      <c r="BG172" s="243"/>
      <c r="BH172" s="243"/>
      <c r="BI172" s="257"/>
      <c r="BJ172" s="257"/>
      <c r="BK172" s="243"/>
      <c r="BL172" s="243"/>
      <c r="BM172" s="243"/>
      <c r="BN172" s="243"/>
      <c r="BO172" s="243"/>
      <c r="BP172" s="243"/>
      <c r="BQ172" s="243"/>
      <c r="BR172" s="243"/>
      <c r="BS172" s="243"/>
      <c r="BT172" s="243"/>
      <c r="BU172" s="243"/>
      <c r="BV172" s="243"/>
      <c r="BW172" s="243"/>
      <c r="BX172" s="243"/>
      <c r="BY172" s="243"/>
      <c r="BZ172" s="243"/>
      <c r="CA172" s="243"/>
      <c r="CB172" s="243"/>
      <c r="CC172" s="243"/>
      <c r="CD172" s="243"/>
      <c r="CE172" s="245">
        <v>0</v>
      </c>
      <c r="CF172" s="245">
        <v>0</v>
      </c>
      <c r="CG172" s="245">
        <v>1</v>
      </c>
      <c r="CH172" s="246">
        <v>0</v>
      </c>
      <c r="CI172" s="219" t="e">
        <f t="shared" si="69"/>
        <v>#DIV/0!</v>
      </c>
      <c r="CJ172" s="245">
        <v>1</v>
      </c>
      <c r="CK172" s="246">
        <v>0</v>
      </c>
      <c r="CL172" s="163" t="e">
        <f t="shared" si="70"/>
        <v>#DIV/0!</v>
      </c>
      <c r="CM172" s="245">
        <v>1</v>
      </c>
      <c r="CN172" s="246">
        <v>0</v>
      </c>
      <c r="CO172" s="163" t="e">
        <f t="shared" si="71"/>
        <v>#DIV/0!</v>
      </c>
      <c r="CP172" s="245">
        <v>1</v>
      </c>
      <c r="CQ172" s="246">
        <v>0</v>
      </c>
      <c r="CR172" s="163" t="e">
        <f t="shared" si="72"/>
        <v>#DIV/0!</v>
      </c>
      <c r="CS172" s="207" t="e">
        <f t="shared" si="73"/>
        <v>#DIV/0!</v>
      </c>
      <c r="CT172" s="258"/>
      <c r="CU172" s="258"/>
      <c r="CV172" s="258"/>
      <c r="CW172" s="258"/>
      <c r="CX172" s="258"/>
      <c r="CY172" s="258"/>
      <c r="CZ172" s="258"/>
      <c r="DA172" s="258"/>
      <c r="DB172" s="258"/>
      <c r="DC172" s="258"/>
    </row>
    <row r="173" spans="1:173">
      <c r="B173" s="205">
        <f>ANACO!B169</f>
        <v>0</v>
      </c>
      <c r="C173" s="204"/>
      <c r="D173" s="165"/>
      <c r="E173" s="165"/>
      <c r="F173" s="203"/>
      <c r="G173" s="203"/>
      <c r="H173" s="166"/>
      <c r="I173" s="172"/>
      <c r="J173" s="161"/>
      <c r="K173" s="161">
        <f t="shared" si="65"/>
        <v>0</v>
      </c>
      <c r="L173" s="244">
        <v>0</v>
      </c>
      <c r="M173" s="244"/>
      <c r="N173" s="244"/>
      <c r="O173" s="244"/>
      <c r="P173" s="244"/>
      <c r="Q173" s="244"/>
      <c r="R173" s="244"/>
      <c r="S173" s="244"/>
      <c r="T173" s="244"/>
      <c r="U173" s="244"/>
      <c r="V173" s="244"/>
      <c r="W173" s="244"/>
      <c r="X173" s="244"/>
      <c r="Y173" s="244"/>
      <c r="Z173" s="244"/>
      <c r="AA173" s="244"/>
      <c r="AB173" s="244"/>
      <c r="AC173" s="244"/>
      <c r="AD173" s="244"/>
      <c r="AE173" s="244"/>
      <c r="AF173" s="244"/>
      <c r="AG173" s="244"/>
      <c r="AH173" s="244"/>
      <c r="AI173" s="244"/>
      <c r="AJ173" s="244"/>
      <c r="AK173" s="244"/>
      <c r="AL173" s="244"/>
      <c r="AM173" s="244"/>
      <c r="AN173" s="244"/>
      <c r="AO173" s="244"/>
      <c r="AP173" s="244"/>
      <c r="AQ173" s="244"/>
      <c r="AR173" s="244"/>
      <c r="AS173" s="244"/>
      <c r="AT173" s="244"/>
      <c r="AU173" s="244"/>
      <c r="AV173" s="161"/>
      <c r="AW173" s="161"/>
      <c r="AX173" s="243">
        <v>0</v>
      </c>
      <c r="AY173" s="161"/>
      <c r="AZ173" s="161"/>
      <c r="BA173" s="243">
        <v>0</v>
      </c>
      <c r="BB173" s="212">
        <f t="shared" si="66"/>
        <v>0</v>
      </c>
      <c r="BC173" s="256"/>
      <c r="BD173" s="162" t="e">
        <f t="shared" si="67"/>
        <v>#DIV/0!</v>
      </c>
      <c r="BE173" s="162" t="e">
        <f t="shared" si="68"/>
        <v>#DIV/0!</v>
      </c>
      <c r="BF173" s="243"/>
      <c r="BG173" s="243"/>
      <c r="BH173" s="243"/>
      <c r="BI173" s="257"/>
      <c r="BJ173" s="257"/>
      <c r="BK173" s="243"/>
      <c r="BL173" s="243"/>
      <c r="BM173" s="243"/>
      <c r="BN173" s="243"/>
      <c r="BO173" s="243"/>
      <c r="BP173" s="243"/>
      <c r="BQ173" s="243"/>
      <c r="BR173" s="243"/>
      <c r="BS173" s="243"/>
      <c r="BT173" s="243"/>
      <c r="BU173" s="243"/>
      <c r="BV173" s="243"/>
      <c r="BW173" s="243"/>
      <c r="BX173" s="243"/>
      <c r="BY173" s="243"/>
      <c r="BZ173" s="243"/>
      <c r="CA173" s="243"/>
      <c r="CB173" s="243"/>
      <c r="CC173" s="243"/>
      <c r="CD173" s="243"/>
      <c r="CE173" s="245">
        <v>0</v>
      </c>
      <c r="CF173" s="245">
        <v>0</v>
      </c>
      <c r="CG173" s="245">
        <v>1</v>
      </c>
      <c r="CH173" s="246">
        <v>0</v>
      </c>
      <c r="CI173" s="219" t="e">
        <f t="shared" si="69"/>
        <v>#DIV/0!</v>
      </c>
      <c r="CJ173" s="245">
        <v>1</v>
      </c>
      <c r="CK173" s="246">
        <v>0</v>
      </c>
      <c r="CL173" s="163" t="e">
        <f t="shared" si="70"/>
        <v>#DIV/0!</v>
      </c>
      <c r="CM173" s="245">
        <v>1</v>
      </c>
      <c r="CN173" s="246">
        <v>0</v>
      </c>
      <c r="CO173" s="163" t="e">
        <f t="shared" si="71"/>
        <v>#DIV/0!</v>
      </c>
      <c r="CP173" s="245">
        <v>1</v>
      </c>
      <c r="CQ173" s="246">
        <v>0</v>
      </c>
      <c r="CR173" s="163" t="e">
        <f t="shared" si="72"/>
        <v>#DIV/0!</v>
      </c>
      <c r="CS173" s="207" t="e">
        <f t="shared" si="73"/>
        <v>#DIV/0!</v>
      </c>
      <c r="CT173" s="258"/>
      <c r="CU173" s="258"/>
      <c r="CV173" s="258"/>
      <c r="CW173" s="258"/>
      <c r="CX173" s="258"/>
      <c r="CY173" s="258"/>
      <c r="CZ173" s="258"/>
      <c r="DA173" s="258"/>
      <c r="DB173" s="258"/>
      <c r="DC173" s="258"/>
    </row>
    <row r="174" spans="1:173">
      <c r="B174" s="205">
        <f>ANACO!B170</f>
        <v>0</v>
      </c>
      <c r="C174" s="204"/>
      <c r="D174" s="165"/>
      <c r="E174" s="165"/>
      <c r="F174" s="203"/>
      <c r="G174" s="203"/>
      <c r="H174" s="166"/>
      <c r="I174" s="172"/>
      <c r="J174" s="161"/>
      <c r="K174" s="161">
        <f t="shared" si="65"/>
        <v>0</v>
      </c>
      <c r="L174" s="244">
        <v>0</v>
      </c>
      <c r="M174" s="244"/>
      <c r="N174" s="244"/>
      <c r="O174" s="244"/>
      <c r="P174" s="244"/>
      <c r="Q174" s="244"/>
      <c r="R174" s="244"/>
      <c r="S174" s="244"/>
      <c r="T174" s="244"/>
      <c r="U174" s="244"/>
      <c r="V174" s="244"/>
      <c r="W174" s="244"/>
      <c r="X174" s="244"/>
      <c r="Y174" s="244"/>
      <c r="Z174" s="244"/>
      <c r="AA174" s="244"/>
      <c r="AB174" s="244"/>
      <c r="AC174" s="244"/>
      <c r="AD174" s="244"/>
      <c r="AE174" s="244"/>
      <c r="AF174" s="244"/>
      <c r="AG174" s="244"/>
      <c r="AH174" s="244"/>
      <c r="AI174" s="244"/>
      <c r="AJ174" s="244"/>
      <c r="AK174" s="244"/>
      <c r="AL174" s="244"/>
      <c r="AM174" s="244"/>
      <c r="AN174" s="244"/>
      <c r="AO174" s="244"/>
      <c r="AP174" s="244"/>
      <c r="AQ174" s="244"/>
      <c r="AR174" s="244"/>
      <c r="AS174" s="244"/>
      <c r="AT174" s="244"/>
      <c r="AU174" s="244"/>
      <c r="AV174" s="161"/>
      <c r="AW174" s="161"/>
      <c r="AX174" s="243">
        <v>0</v>
      </c>
      <c r="AY174" s="161"/>
      <c r="AZ174" s="161"/>
      <c r="BA174" s="243">
        <v>0</v>
      </c>
      <c r="BB174" s="212">
        <f t="shared" si="66"/>
        <v>0</v>
      </c>
      <c r="BC174" s="256"/>
      <c r="BD174" s="162" t="e">
        <f t="shared" si="67"/>
        <v>#DIV/0!</v>
      </c>
      <c r="BE174" s="162" t="e">
        <f t="shared" si="68"/>
        <v>#DIV/0!</v>
      </c>
      <c r="BF174" s="243"/>
      <c r="BG174" s="243"/>
      <c r="BH174" s="243"/>
      <c r="BI174" s="257"/>
      <c r="BJ174" s="257"/>
      <c r="BK174" s="243"/>
      <c r="BL174" s="243"/>
      <c r="BM174" s="243"/>
      <c r="BN174" s="243"/>
      <c r="BO174" s="243"/>
      <c r="BP174" s="243"/>
      <c r="BQ174" s="243"/>
      <c r="BR174" s="243"/>
      <c r="BS174" s="243"/>
      <c r="BT174" s="243"/>
      <c r="BU174" s="243"/>
      <c r="BV174" s="243"/>
      <c r="BW174" s="243"/>
      <c r="BX174" s="243"/>
      <c r="BY174" s="243"/>
      <c r="BZ174" s="243"/>
      <c r="CA174" s="243"/>
      <c r="CB174" s="243"/>
      <c r="CC174" s="243"/>
      <c r="CD174" s="243"/>
      <c r="CE174" s="245">
        <v>0</v>
      </c>
      <c r="CF174" s="245">
        <v>0</v>
      </c>
      <c r="CG174" s="245">
        <v>1</v>
      </c>
      <c r="CH174" s="246">
        <v>0</v>
      </c>
      <c r="CI174" s="219" t="e">
        <f t="shared" si="69"/>
        <v>#DIV/0!</v>
      </c>
      <c r="CJ174" s="245">
        <v>1</v>
      </c>
      <c r="CK174" s="246">
        <v>0</v>
      </c>
      <c r="CL174" s="163" t="e">
        <f t="shared" si="70"/>
        <v>#DIV/0!</v>
      </c>
      <c r="CM174" s="245">
        <v>1</v>
      </c>
      <c r="CN174" s="246">
        <v>0</v>
      </c>
      <c r="CO174" s="163" t="e">
        <f t="shared" si="71"/>
        <v>#DIV/0!</v>
      </c>
      <c r="CP174" s="245">
        <v>1</v>
      </c>
      <c r="CQ174" s="246">
        <v>0</v>
      </c>
      <c r="CR174" s="163" t="e">
        <f t="shared" si="72"/>
        <v>#DIV/0!</v>
      </c>
      <c r="CS174" s="207" t="e">
        <f t="shared" si="73"/>
        <v>#DIV/0!</v>
      </c>
      <c r="CT174" s="258"/>
      <c r="CU174" s="258"/>
      <c r="CV174" s="258"/>
      <c r="CW174" s="258"/>
      <c r="CX174" s="258"/>
      <c r="CY174" s="258"/>
      <c r="CZ174" s="258"/>
      <c r="DA174" s="258"/>
      <c r="DB174" s="258"/>
      <c r="DC174" s="258"/>
    </row>
    <row r="175" spans="1:173">
      <c r="B175" s="205">
        <f>ANACO!B171</f>
        <v>0</v>
      </c>
      <c r="C175" s="204"/>
      <c r="D175" s="165"/>
      <c r="E175" s="165"/>
      <c r="F175" s="203"/>
      <c r="G175" s="203"/>
      <c r="H175" s="166"/>
      <c r="I175" s="172"/>
      <c r="J175" s="161"/>
      <c r="K175" s="161">
        <f t="shared" si="65"/>
        <v>0</v>
      </c>
      <c r="L175" s="244">
        <v>0</v>
      </c>
      <c r="M175" s="244"/>
      <c r="N175" s="244"/>
      <c r="O175" s="244"/>
      <c r="P175" s="244"/>
      <c r="Q175" s="244"/>
      <c r="R175" s="244"/>
      <c r="S175" s="244"/>
      <c r="T175" s="244"/>
      <c r="U175" s="244"/>
      <c r="V175" s="244"/>
      <c r="W175" s="244"/>
      <c r="X175" s="244"/>
      <c r="Y175" s="244"/>
      <c r="Z175" s="244"/>
      <c r="AA175" s="244"/>
      <c r="AB175" s="244"/>
      <c r="AC175" s="244"/>
      <c r="AD175" s="244"/>
      <c r="AE175" s="244"/>
      <c r="AF175" s="244"/>
      <c r="AG175" s="244"/>
      <c r="AH175" s="244"/>
      <c r="AI175" s="244"/>
      <c r="AJ175" s="244"/>
      <c r="AK175" s="244"/>
      <c r="AL175" s="244"/>
      <c r="AM175" s="244"/>
      <c r="AN175" s="244"/>
      <c r="AO175" s="244"/>
      <c r="AP175" s="244"/>
      <c r="AQ175" s="244"/>
      <c r="AR175" s="244"/>
      <c r="AS175" s="244"/>
      <c r="AT175" s="244"/>
      <c r="AU175" s="244"/>
      <c r="AV175" s="161"/>
      <c r="AW175" s="161"/>
      <c r="AX175" s="243">
        <v>0</v>
      </c>
      <c r="AY175" s="161"/>
      <c r="AZ175" s="161"/>
      <c r="BA175" s="243">
        <v>0</v>
      </c>
      <c r="BB175" s="212">
        <f t="shared" si="66"/>
        <v>0</v>
      </c>
      <c r="BC175" s="256"/>
      <c r="BD175" s="162" t="e">
        <f t="shared" si="67"/>
        <v>#DIV/0!</v>
      </c>
      <c r="BE175" s="162" t="e">
        <f t="shared" si="68"/>
        <v>#DIV/0!</v>
      </c>
      <c r="BF175" s="243"/>
      <c r="BG175" s="243"/>
      <c r="BH175" s="243"/>
      <c r="BI175" s="257"/>
      <c r="BJ175" s="257"/>
      <c r="BK175" s="243"/>
      <c r="BL175" s="243"/>
      <c r="BM175" s="243"/>
      <c r="BN175" s="243"/>
      <c r="BO175" s="243"/>
      <c r="BP175" s="243"/>
      <c r="BQ175" s="243"/>
      <c r="BR175" s="243"/>
      <c r="BS175" s="243"/>
      <c r="BT175" s="243"/>
      <c r="BU175" s="243"/>
      <c r="BV175" s="243"/>
      <c r="BW175" s="243"/>
      <c r="BX175" s="243"/>
      <c r="BY175" s="243"/>
      <c r="BZ175" s="243"/>
      <c r="CA175" s="243"/>
      <c r="CB175" s="243"/>
      <c r="CC175" s="243"/>
      <c r="CD175" s="243"/>
      <c r="CE175" s="245">
        <v>0</v>
      </c>
      <c r="CF175" s="245">
        <v>0</v>
      </c>
      <c r="CG175" s="245">
        <v>1</v>
      </c>
      <c r="CH175" s="246">
        <v>0</v>
      </c>
      <c r="CI175" s="219" t="e">
        <f t="shared" si="69"/>
        <v>#DIV/0!</v>
      </c>
      <c r="CJ175" s="245">
        <v>1</v>
      </c>
      <c r="CK175" s="246">
        <v>0</v>
      </c>
      <c r="CL175" s="163" t="e">
        <f t="shared" si="70"/>
        <v>#DIV/0!</v>
      </c>
      <c r="CM175" s="245">
        <v>1</v>
      </c>
      <c r="CN175" s="246">
        <v>0</v>
      </c>
      <c r="CO175" s="163" t="e">
        <f t="shared" si="71"/>
        <v>#DIV/0!</v>
      </c>
      <c r="CP175" s="245">
        <v>1</v>
      </c>
      <c r="CQ175" s="246">
        <v>0</v>
      </c>
      <c r="CR175" s="163" t="e">
        <f t="shared" si="72"/>
        <v>#DIV/0!</v>
      </c>
      <c r="CS175" s="207" t="e">
        <f t="shared" si="73"/>
        <v>#DIV/0!</v>
      </c>
      <c r="CT175" s="258"/>
      <c r="CU175" s="258"/>
      <c r="CV175" s="258"/>
      <c r="CW175" s="258"/>
      <c r="CX175" s="258"/>
      <c r="CY175" s="258"/>
      <c r="CZ175" s="258"/>
      <c r="DA175" s="258"/>
      <c r="DB175" s="258"/>
      <c r="DC175" s="258"/>
    </row>
    <row r="176" spans="1:173">
      <c r="B176" s="205">
        <f>ANACO!B172</f>
        <v>0</v>
      </c>
      <c r="C176" s="204"/>
      <c r="D176" s="165"/>
      <c r="E176" s="165"/>
      <c r="F176" s="203"/>
      <c r="G176" s="203"/>
      <c r="H176" s="166"/>
      <c r="I176" s="172"/>
      <c r="J176" s="161"/>
      <c r="K176" s="161">
        <f t="shared" si="65"/>
        <v>0</v>
      </c>
      <c r="L176" s="244">
        <v>0</v>
      </c>
      <c r="M176" s="244"/>
      <c r="N176" s="244"/>
      <c r="O176" s="244"/>
      <c r="P176" s="244"/>
      <c r="Q176" s="244"/>
      <c r="R176" s="244"/>
      <c r="S176" s="244"/>
      <c r="T176" s="244"/>
      <c r="U176" s="244"/>
      <c r="V176" s="244"/>
      <c r="W176" s="244"/>
      <c r="X176" s="244"/>
      <c r="Y176" s="244"/>
      <c r="Z176" s="244"/>
      <c r="AA176" s="244"/>
      <c r="AB176" s="244"/>
      <c r="AC176" s="244"/>
      <c r="AD176" s="244"/>
      <c r="AE176" s="244"/>
      <c r="AF176" s="244"/>
      <c r="AG176" s="244"/>
      <c r="AH176" s="244"/>
      <c r="AI176" s="244"/>
      <c r="AJ176" s="244"/>
      <c r="AK176" s="244"/>
      <c r="AL176" s="244"/>
      <c r="AM176" s="244"/>
      <c r="AN176" s="244"/>
      <c r="AO176" s="244"/>
      <c r="AP176" s="244"/>
      <c r="AQ176" s="244"/>
      <c r="AR176" s="244"/>
      <c r="AS176" s="244"/>
      <c r="AT176" s="244"/>
      <c r="AU176" s="244"/>
      <c r="AV176" s="161"/>
      <c r="AW176" s="161"/>
      <c r="AX176" s="243">
        <v>0</v>
      </c>
      <c r="AY176" s="161"/>
      <c r="AZ176" s="161"/>
      <c r="BA176" s="243">
        <v>0</v>
      </c>
      <c r="BB176" s="212">
        <f t="shared" si="66"/>
        <v>0</v>
      </c>
      <c r="BC176" s="256"/>
      <c r="BD176" s="162" t="e">
        <f t="shared" si="67"/>
        <v>#DIV/0!</v>
      </c>
      <c r="BE176" s="162" t="e">
        <f t="shared" si="68"/>
        <v>#DIV/0!</v>
      </c>
      <c r="BF176" s="243"/>
      <c r="BG176" s="243"/>
      <c r="BH176" s="243"/>
      <c r="BI176" s="257"/>
      <c r="BJ176" s="257"/>
      <c r="BK176" s="243"/>
      <c r="BL176" s="243"/>
      <c r="BM176" s="243"/>
      <c r="BN176" s="243"/>
      <c r="BO176" s="243"/>
      <c r="BP176" s="243"/>
      <c r="BQ176" s="243"/>
      <c r="BR176" s="243"/>
      <c r="BS176" s="243"/>
      <c r="BT176" s="243"/>
      <c r="BU176" s="243"/>
      <c r="BV176" s="243"/>
      <c r="BW176" s="243"/>
      <c r="BX176" s="243"/>
      <c r="BY176" s="243"/>
      <c r="BZ176" s="243"/>
      <c r="CA176" s="243"/>
      <c r="CB176" s="243"/>
      <c r="CC176" s="243"/>
      <c r="CD176" s="243"/>
      <c r="CE176" s="245">
        <v>0</v>
      </c>
      <c r="CF176" s="245">
        <v>0</v>
      </c>
      <c r="CG176" s="245">
        <v>1</v>
      </c>
      <c r="CH176" s="246">
        <v>0</v>
      </c>
      <c r="CI176" s="219" t="e">
        <f t="shared" si="69"/>
        <v>#DIV/0!</v>
      </c>
      <c r="CJ176" s="245">
        <v>1</v>
      </c>
      <c r="CK176" s="246">
        <v>0</v>
      </c>
      <c r="CL176" s="163" t="e">
        <f t="shared" si="70"/>
        <v>#DIV/0!</v>
      </c>
      <c r="CM176" s="245">
        <v>1</v>
      </c>
      <c r="CN176" s="246">
        <v>0</v>
      </c>
      <c r="CO176" s="163" t="e">
        <f t="shared" si="71"/>
        <v>#DIV/0!</v>
      </c>
      <c r="CP176" s="245">
        <v>1</v>
      </c>
      <c r="CQ176" s="246">
        <v>0</v>
      </c>
      <c r="CR176" s="163" t="e">
        <f t="shared" si="72"/>
        <v>#DIV/0!</v>
      </c>
      <c r="CS176" s="207" t="e">
        <f t="shared" si="73"/>
        <v>#DIV/0!</v>
      </c>
      <c r="CT176" s="258"/>
      <c r="CU176" s="258"/>
      <c r="CV176" s="258"/>
      <c r="CW176" s="258"/>
      <c r="CX176" s="258"/>
      <c r="CY176" s="258"/>
      <c r="CZ176" s="258"/>
      <c r="DA176" s="258"/>
      <c r="DB176" s="258"/>
      <c r="DC176" s="258"/>
    </row>
    <row r="177" spans="2:107">
      <c r="B177" s="205">
        <f>ANACO!B173</f>
        <v>0</v>
      </c>
      <c r="C177" s="204"/>
      <c r="D177" s="165"/>
      <c r="E177" s="165"/>
      <c r="F177" s="203"/>
      <c r="G177" s="203"/>
      <c r="H177" s="166"/>
      <c r="I177" s="172"/>
      <c r="J177" s="161"/>
      <c r="K177" s="161">
        <f t="shared" si="65"/>
        <v>0</v>
      </c>
      <c r="L177" s="244">
        <v>0</v>
      </c>
      <c r="M177" s="244"/>
      <c r="N177" s="244"/>
      <c r="O177" s="244"/>
      <c r="P177" s="244"/>
      <c r="Q177" s="244"/>
      <c r="R177" s="244"/>
      <c r="S177" s="244"/>
      <c r="T177" s="244"/>
      <c r="U177" s="244"/>
      <c r="V177" s="244"/>
      <c r="W177" s="244"/>
      <c r="X177" s="244"/>
      <c r="Y177" s="244"/>
      <c r="Z177" s="244"/>
      <c r="AA177" s="244"/>
      <c r="AB177" s="244"/>
      <c r="AC177" s="244"/>
      <c r="AD177" s="244"/>
      <c r="AE177" s="244"/>
      <c r="AF177" s="244"/>
      <c r="AG177" s="244"/>
      <c r="AH177" s="244"/>
      <c r="AI177" s="244"/>
      <c r="AJ177" s="244"/>
      <c r="AK177" s="244"/>
      <c r="AL177" s="244"/>
      <c r="AM177" s="244"/>
      <c r="AN177" s="244"/>
      <c r="AO177" s="244"/>
      <c r="AP177" s="244"/>
      <c r="AQ177" s="244"/>
      <c r="AR177" s="244"/>
      <c r="AS177" s="244"/>
      <c r="AT177" s="244"/>
      <c r="AU177" s="244"/>
      <c r="AV177" s="161"/>
      <c r="AW177" s="161"/>
      <c r="AX177" s="243">
        <v>0</v>
      </c>
      <c r="AY177" s="161"/>
      <c r="AZ177" s="161"/>
      <c r="BA177" s="243">
        <v>0</v>
      </c>
      <c r="BB177" s="212">
        <f t="shared" si="66"/>
        <v>0</v>
      </c>
      <c r="BC177" s="256"/>
      <c r="BD177" s="162" t="e">
        <f t="shared" si="67"/>
        <v>#DIV/0!</v>
      </c>
      <c r="BE177" s="162" t="e">
        <f t="shared" si="68"/>
        <v>#DIV/0!</v>
      </c>
      <c r="BF177" s="243"/>
      <c r="BG177" s="243"/>
      <c r="BH177" s="243"/>
      <c r="BI177" s="257"/>
      <c r="BJ177" s="257"/>
      <c r="BK177" s="243"/>
      <c r="BL177" s="243"/>
      <c r="BM177" s="243"/>
      <c r="BN177" s="243"/>
      <c r="BO177" s="243"/>
      <c r="BP177" s="243"/>
      <c r="BQ177" s="243"/>
      <c r="BR177" s="243"/>
      <c r="BS177" s="243"/>
      <c r="BT177" s="243"/>
      <c r="BU177" s="243"/>
      <c r="BV177" s="243"/>
      <c r="BW177" s="243"/>
      <c r="BX177" s="243"/>
      <c r="BY177" s="243"/>
      <c r="BZ177" s="243"/>
      <c r="CA177" s="243"/>
      <c r="CB177" s="243"/>
      <c r="CC177" s="243"/>
      <c r="CD177" s="243"/>
      <c r="CE177" s="245">
        <v>0</v>
      </c>
      <c r="CF177" s="245">
        <v>0</v>
      </c>
      <c r="CG177" s="245">
        <v>1</v>
      </c>
      <c r="CH177" s="246">
        <v>0</v>
      </c>
      <c r="CI177" s="219" t="e">
        <f t="shared" si="69"/>
        <v>#DIV/0!</v>
      </c>
      <c r="CJ177" s="245">
        <v>1</v>
      </c>
      <c r="CK177" s="246">
        <v>0</v>
      </c>
      <c r="CL177" s="163" t="e">
        <f t="shared" si="70"/>
        <v>#DIV/0!</v>
      </c>
      <c r="CM177" s="245">
        <v>1</v>
      </c>
      <c r="CN177" s="246">
        <v>0</v>
      </c>
      <c r="CO177" s="163" t="e">
        <f t="shared" si="71"/>
        <v>#DIV/0!</v>
      </c>
      <c r="CP177" s="245">
        <v>1</v>
      </c>
      <c r="CQ177" s="246">
        <v>0</v>
      </c>
      <c r="CR177" s="163" t="e">
        <f t="shared" si="72"/>
        <v>#DIV/0!</v>
      </c>
      <c r="CS177" s="207" t="e">
        <f t="shared" si="73"/>
        <v>#DIV/0!</v>
      </c>
      <c r="CT177" s="258"/>
      <c r="CU177" s="258"/>
      <c r="CV177" s="258"/>
      <c r="CW177" s="258"/>
      <c r="CX177" s="258"/>
      <c r="CY177" s="258"/>
      <c r="CZ177" s="258"/>
      <c r="DA177" s="258"/>
      <c r="DB177" s="258"/>
      <c r="DC177" s="258"/>
    </row>
    <row r="178" spans="2:107">
      <c r="B178" s="205">
        <f>ANACO!B174</f>
        <v>0</v>
      </c>
      <c r="C178" s="204"/>
      <c r="D178" s="165"/>
      <c r="E178" s="165"/>
      <c r="F178" s="203"/>
      <c r="G178" s="203"/>
      <c r="H178" s="166"/>
      <c r="I178" s="172"/>
      <c r="J178" s="161"/>
      <c r="K178" s="161">
        <f t="shared" si="65"/>
        <v>0</v>
      </c>
      <c r="L178" s="244">
        <v>0</v>
      </c>
      <c r="M178" s="244"/>
      <c r="N178" s="244"/>
      <c r="O178" s="244"/>
      <c r="P178" s="244"/>
      <c r="Q178" s="244"/>
      <c r="R178" s="244"/>
      <c r="S178" s="244"/>
      <c r="T178" s="244"/>
      <c r="U178" s="244"/>
      <c r="V178" s="244"/>
      <c r="W178" s="244"/>
      <c r="X178" s="244"/>
      <c r="Y178" s="244"/>
      <c r="Z178" s="244"/>
      <c r="AA178" s="244"/>
      <c r="AB178" s="244"/>
      <c r="AC178" s="244"/>
      <c r="AD178" s="244"/>
      <c r="AE178" s="244"/>
      <c r="AF178" s="244"/>
      <c r="AG178" s="244"/>
      <c r="AH178" s="244"/>
      <c r="AI178" s="244"/>
      <c r="AJ178" s="244"/>
      <c r="AK178" s="244"/>
      <c r="AL178" s="244"/>
      <c r="AM178" s="244"/>
      <c r="AN178" s="244"/>
      <c r="AO178" s="244"/>
      <c r="AP178" s="244"/>
      <c r="AQ178" s="244"/>
      <c r="AR178" s="244"/>
      <c r="AS178" s="244"/>
      <c r="AT178" s="244"/>
      <c r="AU178" s="244"/>
      <c r="AV178" s="161"/>
      <c r="AW178" s="161"/>
      <c r="AX178" s="243">
        <v>0</v>
      </c>
      <c r="AY178" s="161"/>
      <c r="AZ178" s="161"/>
      <c r="BA178" s="243">
        <v>0</v>
      </c>
      <c r="BB178" s="212">
        <f t="shared" si="66"/>
        <v>0</v>
      </c>
      <c r="BC178" s="256"/>
      <c r="BD178" s="162" t="e">
        <f t="shared" si="67"/>
        <v>#DIV/0!</v>
      </c>
      <c r="BE178" s="162" t="e">
        <f t="shared" si="68"/>
        <v>#DIV/0!</v>
      </c>
      <c r="BF178" s="243"/>
      <c r="BG178" s="243"/>
      <c r="BH178" s="243"/>
      <c r="BI178" s="257"/>
      <c r="BJ178" s="257"/>
      <c r="BK178" s="243"/>
      <c r="BL178" s="243"/>
      <c r="BM178" s="243"/>
      <c r="BN178" s="243"/>
      <c r="BO178" s="243"/>
      <c r="BP178" s="243"/>
      <c r="BQ178" s="243"/>
      <c r="BR178" s="243"/>
      <c r="BS178" s="243"/>
      <c r="BT178" s="243"/>
      <c r="BU178" s="243"/>
      <c r="BV178" s="243"/>
      <c r="BW178" s="243"/>
      <c r="BX178" s="243"/>
      <c r="BY178" s="243"/>
      <c r="BZ178" s="243"/>
      <c r="CA178" s="243"/>
      <c r="CB178" s="243"/>
      <c r="CC178" s="243"/>
      <c r="CD178" s="243"/>
      <c r="CE178" s="245">
        <v>0</v>
      </c>
      <c r="CF178" s="245">
        <v>0</v>
      </c>
      <c r="CG178" s="245">
        <v>1</v>
      </c>
      <c r="CH178" s="246">
        <v>0</v>
      </c>
      <c r="CI178" s="219" t="e">
        <f t="shared" si="69"/>
        <v>#DIV/0!</v>
      </c>
      <c r="CJ178" s="245">
        <v>1</v>
      </c>
      <c r="CK178" s="246">
        <v>0</v>
      </c>
      <c r="CL178" s="163" t="e">
        <f t="shared" si="70"/>
        <v>#DIV/0!</v>
      </c>
      <c r="CM178" s="245">
        <v>1</v>
      </c>
      <c r="CN178" s="246">
        <v>0</v>
      </c>
      <c r="CO178" s="163" t="e">
        <f t="shared" si="71"/>
        <v>#DIV/0!</v>
      </c>
      <c r="CP178" s="245">
        <v>1</v>
      </c>
      <c r="CQ178" s="246">
        <v>0</v>
      </c>
      <c r="CR178" s="163" t="e">
        <f t="shared" si="72"/>
        <v>#DIV/0!</v>
      </c>
      <c r="CS178" s="207" t="e">
        <f t="shared" si="73"/>
        <v>#DIV/0!</v>
      </c>
      <c r="CT178" s="258"/>
      <c r="CU178" s="258"/>
      <c r="CV178" s="258"/>
      <c r="CW178" s="258"/>
      <c r="CX178" s="258"/>
      <c r="CY178" s="258"/>
      <c r="CZ178" s="258"/>
      <c r="DA178" s="258"/>
      <c r="DB178" s="258"/>
      <c r="DC178" s="258"/>
    </row>
    <row r="179" spans="2:107">
      <c r="B179" s="205">
        <f>ANACO!B175</f>
        <v>0</v>
      </c>
      <c r="C179" s="204"/>
      <c r="D179" s="165"/>
      <c r="E179" s="165"/>
      <c r="F179" s="203"/>
      <c r="G179" s="203"/>
      <c r="H179" s="166"/>
      <c r="I179" s="172"/>
      <c r="J179" s="161"/>
      <c r="K179" s="161">
        <f t="shared" si="65"/>
        <v>0</v>
      </c>
      <c r="L179" s="244">
        <v>0</v>
      </c>
      <c r="M179" s="244"/>
      <c r="N179" s="244"/>
      <c r="O179" s="244"/>
      <c r="P179" s="244"/>
      <c r="Q179" s="244"/>
      <c r="R179" s="244"/>
      <c r="S179" s="244"/>
      <c r="T179" s="244"/>
      <c r="U179" s="244"/>
      <c r="V179" s="244"/>
      <c r="W179" s="244"/>
      <c r="X179" s="244"/>
      <c r="Y179" s="244"/>
      <c r="Z179" s="244"/>
      <c r="AA179" s="244"/>
      <c r="AB179" s="244"/>
      <c r="AC179" s="244"/>
      <c r="AD179" s="244"/>
      <c r="AE179" s="244"/>
      <c r="AF179" s="244"/>
      <c r="AG179" s="244"/>
      <c r="AH179" s="244"/>
      <c r="AI179" s="244"/>
      <c r="AJ179" s="244"/>
      <c r="AK179" s="244"/>
      <c r="AL179" s="244"/>
      <c r="AM179" s="244"/>
      <c r="AN179" s="244"/>
      <c r="AO179" s="244"/>
      <c r="AP179" s="244"/>
      <c r="AQ179" s="244"/>
      <c r="AR179" s="244"/>
      <c r="AS179" s="244"/>
      <c r="AT179" s="244"/>
      <c r="AU179" s="244"/>
      <c r="AV179" s="161"/>
      <c r="AW179" s="161"/>
      <c r="AX179" s="243">
        <v>0</v>
      </c>
      <c r="AY179" s="161"/>
      <c r="AZ179" s="161"/>
      <c r="BA179" s="243">
        <v>0</v>
      </c>
      <c r="BB179" s="212">
        <f t="shared" si="66"/>
        <v>0</v>
      </c>
      <c r="BC179" s="256"/>
      <c r="BD179" s="162" t="e">
        <f t="shared" si="67"/>
        <v>#DIV/0!</v>
      </c>
      <c r="BE179" s="162" t="e">
        <f t="shared" si="68"/>
        <v>#DIV/0!</v>
      </c>
      <c r="BF179" s="243"/>
      <c r="BG179" s="243"/>
      <c r="BH179" s="243"/>
      <c r="BI179" s="257"/>
      <c r="BJ179" s="257"/>
      <c r="BK179" s="243"/>
      <c r="BL179" s="243"/>
      <c r="BM179" s="243"/>
      <c r="BN179" s="243"/>
      <c r="BO179" s="243"/>
      <c r="BP179" s="243"/>
      <c r="BQ179" s="243"/>
      <c r="BR179" s="243"/>
      <c r="BS179" s="243"/>
      <c r="BT179" s="243"/>
      <c r="BU179" s="243"/>
      <c r="BV179" s="243"/>
      <c r="BW179" s="243"/>
      <c r="BX179" s="243"/>
      <c r="BY179" s="243"/>
      <c r="BZ179" s="243"/>
      <c r="CA179" s="243"/>
      <c r="CB179" s="243"/>
      <c r="CC179" s="243"/>
      <c r="CD179" s="243"/>
      <c r="CE179" s="245">
        <v>0</v>
      </c>
      <c r="CF179" s="245">
        <v>0</v>
      </c>
      <c r="CG179" s="245">
        <v>1</v>
      </c>
      <c r="CH179" s="246">
        <v>0</v>
      </c>
      <c r="CI179" s="219" t="e">
        <f t="shared" si="69"/>
        <v>#DIV/0!</v>
      </c>
      <c r="CJ179" s="245">
        <v>1</v>
      </c>
      <c r="CK179" s="246">
        <v>0</v>
      </c>
      <c r="CL179" s="163" t="e">
        <f t="shared" si="70"/>
        <v>#DIV/0!</v>
      </c>
      <c r="CM179" s="245">
        <v>1</v>
      </c>
      <c r="CN179" s="246">
        <v>0</v>
      </c>
      <c r="CO179" s="163" t="e">
        <f t="shared" si="71"/>
        <v>#DIV/0!</v>
      </c>
      <c r="CP179" s="245">
        <v>1</v>
      </c>
      <c r="CQ179" s="246">
        <v>0</v>
      </c>
      <c r="CR179" s="163" t="e">
        <f t="shared" si="72"/>
        <v>#DIV/0!</v>
      </c>
      <c r="CS179" s="207" t="e">
        <f t="shared" si="73"/>
        <v>#DIV/0!</v>
      </c>
      <c r="CT179" s="258"/>
      <c r="CU179" s="258"/>
      <c r="CV179" s="258"/>
      <c r="CW179" s="258"/>
      <c r="CX179" s="258"/>
      <c r="CY179" s="258"/>
      <c r="CZ179" s="258"/>
      <c r="DA179" s="258"/>
      <c r="DB179" s="258"/>
      <c r="DC179" s="258"/>
    </row>
    <row r="180" spans="2:107">
      <c r="B180" s="205">
        <f>ANACO!B176</f>
        <v>0</v>
      </c>
      <c r="C180" s="204"/>
      <c r="D180" s="165"/>
      <c r="E180" s="165"/>
      <c r="F180" s="203"/>
      <c r="G180" s="203"/>
      <c r="H180" s="166"/>
      <c r="I180" s="172"/>
      <c r="J180" s="161"/>
      <c r="K180" s="161">
        <f t="shared" si="65"/>
        <v>0</v>
      </c>
      <c r="L180" s="244">
        <v>0</v>
      </c>
      <c r="M180" s="244"/>
      <c r="N180" s="244"/>
      <c r="O180" s="244"/>
      <c r="P180" s="244"/>
      <c r="Q180" s="244"/>
      <c r="R180" s="244"/>
      <c r="S180" s="244"/>
      <c r="T180" s="244"/>
      <c r="U180" s="244"/>
      <c r="V180" s="244"/>
      <c r="W180" s="244"/>
      <c r="X180" s="244"/>
      <c r="Y180" s="244"/>
      <c r="Z180" s="244"/>
      <c r="AA180" s="244"/>
      <c r="AB180" s="244"/>
      <c r="AC180" s="244"/>
      <c r="AD180" s="244"/>
      <c r="AE180" s="244"/>
      <c r="AF180" s="244"/>
      <c r="AG180" s="244"/>
      <c r="AH180" s="244"/>
      <c r="AI180" s="244"/>
      <c r="AJ180" s="244"/>
      <c r="AK180" s="244"/>
      <c r="AL180" s="244"/>
      <c r="AM180" s="244"/>
      <c r="AN180" s="244"/>
      <c r="AO180" s="244"/>
      <c r="AP180" s="244"/>
      <c r="AQ180" s="244"/>
      <c r="AR180" s="244"/>
      <c r="AS180" s="244"/>
      <c r="AT180" s="244"/>
      <c r="AU180" s="244"/>
      <c r="AV180" s="161"/>
      <c r="AW180" s="161"/>
      <c r="AX180" s="243">
        <v>0</v>
      </c>
      <c r="AY180" s="161"/>
      <c r="AZ180" s="161"/>
      <c r="BA180" s="243">
        <v>0</v>
      </c>
      <c r="BB180" s="212">
        <f t="shared" si="66"/>
        <v>0</v>
      </c>
      <c r="BC180" s="256"/>
      <c r="BD180" s="162" t="e">
        <f t="shared" si="67"/>
        <v>#DIV/0!</v>
      </c>
      <c r="BE180" s="162" t="e">
        <f t="shared" si="68"/>
        <v>#DIV/0!</v>
      </c>
      <c r="BF180" s="243"/>
      <c r="BG180" s="243"/>
      <c r="BH180" s="243"/>
      <c r="BI180" s="257"/>
      <c r="BJ180" s="257"/>
      <c r="BK180" s="243"/>
      <c r="BL180" s="243"/>
      <c r="BM180" s="243"/>
      <c r="BN180" s="243"/>
      <c r="BO180" s="243"/>
      <c r="BP180" s="243"/>
      <c r="BQ180" s="243"/>
      <c r="BR180" s="243"/>
      <c r="BS180" s="243"/>
      <c r="BT180" s="243"/>
      <c r="BU180" s="243"/>
      <c r="BV180" s="243"/>
      <c r="BW180" s="243"/>
      <c r="BX180" s="243"/>
      <c r="BY180" s="243"/>
      <c r="BZ180" s="243"/>
      <c r="CA180" s="243"/>
      <c r="CB180" s="243"/>
      <c r="CC180" s="243"/>
      <c r="CD180" s="243"/>
      <c r="CE180" s="245">
        <v>0</v>
      </c>
      <c r="CF180" s="245">
        <v>0</v>
      </c>
      <c r="CG180" s="245">
        <v>1</v>
      </c>
      <c r="CH180" s="246">
        <v>0</v>
      </c>
      <c r="CI180" s="219" t="e">
        <f t="shared" si="69"/>
        <v>#DIV/0!</v>
      </c>
      <c r="CJ180" s="245">
        <v>1</v>
      </c>
      <c r="CK180" s="246">
        <v>0</v>
      </c>
      <c r="CL180" s="163" t="e">
        <f t="shared" si="70"/>
        <v>#DIV/0!</v>
      </c>
      <c r="CM180" s="245">
        <v>1</v>
      </c>
      <c r="CN180" s="246">
        <v>0</v>
      </c>
      <c r="CO180" s="163" t="e">
        <f t="shared" si="71"/>
        <v>#DIV/0!</v>
      </c>
      <c r="CP180" s="245">
        <v>1</v>
      </c>
      <c r="CQ180" s="246">
        <v>0</v>
      </c>
      <c r="CR180" s="163" t="e">
        <f t="shared" si="72"/>
        <v>#DIV/0!</v>
      </c>
      <c r="CS180" s="207" t="e">
        <f t="shared" si="73"/>
        <v>#DIV/0!</v>
      </c>
      <c r="CT180" s="258"/>
      <c r="CU180" s="258"/>
      <c r="CV180" s="258"/>
      <c r="CW180" s="258"/>
      <c r="CX180" s="258"/>
      <c r="CY180" s="258"/>
      <c r="CZ180" s="258"/>
      <c r="DA180" s="258"/>
      <c r="DB180" s="258"/>
      <c r="DC180" s="258"/>
    </row>
    <row r="181" spans="2:107">
      <c r="B181" s="205">
        <f>ANACO!B177</f>
        <v>0</v>
      </c>
      <c r="C181" s="204"/>
      <c r="D181" s="165"/>
      <c r="E181" s="165"/>
      <c r="F181" s="203"/>
      <c r="G181" s="203"/>
      <c r="H181" s="166"/>
      <c r="I181" s="172"/>
      <c r="J181" s="161"/>
      <c r="K181" s="161">
        <f t="shared" si="65"/>
        <v>0</v>
      </c>
      <c r="L181" s="244">
        <v>0</v>
      </c>
      <c r="M181" s="244"/>
      <c r="N181" s="244"/>
      <c r="O181" s="244"/>
      <c r="P181" s="244"/>
      <c r="Q181" s="244"/>
      <c r="R181" s="244"/>
      <c r="S181" s="244"/>
      <c r="T181" s="244"/>
      <c r="U181" s="244"/>
      <c r="V181" s="244"/>
      <c r="W181" s="244"/>
      <c r="X181" s="244"/>
      <c r="Y181" s="244"/>
      <c r="Z181" s="244"/>
      <c r="AA181" s="244"/>
      <c r="AB181" s="244"/>
      <c r="AC181" s="244"/>
      <c r="AD181" s="244"/>
      <c r="AE181" s="244"/>
      <c r="AF181" s="244"/>
      <c r="AG181" s="244"/>
      <c r="AH181" s="244"/>
      <c r="AI181" s="244"/>
      <c r="AJ181" s="244"/>
      <c r="AK181" s="244"/>
      <c r="AL181" s="244"/>
      <c r="AM181" s="244"/>
      <c r="AN181" s="244"/>
      <c r="AO181" s="244"/>
      <c r="AP181" s="244"/>
      <c r="AQ181" s="244"/>
      <c r="AR181" s="244"/>
      <c r="AS181" s="244"/>
      <c r="AT181" s="244"/>
      <c r="AU181" s="244"/>
      <c r="AV181" s="161"/>
      <c r="AW181" s="161"/>
      <c r="AX181" s="243">
        <v>0</v>
      </c>
      <c r="AY181" s="161"/>
      <c r="AZ181" s="161"/>
      <c r="BA181" s="243">
        <v>0</v>
      </c>
      <c r="BB181" s="212">
        <f t="shared" si="66"/>
        <v>0</v>
      </c>
      <c r="BC181" s="256"/>
      <c r="BD181" s="162" t="e">
        <f t="shared" si="67"/>
        <v>#DIV/0!</v>
      </c>
      <c r="BE181" s="162" t="e">
        <f t="shared" si="68"/>
        <v>#DIV/0!</v>
      </c>
      <c r="BF181" s="243"/>
      <c r="BG181" s="243"/>
      <c r="BH181" s="243"/>
      <c r="BI181" s="257"/>
      <c r="BJ181" s="257"/>
      <c r="BK181" s="243"/>
      <c r="BL181" s="243"/>
      <c r="BM181" s="243"/>
      <c r="BN181" s="243"/>
      <c r="BO181" s="243"/>
      <c r="BP181" s="243"/>
      <c r="BQ181" s="243"/>
      <c r="BR181" s="243"/>
      <c r="BS181" s="243"/>
      <c r="BT181" s="243"/>
      <c r="BU181" s="243"/>
      <c r="BV181" s="243"/>
      <c r="BW181" s="243"/>
      <c r="BX181" s="243"/>
      <c r="BY181" s="243"/>
      <c r="BZ181" s="243"/>
      <c r="CA181" s="243"/>
      <c r="CB181" s="243"/>
      <c r="CC181" s="243"/>
      <c r="CD181" s="243"/>
      <c r="CE181" s="245">
        <v>0</v>
      </c>
      <c r="CF181" s="245">
        <v>0</v>
      </c>
      <c r="CG181" s="245">
        <v>1</v>
      </c>
      <c r="CH181" s="246">
        <v>0</v>
      </c>
      <c r="CI181" s="219" t="e">
        <f t="shared" si="69"/>
        <v>#DIV/0!</v>
      </c>
      <c r="CJ181" s="245">
        <v>1</v>
      </c>
      <c r="CK181" s="246">
        <v>0</v>
      </c>
      <c r="CL181" s="163" t="e">
        <f t="shared" si="70"/>
        <v>#DIV/0!</v>
      </c>
      <c r="CM181" s="245">
        <v>1</v>
      </c>
      <c r="CN181" s="246">
        <v>0</v>
      </c>
      <c r="CO181" s="163" t="e">
        <f t="shared" si="71"/>
        <v>#DIV/0!</v>
      </c>
      <c r="CP181" s="245">
        <v>1</v>
      </c>
      <c r="CQ181" s="246">
        <v>0</v>
      </c>
      <c r="CR181" s="163" t="e">
        <f t="shared" si="72"/>
        <v>#DIV/0!</v>
      </c>
      <c r="CS181" s="207" t="e">
        <f t="shared" si="73"/>
        <v>#DIV/0!</v>
      </c>
      <c r="CT181" s="258"/>
      <c r="CU181" s="258"/>
      <c r="CV181" s="258"/>
      <c r="CW181" s="258"/>
      <c r="CX181" s="258"/>
      <c r="CY181" s="258"/>
      <c r="CZ181" s="258"/>
      <c r="DA181" s="258"/>
      <c r="DB181" s="258"/>
      <c r="DC181" s="258"/>
    </row>
    <row r="182" spans="2:107">
      <c r="B182" s="205">
        <f>ANACO!B178</f>
        <v>0</v>
      </c>
      <c r="C182" s="204"/>
      <c r="D182" s="165"/>
      <c r="E182" s="165"/>
      <c r="F182" s="203"/>
      <c r="G182" s="203"/>
      <c r="H182" s="166"/>
      <c r="I182" s="172"/>
      <c r="J182" s="161"/>
      <c r="K182" s="161">
        <f t="shared" si="65"/>
        <v>0</v>
      </c>
      <c r="L182" s="244">
        <v>0</v>
      </c>
      <c r="M182" s="244"/>
      <c r="N182" s="244"/>
      <c r="O182" s="244"/>
      <c r="P182" s="244"/>
      <c r="Q182" s="244"/>
      <c r="R182" s="244"/>
      <c r="S182" s="244"/>
      <c r="T182" s="244"/>
      <c r="U182" s="244"/>
      <c r="V182" s="244"/>
      <c r="W182" s="244"/>
      <c r="X182" s="244"/>
      <c r="Y182" s="244"/>
      <c r="Z182" s="244"/>
      <c r="AA182" s="244"/>
      <c r="AB182" s="244"/>
      <c r="AC182" s="244"/>
      <c r="AD182" s="244"/>
      <c r="AE182" s="244"/>
      <c r="AF182" s="244"/>
      <c r="AG182" s="244"/>
      <c r="AH182" s="244"/>
      <c r="AI182" s="244"/>
      <c r="AJ182" s="244"/>
      <c r="AK182" s="244"/>
      <c r="AL182" s="244"/>
      <c r="AM182" s="244"/>
      <c r="AN182" s="244"/>
      <c r="AO182" s="244"/>
      <c r="AP182" s="244"/>
      <c r="AQ182" s="244"/>
      <c r="AR182" s="244"/>
      <c r="AS182" s="244"/>
      <c r="AT182" s="244"/>
      <c r="AU182" s="244"/>
      <c r="AV182" s="161"/>
      <c r="AW182" s="161"/>
      <c r="AX182" s="243">
        <v>0</v>
      </c>
      <c r="AY182" s="161"/>
      <c r="AZ182" s="161"/>
      <c r="BA182" s="243">
        <v>0</v>
      </c>
      <c r="BB182" s="212">
        <f t="shared" si="66"/>
        <v>0</v>
      </c>
      <c r="BC182" s="256"/>
      <c r="BD182" s="162" t="e">
        <f t="shared" si="67"/>
        <v>#DIV/0!</v>
      </c>
      <c r="BE182" s="162" t="e">
        <f t="shared" si="68"/>
        <v>#DIV/0!</v>
      </c>
      <c r="BF182" s="243"/>
      <c r="BG182" s="243"/>
      <c r="BH182" s="243"/>
      <c r="BI182" s="257"/>
      <c r="BJ182" s="257"/>
      <c r="BK182" s="243"/>
      <c r="BL182" s="243"/>
      <c r="BM182" s="243"/>
      <c r="BN182" s="243"/>
      <c r="BO182" s="243"/>
      <c r="BP182" s="243"/>
      <c r="BQ182" s="243"/>
      <c r="BR182" s="243"/>
      <c r="BS182" s="243"/>
      <c r="BT182" s="243"/>
      <c r="BU182" s="243"/>
      <c r="BV182" s="243"/>
      <c r="BW182" s="243"/>
      <c r="BX182" s="243"/>
      <c r="BY182" s="243"/>
      <c r="BZ182" s="243"/>
      <c r="CA182" s="243"/>
      <c r="CB182" s="243"/>
      <c r="CC182" s="243"/>
      <c r="CD182" s="243"/>
      <c r="CE182" s="245">
        <v>0</v>
      </c>
      <c r="CF182" s="245">
        <v>0</v>
      </c>
      <c r="CG182" s="245">
        <v>1</v>
      </c>
      <c r="CH182" s="246">
        <v>0</v>
      </c>
      <c r="CI182" s="219" t="e">
        <f t="shared" si="69"/>
        <v>#DIV/0!</v>
      </c>
      <c r="CJ182" s="245">
        <v>1</v>
      </c>
      <c r="CK182" s="246">
        <v>0</v>
      </c>
      <c r="CL182" s="163" t="e">
        <f t="shared" si="70"/>
        <v>#DIV/0!</v>
      </c>
      <c r="CM182" s="245">
        <v>1</v>
      </c>
      <c r="CN182" s="246">
        <v>0</v>
      </c>
      <c r="CO182" s="163" t="e">
        <f t="shared" si="71"/>
        <v>#DIV/0!</v>
      </c>
      <c r="CP182" s="245">
        <v>1</v>
      </c>
      <c r="CQ182" s="246">
        <v>0</v>
      </c>
      <c r="CR182" s="163" t="e">
        <f t="shared" si="72"/>
        <v>#DIV/0!</v>
      </c>
      <c r="CS182" s="207" t="e">
        <f t="shared" si="73"/>
        <v>#DIV/0!</v>
      </c>
      <c r="CT182" s="258"/>
      <c r="CU182" s="258"/>
      <c r="CV182" s="258"/>
      <c r="CW182" s="258"/>
      <c r="CX182" s="258"/>
      <c r="CY182" s="258"/>
      <c r="CZ182" s="258"/>
      <c r="DA182" s="258"/>
      <c r="DB182" s="258"/>
      <c r="DC182" s="258"/>
    </row>
    <row r="183" spans="2:107" s="260" customFormat="1">
      <c r="B183" s="261"/>
      <c r="C183" s="262" t="s">
        <v>353</v>
      </c>
      <c r="D183" s="263">
        <f>SUM(D145:D182)</f>
        <v>0</v>
      </c>
      <c r="E183" s="261"/>
      <c r="F183" s="264"/>
      <c r="G183" s="265">
        <f>SUM(G165:G182)</f>
        <v>0</v>
      </c>
      <c r="H183" s="265"/>
      <c r="I183" s="265">
        <f t="shared" ref="I183" si="74">SUM(I165:I182)</f>
        <v>0</v>
      </c>
      <c r="J183" s="265"/>
      <c r="K183" s="265">
        <f t="shared" ref="K183" si="75">SUM(K165:K182)</f>
        <v>0</v>
      </c>
      <c r="L183" s="265">
        <f t="shared" ref="L183" si="76">SUM(L165:L182)</f>
        <v>0</v>
      </c>
      <c r="M183" s="265">
        <f t="shared" ref="M183" si="77">SUM(M165:M182)</f>
        <v>0</v>
      </c>
      <c r="N183" s="265">
        <f t="shared" ref="N183" si="78">SUM(N165:N182)</f>
        <v>0</v>
      </c>
      <c r="O183" s="265">
        <f t="shared" ref="O183" si="79">SUM(O165:O182)</f>
        <v>0</v>
      </c>
      <c r="P183" s="265">
        <f t="shared" ref="P183" si="80">SUM(P165:P182)</f>
        <v>0</v>
      </c>
      <c r="Q183" s="265">
        <f t="shared" ref="Q183" si="81">SUM(Q165:Q182)</f>
        <v>0</v>
      </c>
      <c r="R183" s="265">
        <f t="shared" ref="R183" si="82">SUM(R165:R182)</f>
        <v>0</v>
      </c>
      <c r="S183" s="265">
        <f t="shared" ref="S183" si="83">SUM(S165:S182)</f>
        <v>0</v>
      </c>
      <c r="T183" s="265">
        <f t="shared" ref="T183" si="84">SUM(T165:T182)</f>
        <v>0</v>
      </c>
      <c r="U183" s="265">
        <f t="shared" ref="U183" si="85">SUM(U165:U182)</f>
        <v>0</v>
      </c>
      <c r="V183" s="265">
        <f t="shared" ref="V183" si="86">SUM(V165:V182)</f>
        <v>0</v>
      </c>
      <c r="W183" s="265">
        <f t="shared" ref="W183" si="87">SUM(W165:W182)</f>
        <v>0</v>
      </c>
      <c r="X183" s="265">
        <f t="shared" ref="X183" si="88">SUM(X165:X182)</f>
        <v>0</v>
      </c>
      <c r="Y183" s="265">
        <f t="shared" ref="Y183" si="89">SUM(Y165:Y182)</f>
        <v>0</v>
      </c>
      <c r="Z183" s="265">
        <f t="shared" ref="Z183" si="90">SUM(Z165:Z182)</f>
        <v>0</v>
      </c>
      <c r="AA183" s="265">
        <f t="shared" ref="AA183" si="91">SUM(AA165:AA182)</f>
        <v>0</v>
      </c>
      <c r="AB183" s="265">
        <f t="shared" ref="AB183" si="92">SUM(AB165:AB182)</f>
        <v>0</v>
      </c>
      <c r="AC183" s="265">
        <f t="shared" ref="AC183" si="93">SUM(AC165:AC182)</f>
        <v>0</v>
      </c>
      <c r="AD183" s="265">
        <f t="shared" ref="AD183" si="94">SUM(AD165:AD182)</f>
        <v>0</v>
      </c>
      <c r="AE183" s="265">
        <f t="shared" ref="AE183" si="95">SUM(AE165:AE182)</f>
        <v>0</v>
      </c>
      <c r="AF183" s="265">
        <f t="shared" ref="AF183" si="96">SUM(AF165:AF182)</f>
        <v>0</v>
      </c>
      <c r="AG183" s="265">
        <f t="shared" ref="AG183" si="97">SUM(AG165:AG182)</f>
        <v>0</v>
      </c>
      <c r="AH183" s="265">
        <f t="shared" ref="AH183" si="98">SUM(AH165:AH182)</f>
        <v>0</v>
      </c>
      <c r="AI183" s="265">
        <f t="shared" ref="AI183" si="99">SUM(AI165:AI182)</f>
        <v>0</v>
      </c>
      <c r="AJ183" s="265">
        <f t="shared" ref="AJ183" si="100">SUM(AJ165:AJ182)</f>
        <v>0</v>
      </c>
      <c r="AK183" s="265">
        <f t="shared" ref="AK183" si="101">SUM(AK165:AK182)</f>
        <v>0</v>
      </c>
      <c r="AL183" s="265">
        <f t="shared" ref="AL183" si="102">SUM(AL165:AL182)</f>
        <v>0</v>
      </c>
      <c r="AM183" s="265">
        <f t="shared" ref="AM183" si="103">SUM(AM165:AM182)</f>
        <v>0</v>
      </c>
      <c r="AN183" s="265">
        <f t="shared" ref="AN183" si="104">SUM(AN165:AN182)</f>
        <v>0</v>
      </c>
      <c r="AO183" s="265">
        <f t="shared" ref="AO183" si="105">SUM(AO165:AO182)</f>
        <v>0</v>
      </c>
      <c r="AP183" s="265">
        <f t="shared" ref="AP183" si="106">SUM(AP165:AP182)</f>
        <v>0</v>
      </c>
      <c r="AQ183" s="265">
        <f t="shared" ref="AQ183" si="107">SUM(AQ165:AQ182)</f>
        <v>0</v>
      </c>
      <c r="AR183" s="265">
        <f t="shared" ref="AR183" si="108">SUM(AR165:AR182)</f>
        <v>0</v>
      </c>
      <c r="AS183" s="265">
        <f t="shared" ref="AS183" si="109">SUM(AS165:AS182)</f>
        <v>0</v>
      </c>
      <c r="AT183" s="265">
        <f t="shared" ref="AT183" si="110">SUM(AT165:AT182)</f>
        <v>0</v>
      </c>
      <c r="AU183" s="265">
        <f t="shared" ref="AU183" si="111">SUM(AU165:AU182)</f>
        <v>0</v>
      </c>
      <c r="AV183" s="265"/>
      <c r="AW183" s="265"/>
      <c r="AX183" s="265">
        <f t="shared" ref="AX183" si="112">SUM(AX165:AX182)</f>
        <v>0</v>
      </c>
      <c r="AY183" s="265"/>
      <c r="AZ183" s="265"/>
      <c r="BA183" s="265">
        <f t="shared" ref="BA183" si="113">SUM(BA165:BA182)</f>
        <v>0</v>
      </c>
      <c r="BB183" s="265">
        <f t="shared" ref="BB183" si="114">SUM(BB165:BB182)</f>
        <v>0</v>
      </c>
      <c r="BC183" s="265"/>
      <c r="BD183" s="265"/>
      <c r="BE183" s="265" t="e">
        <f t="shared" ref="BE183" si="115">SUM(BE165:BE182)</f>
        <v>#DIV/0!</v>
      </c>
      <c r="BF183" s="261"/>
      <c r="BG183" s="261"/>
      <c r="BH183" s="261"/>
      <c r="BI183" s="261"/>
      <c r="BJ183" s="272"/>
      <c r="BK183" s="272"/>
      <c r="BL183" s="272"/>
      <c r="BM183" s="272"/>
      <c r="BN183" s="272"/>
      <c r="BO183" s="272"/>
      <c r="BP183" s="272"/>
      <c r="BQ183" s="272"/>
      <c r="BR183" s="272"/>
      <c r="BS183" s="272"/>
      <c r="BT183" s="272"/>
      <c r="BU183" s="272"/>
      <c r="BV183" s="272"/>
      <c r="BW183" s="272"/>
      <c r="BX183" s="272"/>
      <c r="BY183" s="272"/>
      <c r="BZ183" s="272"/>
      <c r="CA183" s="272"/>
      <c r="CB183" s="272"/>
      <c r="CC183" s="272"/>
      <c r="CD183" s="272"/>
      <c r="CE183" s="266"/>
      <c r="CF183" s="261"/>
      <c r="CG183" s="261"/>
      <c r="CH183" s="261"/>
      <c r="CI183" s="261" t="e">
        <f>SUM(CI165:CI182)</f>
        <v>#DIV/0!</v>
      </c>
      <c r="CJ183" s="261"/>
      <c r="CK183" s="261"/>
      <c r="CL183" s="261" t="e">
        <f t="shared" ref="CL183:CR183" si="116">SUM(CL165:CL182)</f>
        <v>#DIV/0!</v>
      </c>
      <c r="CM183" s="261"/>
      <c r="CN183" s="261"/>
      <c r="CO183" s="261" t="e">
        <f t="shared" si="116"/>
        <v>#DIV/0!</v>
      </c>
      <c r="CP183" s="261"/>
      <c r="CQ183" s="261"/>
      <c r="CR183" s="261" t="e">
        <f t="shared" si="116"/>
        <v>#DIV/0!</v>
      </c>
      <c r="CS183" s="268" t="e">
        <f>SUM(CR183+CO183+CL183+CI183+CF183+CE183)</f>
        <v>#DIV/0!</v>
      </c>
      <c r="CT183" s="269"/>
      <c r="CU183" s="269"/>
      <c r="CV183" s="269"/>
      <c r="CW183" s="269"/>
      <c r="CX183" s="269"/>
      <c r="CY183" s="269"/>
      <c r="CZ183" s="269"/>
      <c r="DA183" s="269"/>
      <c r="DB183" s="269"/>
      <c r="DC183" s="269"/>
    </row>
    <row r="184" spans="2:107">
      <c r="CV184" s="160"/>
      <c r="CW184" s="160"/>
    </row>
  </sheetData>
  <mergeCells count="75">
    <mergeCell ref="BU15:BV15"/>
    <mergeCell ref="BY15:BZ15"/>
    <mergeCell ref="BW15:BX15"/>
    <mergeCell ref="CT5:CV5"/>
    <mergeCell ref="B5:B6"/>
    <mergeCell ref="CE5:CF5"/>
    <mergeCell ref="F5:G5"/>
    <mergeCell ref="H5:I5"/>
    <mergeCell ref="BK15:BL15"/>
    <mergeCell ref="BM15:BN15"/>
    <mergeCell ref="BO15:BP15"/>
    <mergeCell ref="BQ15:BR15"/>
    <mergeCell ref="BS15:BT15"/>
    <mergeCell ref="BF13:BI13"/>
    <mergeCell ref="L13:BE13"/>
    <mergeCell ref="BK13:CB13"/>
    <mergeCell ref="AR14:AU14"/>
    <mergeCell ref="L14:O14"/>
    <mergeCell ref="P14:S14"/>
    <mergeCell ref="T14:W14"/>
    <mergeCell ref="AB14:AE14"/>
    <mergeCell ref="X14:AA14"/>
    <mergeCell ref="AF14:AI14"/>
    <mergeCell ref="AJ14:AM14"/>
    <mergeCell ref="AN14:AQ14"/>
    <mergeCell ref="L8:BE8"/>
    <mergeCell ref="BF8:BI8"/>
    <mergeCell ref="BK8:CB8"/>
    <mergeCell ref="CC8:CD8"/>
    <mergeCell ref="L9:O9"/>
    <mergeCell ref="P9:S9"/>
    <mergeCell ref="T9:W9"/>
    <mergeCell ref="BU10:BV10"/>
    <mergeCell ref="X9:AA9"/>
    <mergeCell ref="AB9:AE9"/>
    <mergeCell ref="AF9:AI9"/>
    <mergeCell ref="AJ9:AM9"/>
    <mergeCell ref="AN9:AQ9"/>
    <mergeCell ref="AR9:AU9"/>
    <mergeCell ref="BK10:BL10"/>
    <mergeCell ref="BM10:BN10"/>
    <mergeCell ref="BO10:BP10"/>
    <mergeCell ref="BQ10:BR10"/>
    <mergeCell ref="BS10:BT10"/>
    <mergeCell ref="BW10:BX10"/>
    <mergeCell ref="BY10:BZ10"/>
    <mergeCell ref="CA10:CB10"/>
    <mergeCell ref="CT10:DC10"/>
    <mergeCell ref="CT15:DC15"/>
    <mergeCell ref="CA15:CB15"/>
    <mergeCell ref="CC13:CD13"/>
    <mergeCell ref="BK162:CB162"/>
    <mergeCell ref="CC162:CD162"/>
    <mergeCell ref="L163:O163"/>
    <mergeCell ref="P163:S163"/>
    <mergeCell ref="T163:W163"/>
    <mergeCell ref="X163:AA163"/>
    <mergeCell ref="AB163:AE163"/>
    <mergeCell ref="AF163:AI163"/>
    <mergeCell ref="CT164:DC164"/>
    <mergeCell ref="B162:I162"/>
    <mergeCell ref="BQ164:BR164"/>
    <mergeCell ref="BS164:BT164"/>
    <mergeCell ref="BU164:BV164"/>
    <mergeCell ref="BW164:BX164"/>
    <mergeCell ref="BY164:BZ164"/>
    <mergeCell ref="CA164:CB164"/>
    <mergeCell ref="AJ163:AM163"/>
    <mergeCell ref="AN163:AQ163"/>
    <mergeCell ref="AR163:AU163"/>
    <mergeCell ref="BK164:BL164"/>
    <mergeCell ref="BM164:BN164"/>
    <mergeCell ref="BO164:BP164"/>
    <mergeCell ref="L162:BE162"/>
    <mergeCell ref="BF162:BI162"/>
  </mergeCells>
  <phoneticPr fontId="4" type="noConversion"/>
  <printOptions horizontalCentered="1" verticalCentered="1"/>
  <pageMargins left="0.25" right="0.25" top="0.75" bottom="0.75" header="0.3" footer="0.3"/>
  <pageSetup paperSize="8" scale="48" fitToHeight="0" orientation="landscape" r:id="rId1"/>
  <headerFooter>
    <oddHeader>&amp;L&amp;B Riservato&amp;B&amp;C&amp;D&amp;RPagina &amp;P</oddHeader>
    <oddFooter>&amp;F</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0BA801-C894-4661-BAA7-0D01F3C02496}">
  <dimension ref="B1:S57"/>
  <sheetViews>
    <sheetView topLeftCell="A29" workbookViewId="0">
      <selection activeCell="K27" sqref="K27"/>
    </sheetView>
  </sheetViews>
  <sheetFormatPr defaultColWidth="9.140625" defaultRowHeight="13.15"/>
  <cols>
    <col min="1" max="1" width="1.85546875" style="283" customWidth="1"/>
    <col min="2" max="2" width="9.140625" style="283"/>
    <col min="3" max="3" width="12.28515625" style="283" customWidth="1"/>
    <col min="4" max="4" width="14.7109375" style="283" customWidth="1"/>
    <col min="5" max="5" width="9.7109375" style="283" hidden="1" customWidth="1"/>
    <col min="6" max="7" width="9.140625" style="283"/>
    <col min="8" max="8" width="16.42578125" style="283" customWidth="1"/>
    <col min="9" max="9" width="14.7109375" style="283" customWidth="1"/>
    <col min="10" max="10" width="13.42578125" style="283" customWidth="1"/>
    <col min="11" max="11" width="26.7109375" style="283" customWidth="1"/>
    <col min="12" max="12" width="9.140625" style="283"/>
    <col min="13" max="13" width="18.28515625" style="283" hidden="1" customWidth="1"/>
    <col min="14" max="14" width="0" style="283" hidden="1" customWidth="1"/>
    <col min="15" max="15" width="13.140625" style="283" hidden="1" customWidth="1"/>
    <col min="16" max="16" width="0" style="283" hidden="1" customWidth="1"/>
    <col min="17" max="17" width="12" style="283" hidden="1" customWidth="1"/>
    <col min="18" max="18" width="0" style="283" hidden="1" customWidth="1"/>
    <col min="19" max="19" width="13.85546875" style="283" hidden="1" customWidth="1"/>
    <col min="20" max="16384" width="9.140625" style="283"/>
  </cols>
  <sheetData>
    <row r="1" spans="2:19" ht="23.25" customHeight="1" thickBot="1"/>
    <row r="2" spans="2:19" ht="42" customHeight="1">
      <c r="B2" s="900" t="s">
        <v>408</v>
      </c>
      <c r="C2" s="891" t="s">
        <v>409</v>
      </c>
      <c r="D2" s="892"/>
      <c r="E2" s="892"/>
      <c r="F2" s="893"/>
      <c r="G2" s="889" t="s">
        <v>315</v>
      </c>
      <c r="H2" s="890"/>
      <c r="I2" s="889" t="s">
        <v>311</v>
      </c>
      <c r="J2" s="890"/>
      <c r="K2" s="397" t="s">
        <v>410</v>
      </c>
    </row>
    <row r="3" spans="2:19" ht="35.25" customHeight="1">
      <c r="B3" s="901"/>
      <c r="C3" s="894"/>
      <c r="D3" s="895"/>
      <c r="E3" s="895"/>
      <c r="F3" s="896"/>
      <c r="G3" s="907" t="str">
        <f>ANACO!C5</f>
        <v>P1002_25_CON_REV03_P1 E EI ALLUMINIO</v>
      </c>
      <c r="H3" s="908"/>
      <c r="I3" s="911" t="str">
        <f>ANACO!C7</f>
        <v>VASTINT ITALY s.r.l.</v>
      </c>
      <c r="J3" s="912"/>
      <c r="K3" s="866" t="str">
        <f>ANACO!C8</f>
        <v>Mr.Marco Mor/Ing. Esposito</v>
      </c>
      <c r="L3" s="285"/>
    </row>
    <row r="4" spans="2:19" ht="19.5" customHeight="1" thickBot="1">
      <c r="B4" s="902"/>
      <c r="C4" s="897"/>
      <c r="D4" s="898"/>
      <c r="E4" s="898"/>
      <c r="F4" s="899"/>
      <c r="G4" s="909"/>
      <c r="H4" s="910"/>
      <c r="I4" s="913"/>
      <c r="J4" s="914"/>
      <c r="K4" s="867"/>
    </row>
    <row r="5" spans="2:19">
      <c r="B5" s="286"/>
      <c r="C5" s="287"/>
      <c r="D5" s="287"/>
      <c r="E5" s="287"/>
      <c r="F5" s="287"/>
      <c r="G5" s="287"/>
      <c r="H5" s="287"/>
      <c r="I5" s="287"/>
      <c r="J5" s="287"/>
      <c r="K5" s="284"/>
    </row>
    <row r="6" spans="2:19" ht="26.25" customHeight="1">
      <c r="B6" s="868" t="s">
        <v>411</v>
      </c>
      <c r="C6" s="869"/>
      <c r="D6" s="870"/>
      <c r="E6" s="381"/>
      <c r="F6" s="905" t="s">
        <v>412</v>
      </c>
      <c r="G6" s="905"/>
      <c r="H6" s="905"/>
      <c r="I6" s="965" t="s">
        <v>413</v>
      </c>
      <c r="J6" s="965"/>
      <c r="K6" s="959" t="s">
        <v>414</v>
      </c>
    </row>
    <row r="7" spans="2:19" ht="27.75" customHeight="1">
      <c r="B7" s="868" t="s">
        <v>415</v>
      </c>
      <c r="C7" s="869"/>
      <c r="D7" s="870"/>
      <c r="E7" s="380"/>
      <c r="F7" s="906">
        <v>1</v>
      </c>
      <c r="G7" s="906"/>
      <c r="H7" s="906"/>
      <c r="I7" s="965"/>
      <c r="J7" s="965"/>
      <c r="K7" s="959"/>
      <c r="M7" s="288" t="s">
        <v>416</v>
      </c>
      <c r="N7" s="960" t="e">
        <f>'Voci Contrattuali_SAL'!I160</f>
        <v>#REF!</v>
      </c>
      <c r="O7" s="961"/>
      <c r="P7" s="289"/>
      <c r="Q7" s="290">
        <v>72704</v>
      </c>
      <c r="S7" s="291" t="e">
        <f>SUM(Q7/N7)</f>
        <v>#REF!</v>
      </c>
    </row>
    <row r="8" spans="2:19">
      <c r="B8" s="292"/>
      <c r="C8" s="293"/>
      <c r="D8" s="293"/>
      <c r="E8" s="293"/>
      <c r="F8" s="293"/>
      <c r="G8" s="293"/>
      <c r="H8" s="293"/>
      <c r="I8" s="293"/>
      <c r="J8" s="293"/>
      <c r="K8" s="294"/>
      <c r="M8" s="295" t="s">
        <v>417</v>
      </c>
      <c r="N8" s="962">
        <v>0</v>
      </c>
      <c r="O8" s="920"/>
      <c r="P8" s="289"/>
    </row>
    <row r="9" spans="2:19" ht="18" customHeight="1">
      <c r="B9" s="880" t="s">
        <v>418</v>
      </c>
      <c r="C9" s="881"/>
      <c r="D9" s="881"/>
      <c r="E9" s="882"/>
      <c r="F9" s="871" t="s">
        <v>419</v>
      </c>
      <c r="G9" s="872"/>
      <c r="H9" s="872"/>
      <c r="I9" s="872"/>
      <c r="J9" s="872"/>
      <c r="K9" s="873"/>
      <c r="M9" s="296"/>
      <c r="N9" s="963"/>
      <c r="O9" s="964"/>
      <c r="P9" s="289"/>
    </row>
    <row r="10" spans="2:19" ht="22.5" customHeight="1">
      <c r="B10" s="883"/>
      <c r="C10" s="884"/>
      <c r="D10" s="884"/>
      <c r="E10" s="885"/>
      <c r="F10" s="874"/>
      <c r="G10" s="875"/>
      <c r="H10" s="875"/>
      <c r="I10" s="875"/>
      <c r="J10" s="875"/>
      <c r="K10" s="876"/>
      <c r="M10" s="296" t="s">
        <v>420</v>
      </c>
      <c r="N10" s="963" t="e">
        <f>SUM(N7:O9)</f>
        <v>#REF!</v>
      </c>
      <c r="O10" s="964"/>
      <c r="P10" s="289"/>
    </row>
    <row r="11" spans="2:19" ht="18.75" customHeight="1" thickBot="1">
      <c r="B11" s="886"/>
      <c r="C11" s="887"/>
      <c r="D11" s="887"/>
      <c r="E11" s="888"/>
      <c r="F11" s="877"/>
      <c r="G11" s="878"/>
      <c r="H11" s="878"/>
      <c r="I11" s="878"/>
      <c r="J11" s="878"/>
      <c r="K11" s="879"/>
    </row>
    <row r="12" spans="2:19" ht="22.5" customHeight="1">
      <c r="B12" s="297" t="s">
        <v>421</v>
      </c>
      <c r="C12" s="298" t="s">
        <v>195</v>
      </c>
      <c r="D12" s="299" t="s">
        <v>286</v>
      </c>
      <c r="E12" s="300" t="s">
        <v>422</v>
      </c>
      <c r="F12" s="641"/>
      <c r="G12" s="301"/>
      <c r="H12" s="302"/>
      <c r="I12" s="303"/>
      <c r="J12" s="304"/>
      <c r="K12" s="305"/>
    </row>
    <row r="13" spans="2:19">
      <c r="B13" s="306"/>
      <c r="C13" s="307"/>
      <c r="D13" s="308"/>
      <c r="E13" s="309" t="s">
        <v>423</v>
      </c>
      <c r="F13" s="966" t="s">
        <v>424</v>
      </c>
      <c r="G13" s="967"/>
      <c r="H13" s="968"/>
      <c r="I13" s="310"/>
      <c r="J13" s="311"/>
      <c r="K13" s="312"/>
    </row>
    <row r="14" spans="2:19">
      <c r="B14" s="382">
        <v>1</v>
      </c>
      <c r="C14" s="383"/>
      <c r="D14" s="384"/>
      <c r="E14" s="313" t="e">
        <f>D14/N10</f>
        <v>#REF!</v>
      </c>
      <c r="F14" s="969"/>
      <c r="G14" s="970"/>
      <c r="H14" s="971"/>
      <c r="I14" s="314"/>
      <c r="J14" s="315"/>
      <c r="K14" s="390">
        <v>0</v>
      </c>
    </row>
    <row r="15" spans="2:19">
      <c r="B15" s="382"/>
      <c r="C15" s="383"/>
      <c r="D15" s="385"/>
      <c r="E15" s="313"/>
      <c r="F15" s="947" t="s">
        <v>425</v>
      </c>
      <c r="G15" s="948"/>
      <c r="H15" s="949"/>
      <c r="I15" s="316"/>
      <c r="J15" s="317"/>
      <c r="K15" s="318"/>
    </row>
    <row r="16" spans="2:19">
      <c r="B16" s="382"/>
      <c r="C16" s="383"/>
      <c r="D16" s="385"/>
      <c r="E16" s="313"/>
      <c r="F16" s="953"/>
      <c r="G16" s="954"/>
      <c r="H16" s="955"/>
      <c r="I16" s="319"/>
      <c r="K16" s="389">
        <v>0</v>
      </c>
    </row>
    <row r="17" spans="2:15">
      <c r="B17" s="382"/>
      <c r="C17" s="383"/>
      <c r="D17" s="385"/>
      <c r="E17" s="313"/>
      <c r="F17" s="953"/>
      <c r="G17" s="954"/>
      <c r="H17" s="955"/>
      <c r="I17" s="319"/>
      <c r="J17" s="279"/>
      <c r="K17" s="389">
        <v>0</v>
      </c>
    </row>
    <row r="18" spans="2:15">
      <c r="B18" s="382"/>
      <c r="C18" s="383"/>
      <c r="D18" s="385"/>
      <c r="E18" s="313"/>
      <c r="F18" s="956"/>
      <c r="G18" s="957"/>
      <c r="H18" s="958"/>
      <c r="I18" s="321"/>
      <c r="J18" s="315"/>
      <c r="K18" s="389">
        <v>0</v>
      </c>
    </row>
    <row r="19" spans="2:15">
      <c r="B19" s="382"/>
      <c r="C19" s="383"/>
      <c r="D19" s="386"/>
      <c r="E19" s="313"/>
      <c r="F19" s="953"/>
      <c r="G19" s="954"/>
      <c r="H19" s="955"/>
      <c r="I19" s="321"/>
      <c r="J19" s="315"/>
      <c r="K19" s="389">
        <v>0</v>
      </c>
    </row>
    <row r="20" spans="2:15">
      <c r="B20" s="382"/>
      <c r="C20" s="383"/>
      <c r="D20" s="386"/>
      <c r="E20" s="313"/>
      <c r="F20" s="953"/>
      <c r="G20" s="954"/>
      <c r="H20" s="955"/>
      <c r="I20" s="321"/>
      <c r="J20" s="315"/>
      <c r="K20" s="389">
        <v>0</v>
      </c>
    </row>
    <row r="21" spans="2:15">
      <c r="B21" s="382"/>
      <c r="C21" s="383"/>
      <c r="D21" s="386"/>
      <c r="E21" s="313"/>
      <c r="F21" s="953"/>
      <c r="G21" s="954"/>
      <c r="H21" s="955"/>
      <c r="I21" s="323"/>
      <c r="J21" s="315"/>
      <c r="K21" s="389">
        <v>0</v>
      </c>
    </row>
    <row r="22" spans="2:15">
      <c r="B22" s="382"/>
      <c r="C22" s="383"/>
      <c r="D22" s="386"/>
      <c r="E22" s="313"/>
      <c r="F22" s="953"/>
      <c r="G22" s="954"/>
      <c r="H22" s="955"/>
      <c r="I22" s="323"/>
      <c r="J22" s="315"/>
      <c r="K22" s="389">
        <v>0</v>
      </c>
      <c r="O22" s="290"/>
    </row>
    <row r="23" spans="2:15">
      <c r="B23" s="382"/>
      <c r="C23" s="387"/>
      <c r="D23" s="388"/>
      <c r="E23" s="289"/>
      <c r="F23" s="953"/>
      <c r="G23" s="954"/>
      <c r="H23" s="955"/>
      <c r="I23" s="323"/>
      <c r="J23" s="315"/>
      <c r="K23" s="389">
        <v>0</v>
      </c>
    </row>
    <row r="24" spans="2:15">
      <c r="B24" s="382"/>
      <c r="C24" s="387"/>
      <c r="D24" s="388"/>
      <c r="E24" s="289"/>
      <c r="F24" s="918"/>
      <c r="G24" s="919"/>
      <c r="H24" s="920"/>
      <c r="I24" s="323"/>
      <c r="J24" s="315"/>
      <c r="K24" s="389">
        <v>0</v>
      </c>
    </row>
    <row r="25" spans="2:15">
      <c r="B25" s="297"/>
      <c r="C25" s="324"/>
      <c r="D25" s="325"/>
      <c r="E25" s="326"/>
      <c r="F25" s="950" t="s">
        <v>426</v>
      </c>
      <c r="G25" s="951"/>
      <c r="H25" s="952"/>
      <c r="I25" s="327"/>
      <c r="J25" s="328"/>
      <c r="K25" s="329"/>
    </row>
    <row r="26" spans="2:15" ht="23.25" customHeight="1">
      <c r="B26" s="297"/>
      <c r="C26" s="324"/>
      <c r="D26" s="325"/>
      <c r="E26" s="330"/>
      <c r="F26" s="918"/>
      <c r="G26" s="919"/>
      <c r="H26" s="920"/>
      <c r="I26" s="331"/>
      <c r="J26" s="332"/>
      <c r="K26" s="333">
        <f>K14+K16+K17+K18+K19+K20+K21+K21+K21+K21+K22+K23+K24</f>
        <v>0</v>
      </c>
    </row>
    <row r="27" spans="2:15">
      <c r="B27" s="297"/>
      <c r="C27" s="324"/>
      <c r="D27" s="325"/>
      <c r="E27" s="330"/>
      <c r="F27" s="950" t="s">
        <v>427</v>
      </c>
      <c r="G27" s="951"/>
      <c r="H27" s="952"/>
      <c r="I27" s="334" t="s">
        <v>188</v>
      </c>
      <c r="J27" s="317"/>
      <c r="K27" s="329"/>
    </row>
    <row r="28" spans="2:15">
      <c r="B28" s="297"/>
      <c r="C28" s="324"/>
      <c r="D28" s="325"/>
      <c r="E28" s="330"/>
      <c r="F28" s="918"/>
      <c r="G28" s="919"/>
      <c r="H28" s="920"/>
      <c r="I28" s="391"/>
      <c r="J28" s="315"/>
      <c r="K28" s="322">
        <v>0</v>
      </c>
    </row>
    <row r="29" spans="2:15">
      <c r="B29" s="297"/>
      <c r="C29" s="324"/>
      <c r="D29" s="325"/>
      <c r="E29" s="330"/>
      <c r="F29" s="918"/>
      <c r="G29" s="919"/>
      <c r="H29" s="920"/>
      <c r="I29" s="319"/>
      <c r="J29" s="279"/>
      <c r="K29" s="280"/>
    </row>
    <row r="30" spans="2:15">
      <c r="B30" s="297"/>
      <c r="C30" s="324"/>
      <c r="D30" s="325"/>
      <c r="E30" s="330"/>
      <c r="F30" s="950" t="s">
        <v>428</v>
      </c>
      <c r="G30" s="951"/>
      <c r="H30" s="952"/>
      <c r="I30" s="327"/>
      <c r="J30" s="328"/>
      <c r="K30" s="329">
        <f>SUM(K26:K29)</f>
        <v>0</v>
      </c>
    </row>
    <row r="31" spans="2:15">
      <c r="B31" s="297"/>
      <c r="C31" s="324"/>
      <c r="D31" s="325"/>
      <c r="E31" s="330"/>
      <c r="F31" s="335"/>
      <c r="G31" s="336"/>
      <c r="H31" s="337"/>
      <c r="I31" s="323"/>
      <c r="J31" s="315"/>
      <c r="K31" s="322"/>
    </row>
    <row r="32" spans="2:15">
      <c r="B32" s="297"/>
      <c r="C32" s="324"/>
      <c r="D32" s="325"/>
      <c r="E32" s="330"/>
      <c r="F32" s="941" t="s">
        <v>429</v>
      </c>
      <c r="G32" s="942"/>
      <c r="H32" s="943"/>
      <c r="I32" s="338">
        <v>0</v>
      </c>
      <c r="J32" s="315"/>
      <c r="K32" s="322">
        <f>-K30*I32</f>
        <v>0</v>
      </c>
    </row>
    <row r="33" spans="2:11">
      <c r="B33" s="297"/>
      <c r="C33" s="324"/>
      <c r="D33" s="325"/>
      <c r="E33" s="330"/>
      <c r="F33" s="339"/>
      <c r="G33" s="340"/>
      <c r="H33" s="341"/>
      <c r="I33" s="342"/>
      <c r="J33" s="315"/>
      <c r="K33" s="322"/>
    </row>
    <row r="34" spans="2:11">
      <c r="B34" s="297"/>
      <c r="C34" s="324"/>
      <c r="D34" s="325"/>
      <c r="E34" s="330"/>
      <c r="F34" s="918"/>
      <c r="G34" s="919"/>
      <c r="H34" s="920"/>
      <c r="I34" s="343"/>
      <c r="J34" s="344"/>
      <c r="K34" s="322"/>
    </row>
    <row r="35" spans="2:11">
      <c r="B35" s="297"/>
      <c r="C35" s="324"/>
      <c r="D35" s="325"/>
      <c r="E35" s="330"/>
      <c r="F35" s="944"/>
      <c r="G35" s="945"/>
      <c r="H35" s="946"/>
      <c r="I35" s="345"/>
      <c r="J35" s="315"/>
      <c r="K35" s="322"/>
    </row>
    <row r="36" spans="2:11">
      <c r="B36" s="297"/>
      <c r="C36" s="324"/>
      <c r="D36" s="325"/>
      <c r="E36" s="330"/>
      <c r="F36" s="918"/>
      <c r="G36" s="919"/>
      <c r="H36" s="920"/>
      <c r="I36" s="323"/>
      <c r="J36" s="315"/>
      <c r="K36" s="322"/>
    </row>
    <row r="37" spans="2:11">
      <c r="B37" s="297"/>
      <c r="C37" s="324"/>
      <c r="D37" s="325"/>
      <c r="E37" s="289"/>
      <c r="F37" s="346"/>
      <c r="G37" s="317"/>
      <c r="H37" s="347"/>
      <c r="I37" s="316"/>
      <c r="J37" s="281"/>
      <c r="K37" s="282"/>
    </row>
    <row r="38" spans="2:11">
      <c r="B38" s="297"/>
      <c r="C38" s="324"/>
      <c r="D38" s="325"/>
      <c r="E38" s="348" t="s">
        <v>423</v>
      </c>
      <c r="F38" s="947" t="s">
        <v>430</v>
      </c>
      <c r="G38" s="948"/>
      <c r="H38" s="949"/>
      <c r="I38" s="327"/>
      <c r="J38" s="328"/>
      <c r="K38" s="329">
        <f>SUM(K30:K36)</f>
        <v>0</v>
      </c>
    </row>
    <row r="39" spans="2:11">
      <c r="B39" s="297"/>
      <c r="C39" s="324"/>
      <c r="D39" s="325"/>
      <c r="E39" s="289"/>
      <c r="F39" s="918"/>
      <c r="G39" s="919"/>
      <c r="H39" s="920"/>
      <c r="I39" s="319"/>
      <c r="J39" s="315"/>
      <c r="K39" s="322"/>
    </row>
    <row r="40" spans="2:11">
      <c r="B40" s="297"/>
      <c r="C40" s="324"/>
      <c r="D40" s="325"/>
      <c r="E40" s="289"/>
      <c r="F40" s="918"/>
      <c r="G40" s="919"/>
      <c r="H40" s="920"/>
      <c r="I40" s="319"/>
      <c r="J40" s="315"/>
      <c r="K40" s="322"/>
    </row>
    <row r="41" spans="2:11">
      <c r="B41" s="297"/>
      <c r="C41" s="324"/>
      <c r="D41" s="325"/>
      <c r="E41" s="289"/>
      <c r="F41" s="918"/>
      <c r="G41" s="919"/>
      <c r="H41" s="920"/>
      <c r="I41" s="319"/>
      <c r="J41" s="315"/>
      <c r="K41" s="322"/>
    </row>
    <row r="42" spans="2:11">
      <c r="B42" s="297"/>
      <c r="C42" s="324"/>
      <c r="D42" s="325"/>
      <c r="E42" s="289"/>
      <c r="F42" s="918"/>
      <c r="G42" s="919"/>
      <c r="H42" s="920"/>
      <c r="I42" s="319"/>
      <c r="J42" s="315"/>
      <c r="K42" s="322"/>
    </row>
    <row r="43" spans="2:11">
      <c r="B43" s="297"/>
      <c r="C43" s="324"/>
      <c r="D43" s="325"/>
      <c r="E43" s="289"/>
      <c r="F43" s="918"/>
      <c r="G43" s="919"/>
      <c r="H43" s="920"/>
      <c r="I43" s="319"/>
      <c r="J43" s="315"/>
      <c r="K43" s="322"/>
    </row>
    <row r="44" spans="2:11">
      <c r="B44" s="297"/>
      <c r="C44" s="324"/>
      <c r="D44" s="325"/>
      <c r="E44" s="289"/>
      <c r="F44" s="918"/>
      <c r="G44" s="919"/>
      <c r="H44" s="920"/>
      <c r="I44" s="319"/>
      <c r="J44" s="315"/>
      <c r="K44" s="322"/>
    </row>
    <row r="45" spans="2:11">
      <c r="B45" s="297"/>
      <c r="C45" s="324"/>
      <c r="D45" s="325"/>
      <c r="E45" s="289"/>
      <c r="F45" s="918"/>
      <c r="G45" s="919"/>
      <c r="H45" s="920"/>
      <c r="I45" s="319"/>
      <c r="J45" s="315"/>
      <c r="K45" s="322"/>
    </row>
    <row r="46" spans="2:11">
      <c r="B46" s="297"/>
      <c r="C46" s="324"/>
      <c r="D46" s="325"/>
      <c r="E46" s="289"/>
      <c r="F46" s="918"/>
      <c r="G46" s="919"/>
      <c r="H46" s="920"/>
      <c r="I46" s="319"/>
      <c r="J46" s="315"/>
      <c r="K46" s="322"/>
    </row>
    <row r="47" spans="2:11">
      <c r="B47" s="297"/>
      <c r="C47" s="324"/>
      <c r="D47" s="325"/>
      <c r="E47" s="326"/>
      <c r="F47" s="918"/>
      <c r="G47" s="919"/>
      <c r="H47" s="920"/>
      <c r="I47" s="349"/>
      <c r="J47" s="315"/>
      <c r="K47" s="322"/>
    </row>
    <row r="48" spans="2:11">
      <c r="B48" s="297"/>
      <c r="C48" s="324"/>
      <c r="D48" s="325"/>
      <c r="E48" s="289"/>
      <c r="F48" s="918"/>
      <c r="G48" s="919"/>
      <c r="H48" s="920"/>
      <c r="I48" s="319"/>
      <c r="K48" s="280"/>
    </row>
    <row r="49" spans="2:11">
      <c r="B49" s="297"/>
      <c r="C49" s="324"/>
      <c r="D49" s="325"/>
      <c r="E49" s="326"/>
      <c r="F49" s="921" t="str">
        <f>K6</f>
        <v>SAL N° 1</v>
      </c>
      <c r="G49" s="922"/>
      <c r="H49" s="923"/>
      <c r="I49" s="395"/>
      <c r="J49" s="394"/>
      <c r="K49" s="396">
        <f>SUM(K38:K48)</f>
        <v>0</v>
      </c>
    </row>
    <row r="50" spans="2:11" ht="13.5" thickBot="1">
      <c r="B50" s="350"/>
      <c r="C50" s="351"/>
      <c r="D50" s="352"/>
      <c r="E50" s="353"/>
      <c r="F50" s="924"/>
      <c r="G50" s="925"/>
      <c r="H50" s="926"/>
      <c r="I50" s="354"/>
      <c r="J50" s="355"/>
      <c r="K50" s="356"/>
    </row>
    <row r="51" spans="2:11">
      <c r="B51" s="357"/>
      <c r="C51" s="304"/>
      <c r="D51" s="358"/>
      <c r="E51" s="359"/>
      <c r="F51" s="918"/>
      <c r="G51" s="919"/>
      <c r="H51" s="920"/>
      <c r="I51" s="319"/>
      <c r="K51" s="320"/>
    </row>
    <row r="52" spans="2:11" ht="19.5" customHeight="1">
      <c r="B52" s="903" t="s">
        <v>431</v>
      </c>
      <c r="C52" s="904"/>
      <c r="D52" s="360">
        <f>SUM(D14:D50)</f>
        <v>0</v>
      </c>
      <c r="E52" s="361" t="e">
        <f>SUM(E14:E44)</f>
        <v>#REF!</v>
      </c>
      <c r="F52" s="915" t="s">
        <v>432</v>
      </c>
      <c r="G52" s="916"/>
      <c r="H52" s="917"/>
      <c r="I52" s="393"/>
      <c r="J52" s="394"/>
      <c r="K52" s="392">
        <f>SUM(K49:K49)</f>
        <v>0</v>
      </c>
    </row>
    <row r="53" spans="2:11" ht="22.5" customHeight="1">
      <c r="B53" s="292"/>
      <c r="C53" s="362"/>
      <c r="D53" s="363"/>
      <c r="E53" s="364"/>
      <c r="F53" s="292"/>
      <c r="G53" s="293"/>
      <c r="H53" s="365"/>
      <c r="I53" s="366"/>
      <c r="J53" s="367"/>
      <c r="K53" s="368"/>
    </row>
    <row r="54" spans="2:11" ht="26.25" customHeight="1">
      <c r="B54" s="927" t="s">
        <v>433</v>
      </c>
      <c r="C54" s="928"/>
      <c r="D54" s="929" t="s">
        <v>434</v>
      </c>
      <c r="E54" s="930"/>
      <c r="F54" s="931" t="s">
        <v>435</v>
      </c>
      <c r="G54" s="932"/>
      <c r="H54" s="933"/>
      <c r="I54" s="934" t="s">
        <v>436</v>
      </c>
      <c r="J54" s="935"/>
      <c r="K54" s="936"/>
    </row>
    <row r="55" spans="2:11" ht="17.25" customHeight="1">
      <c r="B55" s="357"/>
      <c r="C55" s="369"/>
      <c r="D55" s="304"/>
      <c r="E55" s="304"/>
      <c r="F55" s="357"/>
      <c r="G55" s="304"/>
      <c r="H55" s="369"/>
      <c r="I55" s="330"/>
      <c r="J55" s="370"/>
      <c r="K55" s="371"/>
    </row>
    <row r="56" spans="2:11" ht="29.25" customHeight="1">
      <c r="B56" s="937" t="s">
        <v>437</v>
      </c>
      <c r="C56" s="938"/>
      <c r="D56" s="939" t="s">
        <v>438</v>
      </c>
      <c r="E56" s="940"/>
      <c r="F56" s="357"/>
      <c r="G56" s="372" t="s">
        <v>438</v>
      </c>
      <c r="H56" s="373"/>
      <c r="I56" s="330"/>
      <c r="J56" s="370"/>
      <c r="K56" s="371"/>
    </row>
    <row r="57" spans="2:11" ht="21.75" customHeight="1" thickBot="1">
      <c r="B57" s="374"/>
      <c r="C57" s="375"/>
      <c r="D57" s="376"/>
      <c r="E57" s="376"/>
      <c r="F57" s="374"/>
      <c r="G57" s="376"/>
      <c r="H57" s="375"/>
      <c r="I57" s="377"/>
      <c r="J57" s="378"/>
      <c r="K57" s="379"/>
    </row>
  </sheetData>
  <mergeCells count="63">
    <mergeCell ref="F18:H18"/>
    <mergeCell ref="K6:K7"/>
    <mergeCell ref="N7:O7"/>
    <mergeCell ref="N8:O8"/>
    <mergeCell ref="N9:O9"/>
    <mergeCell ref="N10:O10"/>
    <mergeCell ref="I6:J7"/>
    <mergeCell ref="F13:H13"/>
    <mergeCell ref="F14:H14"/>
    <mergeCell ref="F15:H15"/>
    <mergeCell ref="F16:H16"/>
    <mergeCell ref="F17:H17"/>
    <mergeCell ref="F30:H30"/>
    <mergeCell ref="F19:H19"/>
    <mergeCell ref="F20:H20"/>
    <mergeCell ref="F21:H21"/>
    <mergeCell ref="F22:H22"/>
    <mergeCell ref="F23:H23"/>
    <mergeCell ref="F24:H24"/>
    <mergeCell ref="F25:H25"/>
    <mergeCell ref="F26:H26"/>
    <mergeCell ref="F27:H27"/>
    <mergeCell ref="F28:H28"/>
    <mergeCell ref="F29:H29"/>
    <mergeCell ref="F45:H45"/>
    <mergeCell ref="F32:H32"/>
    <mergeCell ref="F34:H34"/>
    <mergeCell ref="F35:H35"/>
    <mergeCell ref="F36:H36"/>
    <mergeCell ref="F38:H38"/>
    <mergeCell ref="F39:H39"/>
    <mergeCell ref="F40:H40"/>
    <mergeCell ref="F41:H41"/>
    <mergeCell ref="F42:H42"/>
    <mergeCell ref="F43:H43"/>
    <mergeCell ref="F44:H44"/>
    <mergeCell ref="B54:C54"/>
    <mergeCell ref="D54:E54"/>
    <mergeCell ref="F54:H54"/>
    <mergeCell ref="I54:K54"/>
    <mergeCell ref="B56:C56"/>
    <mergeCell ref="D56:E56"/>
    <mergeCell ref="G2:H2"/>
    <mergeCell ref="I2:J2"/>
    <mergeCell ref="C2:F4"/>
    <mergeCell ref="B2:B4"/>
    <mergeCell ref="B52:C52"/>
    <mergeCell ref="F6:H6"/>
    <mergeCell ref="F7:H7"/>
    <mergeCell ref="G3:H4"/>
    <mergeCell ref="I3:J4"/>
    <mergeCell ref="F52:H52"/>
    <mergeCell ref="F46:H46"/>
    <mergeCell ref="F47:H47"/>
    <mergeCell ref="F48:H48"/>
    <mergeCell ref="F49:H49"/>
    <mergeCell ref="F50:H50"/>
    <mergeCell ref="F51:H51"/>
    <mergeCell ref="K3:K4"/>
    <mergeCell ref="B6:D6"/>
    <mergeCell ref="B7:D7"/>
    <mergeCell ref="F9:K11"/>
    <mergeCell ref="B9:E11"/>
  </mergeCells>
  <pageMargins left="0.70866141732283472" right="0.70866141732283472" top="0.74803149606299213" bottom="0.74803149606299213" header="0.31496062992125984" footer="0.31496062992125984"/>
  <pageSetup paperSize="9" scale="65"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C32BEE-8832-4115-BC1A-A0D2602EFF3F}">
  <dimension ref="B1:K37"/>
  <sheetViews>
    <sheetView zoomScale="122" zoomScaleNormal="160" workbookViewId="0">
      <selection activeCell="D28" sqref="D28"/>
    </sheetView>
  </sheetViews>
  <sheetFormatPr defaultColWidth="9.140625" defaultRowHeight="10.5"/>
  <cols>
    <col min="1" max="1" width="2" style="156" customWidth="1"/>
    <col min="2" max="2" width="53.28515625" style="156" bestFit="1" customWidth="1"/>
    <col min="3" max="3" width="21.7109375" style="157" customWidth="1"/>
    <col min="4" max="4" width="10" style="156" bestFit="1" customWidth="1"/>
    <col min="5" max="8" width="9.140625" style="156"/>
    <col min="9" max="9" width="10" style="156" bestFit="1" customWidth="1"/>
    <col min="10" max="16384" width="9.140625" style="156"/>
  </cols>
  <sheetData>
    <row r="1" spans="2:6">
      <c r="F1" s="156" t="s">
        <v>439</v>
      </c>
    </row>
    <row r="2" spans="2:6" ht="10.9" thickBot="1">
      <c r="F2" s="156">
        <v>630</v>
      </c>
    </row>
    <row r="3" spans="2:6">
      <c r="B3" s="655" t="str">
        <f>ANACO!O4</f>
        <v>PRODOTTO ACQUISTATO FINITO LEGNO O LEGNO ALLUMINIO
Scontato
TOTALE</v>
      </c>
      <c r="C3" s="656">
        <f>ANACO!O157</f>
        <v>0</v>
      </c>
      <c r="D3" s="657">
        <f>C3*(1-$C$26)</f>
        <v>0</v>
      </c>
      <c r="E3" s="160">
        <f>D3*F3</f>
        <v>0</v>
      </c>
      <c r="F3" s="156">
        <v>0.95</v>
      </c>
    </row>
    <row r="4" spans="2:6">
      <c r="B4" s="658" t="str">
        <f>ANACO!S4</f>
        <v>ST /LZ - STAFFAME
TOT.</v>
      </c>
      <c r="C4" s="653">
        <f>ANACO!S157</f>
        <v>0</v>
      </c>
      <c r="D4" s="659">
        <f t="shared" ref="D4:D24" si="0">C4*(1-$C$26)</f>
        <v>0</v>
      </c>
      <c r="E4" s="160">
        <f t="shared" ref="E4:E22" si="1">D4*F4</f>
        <v>0</v>
      </c>
      <c r="F4" s="156">
        <v>1</v>
      </c>
    </row>
    <row r="5" spans="2:6">
      <c r="B5" s="658" t="str">
        <f>ANACO!W4</f>
        <v>Accessorio
Maniglie e 
Maniglioni
TOTALE</v>
      </c>
      <c r="C5" s="653">
        <f>ANACO!W157</f>
        <v>51960</v>
      </c>
      <c r="D5" s="659">
        <f t="shared" si="0"/>
        <v>51960</v>
      </c>
      <c r="E5" s="160">
        <f t="shared" si="1"/>
        <v>46764</v>
      </c>
      <c r="F5" s="156">
        <v>0.9</v>
      </c>
    </row>
    <row r="6" spans="2:6">
      <c r="B6" s="658" t="str">
        <f>ANACO!AC4</f>
        <v>LA
TOTALE</v>
      </c>
      <c r="C6" s="653">
        <f>ANACO!AC157</f>
        <v>20324.920000000002</v>
      </c>
      <c r="D6" s="659">
        <f t="shared" si="0"/>
        <v>20324.920000000002</v>
      </c>
      <c r="E6" s="160">
        <f t="shared" si="1"/>
        <v>18698.926400000004</v>
      </c>
      <c r="F6" s="156">
        <v>0.92</v>
      </c>
    </row>
    <row r="7" spans="2:6">
      <c r="B7" s="658" t="str">
        <f>ANACO!AE4</f>
        <v xml:space="preserve">
PACCHETTO DI COIBENTAZIONECOIBENTAZIONE
TOTALE</v>
      </c>
      <c r="C7" s="653">
        <f>ANACO!AE157</f>
        <v>9839.9080000000013</v>
      </c>
      <c r="D7" s="659">
        <f t="shared" si="0"/>
        <v>9839.9080000000013</v>
      </c>
      <c r="E7" s="160">
        <f t="shared" si="1"/>
        <v>9839.9080000000013</v>
      </c>
      <c r="F7" s="156">
        <v>1</v>
      </c>
    </row>
    <row r="8" spans="2:6">
      <c r="B8" s="658" t="str">
        <f>ANACO!AG4</f>
        <v>SISTEMA ALLUMINIO E ACCESSORI DI SISTEMA 
TOTALE</v>
      </c>
      <c r="C8" s="653">
        <f>ANACO!AG157</f>
        <v>85329</v>
      </c>
      <c r="D8" s="659">
        <f t="shared" si="0"/>
        <v>85329</v>
      </c>
      <c r="E8" s="160">
        <f t="shared" si="1"/>
        <v>80209.259999999995</v>
      </c>
      <c r="F8" s="156">
        <v>0.94</v>
      </c>
    </row>
    <row r="9" spans="2:6">
      <c r="B9" s="658" t="str">
        <f>ANACO!AI4</f>
        <v>SISTEMA ACCIAIO E ACCESSORI DI SISTEMA  TOTALE</v>
      </c>
      <c r="C9" s="653">
        <f>ANACO!AI157</f>
        <v>128084.992</v>
      </c>
      <c r="D9" s="659">
        <f t="shared" si="0"/>
        <v>128084.992</v>
      </c>
      <c r="E9" s="160">
        <f t="shared" si="1"/>
        <v>124242.44223999999</v>
      </c>
      <c r="F9" s="156">
        <v>0.97</v>
      </c>
    </row>
    <row r="10" spans="2:6">
      <c r="B10" s="658" t="str">
        <f>ANACO!AK4</f>
        <v>Trasformazione Acciaio
TOTALE</v>
      </c>
      <c r="C10" s="653">
        <f>ANACO!AK157</f>
        <v>106630</v>
      </c>
      <c r="D10" s="659">
        <f t="shared" si="0"/>
        <v>106630</v>
      </c>
      <c r="E10" s="160">
        <f t="shared" si="1"/>
        <v>101298.5</v>
      </c>
      <c r="F10" s="156">
        <v>0.95</v>
      </c>
    </row>
    <row r="11" spans="2:6">
      <c r="B11" s="660" t="str">
        <f>ANACO!AM4</f>
        <v>Automatismo
TOTALE</v>
      </c>
      <c r="C11" s="653">
        <f>ANACO!AM157</f>
        <v>10620</v>
      </c>
      <c r="D11" s="659">
        <f t="shared" si="0"/>
        <v>10620</v>
      </c>
      <c r="E11" s="160">
        <f t="shared" si="1"/>
        <v>10620</v>
      </c>
      <c r="F11" s="156">
        <v>1</v>
      </c>
    </row>
    <row r="12" spans="2:6">
      <c r="B12" s="658" t="str">
        <f>ANACO!AO4</f>
        <v>Vetro
TOTALE.</v>
      </c>
      <c r="C12" s="653">
        <f>ANACO!AO157</f>
        <v>151038.32499999998</v>
      </c>
      <c r="D12" s="659">
        <f t="shared" si="0"/>
        <v>151038.32499999998</v>
      </c>
      <c r="E12" s="160">
        <f t="shared" si="1"/>
        <v>135934.49249999999</v>
      </c>
      <c r="F12" s="156">
        <v>0.9</v>
      </c>
    </row>
    <row r="13" spans="2:6">
      <c r="B13" s="658" t="str">
        <f>ANACO!AQ4</f>
        <v>Pannell
TOTALE</v>
      </c>
      <c r="C13" s="653">
        <f>ANACO!AQ157</f>
        <v>0</v>
      </c>
      <c r="D13" s="659">
        <f t="shared" si="0"/>
        <v>0</v>
      </c>
      <c r="E13" s="160">
        <f t="shared" si="1"/>
        <v>0</v>
      </c>
      <c r="F13" s="156">
        <v>1</v>
      </c>
    </row>
    <row r="14" spans="2:6">
      <c r="B14" s="658" t="str">
        <f>ANACO!AS4</f>
        <v>Controtelaio
TOTALE.</v>
      </c>
      <c r="C14" s="653">
        <f>ANACO!AS157</f>
        <v>32920.300000000003</v>
      </c>
      <c r="D14" s="659">
        <f t="shared" si="0"/>
        <v>32920.300000000003</v>
      </c>
      <c r="E14" s="160">
        <f t="shared" si="1"/>
        <v>31274.285</v>
      </c>
      <c r="F14" s="156">
        <v>0.95</v>
      </c>
    </row>
    <row r="15" spans="2:6">
      <c r="B15" s="658" t="str">
        <f>ANACO!AU4</f>
        <v>Trasformazione
Alluminio
TOTALE.</v>
      </c>
      <c r="C15" s="653">
        <f>ANACO!AU157</f>
        <v>102793.5</v>
      </c>
      <c r="D15" s="659">
        <f t="shared" si="0"/>
        <v>102793.5</v>
      </c>
      <c r="E15" s="160">
        <f t="shared" si="1"/>
        <v>97653.824999999997</v>
      </c>
      <c r="F15" s="156">
        <v>0.95</v>
      </c>
    </row>
    <row r="16" spans="2:6">
      <c r="B16" s="658" t="str">
        <f>ANACO!AW4</f>
        <v>Posa SER e FAC..
TOTALE</v>
      </c>
      <c r="C16" s="653">
        <f>ANACO!AW157</f>
        <v>133583.01</v>
      </c>
      <c r="D16" s="659">
        <f t="shared" si="0"/>
        <v>133583.01</v>
      </c>
      <c r="E16" s="160">
        <f t="shared" si="1"/>
        <v>120224.70900000002</v>
      </c>
      <c r="F16" s="156">
        <v>0.9</v>
      </c>
    </row>
    <row r="17" spans="2:11">
      <c r="B17" s="660" t="str">
        <f>ANACO!AY4</f>
        <v>FW 
FINITA
TOTALE</v>
      </c>
      <c r="C17" s="653">
        <f>ANACO!AY157</f>
        <v>95000</v>
      </c>
      <c r="D17" s="659">
        <f t="shared" si="0"/>
        <v>95000</v>
      </c>
      <c r="E17" s="160">
        <f t="shared" si="1"/>
        <v>90250</v>
      </c>
      <c r="F17" s="156">
        <v>0.95</v>
      </c>
    </row>
    <row r="18" spans="2:11">
      <c r="B18" s="658" t="str">
        <f>ANACO!BA4</f>
        <v>NOLO
TOTALE</v>
      </c>
      <c r="C18" s="653">
        <f>ANACO!BA157</f>
        <v>0</v>
      </c>
      <c r="D18" s="659">
        <f t="shared" si="0"/>
        <v>0</v>
      </c>
      <c r="E18" s="160">
        <f t="shared" si="1"/>
        <v>0</v>
      </c>
      <c r="F18" s="156">
        <v>1</v>
      </c>
    </row>
    <row r="19" spans="2:11">
      <c r="B19" s="658" t="str">
        <f>ANACO!BF4</f>
        <v>Trasporto
e
Imballo
TOT.</v>
      </c>
      <c r="C19" s="653">
        <f>ANACO!BF157</f>
        <v>11137.487460000004</v>
      </c>
      <c r="D19" s="659">
        <f t="shared" si="0"/>
        <v>11137.487460000004</v>
      </c>
      <c r="E19" s="160">
        <f t="shared" si="1"/>
        <v>8909.9899680000035</v>
      </c>
      <c r="F19" s="156">
        <v>0.8</v>
      </c>
    </row>
    <row r="20" spans="2:11">
      <c r="B20" s="658" t="str">
        <f>ANACO!BH4</f>
        <v>sviluppo tecnico e PM
TOTALE.</v>
      </c>
      <c r="C20" s="653">
        <v>45000</v>
      </c>
      <c r="D20" s="659">
        <f t="shared" si="0"/>
        <v>45000</v>
      </c>
      <c r="E20" s="160">
        <f t="shared" si="1"/>
        <v>45000</v>
      </c>
      <c r="F20" s="156">
        <v>1</v>
      </c>
    </row>
    <row r="21" spans="2:11">
      <c r="B21" s="658" t="str">
        <f>ANACO!BJ4</f>
        <v>PRESIDIO
CANTIERE
SITE MNG
NOLI
CANTIERIZZAZIONE TOT.</v>
      </c>
      <c r="C21" s="653">
        <f>ANACO!BJ157</f>
        <v>4640.619775000001</v>
      </c>
      <c r="D21" s="659">
        <f t="shared" si="0"/>
        <v>4640.619775000001</v>
      </c>
      <c r="E21" s="160">
        <f t="shared" si="1"/>
        <v>4640.619775000001</v>
      </c>
      <c r="F21" s="156">
        <v>1</v>
      </c>
    </row>
    <row r="22" spans="2:11">
      <c r="B22" s="658" t="str">
        <f>ANACO!BL4</f>
        <v>EXTRA
TOT.</v>
      </c>
      <c r="C22" s="653">
        <f>ANACO!BL157</f>
        <v>9281.2395500000021</v>
      </c>
      <c r="D22" s="659">
        <f t="shared" si="0"/>
        <v>9281.2395500000021</v>
      </c>
      <c r="E22" s="160">
        <f t="shared" si="1"/>
        <v>9281.2395500000021</v>
      </c>
      <c r="F22" s="156">
        <v>1</v>
      </c>
      <c r="G22" s="207"/>
      <c r="H22" s="207">
        <f t="shared" ref="H22:I22" si="2">SUM(D3:D22)</f>
        <v>998183.30178500002</v>
      </c>
      <c r="I22" s="207">
        <f t="shared" si="2"/>
        <v>934842.19743300008</v>
      </c>
      <c r="J22" s="160">
        <f>H22-I22</f>
        <v>63341.104351999937</v>
      </c>
      <c r="K22" s="160">
        <f>J22+D25</f>
        <v>63341.104351999937</v>
      </c>
    </row>
    <row r="23" spans="2:11">
      <c r="B23" s="658"/>
      <c r="C23" s="653"/>
      <c r="D23" s="659">
        <f t="shared" si="0"/>
        <v>0</v>
      </c>
      <c r="H23" s="156">
        <v>1.22</v>
      </c>
      <c r="I23" s="160">
        <f>I22*H23</f>
        <v>1140507.4808682601</v>
      </c>
    </row>
    <row r="24" spans="2:11">
      <c r="B24" s="658" t="str">
        <f>ANACO!BM3</f>
        <v>COSTI 
INDUSTRIALI DA COSTI MATERIALE</v>
      </c>
      <c r="C24" s="653">
        <f>ANACO!BO157</f>
        <v>0</v>
      </c>
      <c r="D24" s="659">
        <f t="shared" si="0"/>
        <v>0</v>
      </c>
      <c r="I24" s="156">
        <v>0.4</v>
      </c>
      <c r="J24" s="160">
        <f>$I$23*I24</f>
        <v>456202.99234730407</v>
      </c>
    </row>
    <row r="25" spans="2:11">
      <c r="B25" s="661" t="str">
        <f>ANACO!BP3</f>
        <v>MOL SU BASE
COSTI MATERIALE</v>
      </c>
      <c r="C25" s="653"/>
      <c r="D25" s="659"/>
      <c r="I25" s="156">
        <v>0.4</v>
      </c>
      <c r="J25" s="160">
        <f t="shared" ref="J25:J26" si="3">$I$23*I25</f>
        <v>456202.99234730407</v>
      </c>
    </row>
    <row r="26" spans="2:11">
      <c r="B26" s="658" t="s">
        <v>440</v>
      </c>
      <c r="C26" s="654">
        <v>0</v>
      </c>
      <c r="D26" s="662"/>
      <c r="I26" s="156">
        <v>0.2</v>
      </c>
      <c r="J26" s="160">
        <f t="shared" si="3"/>
        <v>228101.49617365203</v>
      </c>
    </row>
    <row r="27" spans="2:11" ht="10.9" thickBot="1">
      <c r="B27" s="663" t="s">
        <v>441</v>
      </c>
      <c r="C27" s="664">
        <f>SUM(C3:C25)*C26</f>
        <v>0</v>
      </c>
      <c r="D27" s="665">
        <f>SUM(D3:D25)</f>
        <v>998183.30178500002</v>
      </c>
    </row>
    <row r="28" spans="2:11">
      <c r="C28" s="157">
        <v>1.22</v>
      </c>
      <c r="D28" s="157">
        <f>D27*C28</f>
        <v>1217783.6281777001</v>
      </c>
      <c r="E28" s="160">
        <f>$D$28*F28</f>
        <v>608891.81408885005</v>
      </c>
      <c r="F28" s="156">
        <v>0.5</v>
      </c>
    </row>
    <row r="29" spans="2:11">
      <c r="E29" s="160">
        <f t="shared" ref="E29:E30" si="4">$D$28*F29</f>
        <v>487113.45127108006</v>
      </c>
      <c r="F29" s="156">
        <v>0.4</v>
      </c>
    </row>
    <row r="30" spans="2:11">
      <c r="E30" s="160">
        <f t="shared" si="4"/>
        <v>121778.36281777002</v>
      </c>
      <c r="F30" s="156">
        <v>0.1</v>
      </c>
    </row>
    <row r="33" spans="4:4">
      <c r="D33" s="160"/>
    </row>
    <row r="36" spans="4:4">
      <c r="D36" s="156">
        <v>2900000</v>
      </c>
    </row>
    <row r="37" spans="4:4">
      <c r="D37" s="156">
        <f>D36*0.4</f>
        <v>1160000</v>
      </c>
    </row>
  </sheetData>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8A1D6-3C21-44B2-97D6-AB0D8BE390C6}">
  <dimension ref="B1:BH34"/>
  <sheetViews>
    <sheetView topLeftCell="A12" zoomScale="213" zoomScaleNormal="160" workbookViewId="0">
      <selection activeCell="C23" sqref="C23"/>
    </sheetView>
  </sheetViews>
  <sheetFormatPr defaultColWidth="9.140625" defaultRowHeight="7.9"/>
  <cols>
    <col min="1" max="1" width="2" style="727" customWidth="1"/>
    <col min="2" max="2" width="33.7109375" style="727" customWidth="1"/>
    <col min="3" max="3" width="9" style="729" bestFit="1" customWidth="1"/>
    <col min="4" max="4" width="10" style="727" bestFit="1" customWidth="1"/>
    <col min="5" max="5" width="10" style="727" customWidth="1"/>
    <col min="6" max="6" width="3.85546875" style="727" customWidth="1"/>
    <col min="7" max="8" width="9.140625" style="727"/>
    <col min="9" max="9" width="11.7109375" style="727" customWidth="1"/>
    <col min="10" max="10" width="8.28515625" style="727" bestFit="1" customWidth="1"/>
    <col min="11" max="11" width="9" style="727" bestFit="1" customWidth="1"/>
    <col min="12" max="12" width="10.140625" style="727" bestFit="1" customWidth="1"/>
    <col min="13" max="14" width="9" style="727" bestFit="1" customWidth="1"/>
    <col min="15" max="18" width="7.7109375" style="727" bestFit="1" customWidth="1"/>
    <col min="19" max="19" width="9" style="727" bestFit="1" customWidth="1"/>
    <col min="20" max="20" width="8.28515625" style="727" bestFit="1" customWidth="1"/>
    <col min="21" max="21" width="9" style="727" bestFit="1" customWidth="1"/>
    <col min="22" max="23" width="8.28515625" style="727" bestFit="1" customWidth="1"/>
    <col min="24" max="25" width="9" style="727" bestFit="1" customWidth="1"/>
    <col min="26" max="34" width="9.28515625" style="727" bestFit="1" customWidth="1"/>
    <col min="35" max="16384" width="9.140625" style="727"/>
  </cols>
  <sheetData>
    <row r="1" spans="2:60" ht="15.75">
      <c r="F1" s="727" t="s">
        <v>442</v>
      </c>
      <c r="H1" s="730">
        <v>1.22</v>
      </c>
      <c r="I1" s="731" t="s">
        <v>443</v>
      </c>
      <c r="J1" s="732">
        <v>46023</v>
      </c>
      <c r="K1" s="732">
        <v>46054</v>
      </c>
      <c r="L1" s="732">
        <v>46082</v>
      </c>
      <c r="M1" s="732">
        <v>46113</v>
      </c>
      <c r="N1" s="732">
        <v>46143</v>
      </c>
      <c r="O1" s="732">
        <v>46174</v>
      </c>
      <c r="P1" s="732">
        <v>46204</v>
      </c>
      <c r="Q1" s="732">
        <v>46235</v>
      </c>
      <c r="R1" s="732">
        <v>46266</v>
      </c>
      <c r="S1" s="732">
        <v>46296</v>
      </c>
      <c r="T1" s="732">
        <v>46327</v>
      </c>
      <c r="U1" s="732">
        <v>46357</v>
      </c>
      <c r="V1" s="732">
        <v>46388</v>
      </c>
      <c r="W1" s="732">
        <v>46419</v>
      </c>
      <c r="X1" s="732">
        <v>46447</v>
      </c>
      <c r="Y1" s="732">
        <v>46478</v>
      </c>
      <c r="Z1" s="732">
        <v>46508</v>
      </c>
      <c r="AA1" s="732">
        <v>46539</v>
      </c>
      <c r="AB1" s="732">
        <v>46569</v>
      </c>
      <c r="AC1" s="732">
        <v>46600</v>
      </c>
      <c r="AD1" s="732">
        <v>46631</v>
      </c>
      <c r="AE1" s="732">
        <v>46661</v>
      </c>
      <c r="AF1" s="732">
        <v>46692</v>
      </c>
      <c r="AG1" s="732">
        <v>46722</v>
      </c>
      <c r="AH1" s="732">
        <v>46753</v>
      </c>
      <c r="AI1" s="732"/>
      <c r="AJ1" s="732"/>
      <c r="AK1" s="732"/>
      <c r="AL1" s="732"/>
      <c r="AM1" s="732"/>
      <c r="AN1" s="732"/>
      <c r="AO1" s="732"/>
      <c r="AP1" s="732"/>
      <c r="AQ1" s="732"/>
      <c r="AR1" s="732"/>
      <c r="AS1" s="732"/>
      <c r="AT1" s="732"/>
      <c r="AU1" s="732"/>
      <c r="AV1" s="732"/>
      <c r="AW1" s="732"/>
      <c r="AX1" s="732"/>
      <c r="AY1" s="732"/>
      <c r="AZ1" s="732"/>
      <c r="BA1" s="732"/>
      <c r="BB1" s="732"/>
      <c r="BC1" s="732"/>
      <c r="BD1" s="732"/>
      <c r="BE1" s="732"/>
      <c r="BF1" s="732"/>
      <c r="BG1" s="732"/>
      <c r="BH1" s="732"/>
    </row>
    <row r="2" spans="2:60" ht="8.25" thickBot="1">
      <c r="F2" s="727">
        <v>630</v>
      </c>
      <c r="H2" s="730"/>
      <c r="I2" s="733"/>
      <c r="J2" s="729"/>
      <c r="K2" s="729"/>
      <c r="L2" s="729"/>
      <c r="M2" s="729"/>
      <c r="N2" s="729"/>
      <c r="O2" s="729"/>
      <c r="P2" s="729"/>
      <c r="Q2" s="729"/>
      <c r="R2" s="729"/>
      <c r="S2" s="729"/>
      <c r="T2" s="729"/>
      <c r="U2" s="729"/>
      <c r="V2" s="729"/>
      <c r="W2" s="729"/>
      <c r="X2" s="729"/>
      <c r="Y2" s="729"/>
      <c r="Z2" s="729"/>
      <c r="AA2" s="729"/>
      <c r="AB2" s="729"/>
      <c r="AC2" s="729"/>
      <c r="AD2" s="729"/>
      <c r="AE2" s="729"/>
      <c r="AF2" s="729"/>
      <c r="AG2" s="729"/>
      <c r="AH2" s="729"/>
    </row>
    <row r="3" spans="2:60">
      <c r="B3" s="734" t="str">
        <f>ANACO!O4</f>
        <v>PRODOTTO ACQUISTATO FINITO LEGNO O LEGNO ALLUMINIO
Scontato
TOTALE</v>
      </c>
      <c r="C3" s="735">
        <f>ANACO!O157</f>
        <v>0</v>
      </c>
      <c r="D3" s="736">
        <f>C3*(1-$C$26)</f>
        <v>0</v>
      </c>
      <c r="E3" s="737">
        <f>D3*F3</f>
        <v>0</v>
      </c>
      <c r="F3" s="727">
        <v>0.95</v>
      </c>
      <c r="H3" s="730"/>
      <c r="I3" s="733"/>
      <c r="J3" s="729"/>
      <c r="K3" s="729"/>
      <c r="L3" s="729"/>
      <c r="M3" s="729"/>
      <c r="N3" s="729"/>
      <c r="O3" s="729"/>
      <c r="P3" s="729"/>
      <c r="Q3" s="729"/>
      <c r="R3" s="729"/>
      <c r="S3" s="729"/>
      <c r="T3" s="729"/>
      <c r="U3" s="729"/>
      <c r="V3" s="729"/>
      <c r="W3" s="729"/>
      <c r="X3" s="729"/>
      <c r="Y3" s="729"/>
      <c r="Z3" s="729"/>
      <c r="AA3" s="729"/>
      <c r="AB3" s="729"/>
      <c r="AC3" s="729"/>
      <c r="AD3" s="729"/>
      <c r="AE3" s="729"/>
      <c r="AF3" s="729"/>
      <c r="AG3" s="729"/>
      <c r="AH3" s="729"/>
    </row>
    <row r="4" spans="2:60">
      <c r="B4" s="738" t="str">
        <f>ANACO!S4</f>
        <v>ST /LZ - STAFFAME
TOT.</v>
      </c>
      <c r="C4" s="739">
        <f>ANACO!S157</f>
        <v>0</v>
      </c>
      <c r="D4" s="740">
        <f t="shared" ref="D4:D25" si="0">C4*(1-$C$26)</f>
        <v>0</v>
      </c>
      <c r="E4" s="737">
        <f t="shared" ref="E4:E22" si="1">D4*F4</f>
        <v>0</v>
      </c>
      <c r="F4" s="727">
        <v>1</v>
      </c>
      <c r="H4" s="730"/>
      <c r="I4" s="733"/>
      <c r="J4" s="729"/>
      <c r="K4" s="729"/>
      <c r="L4" s="729"/>
      <c r="M4" s="729"/>
      <c r="N4" s="729"/>
      <c r="O4" s="729"/>
      <c r="P4" s="729"/>
      <c r="Q4" s="729"/>
      <c r="R4" s="729"/>
      <c r="S4" s="729"/>
      <c r="T4" s="729"/>
      <c r="U4" s="729"/>
      <c r="V4" s="729"/>
      <c r="W4" s="729"/>
      <c r="X4" s="729"/>
      <c r="Y4" s="729"/>
      <c r="Z4" s="729"/>
      <c r="AA4" s="729"/>
      <c r="AB4" s="729"/>
      <c r="AC4" s="729"/>
      <c r="AD4" s="729"/>
      <c r="AE4" s="729"/>
      <c r="AF4" s="729"/>
      <c r="AG4" s="729"/>
      <c r="AH4" s="729"/>
    </row>
    <row r="5" spans="2:60">
      <c r="B5" s="738" t="str">
        <f>ANACO!W4</f>
        <v>Accessorio
Maniglie e 
Maniglioni
TOTALE</v>
      </c>
      <c r="C5" s="739">
        <f>ANACO!W157</f>
        <v>51960</v>
      </c>
      <c r="D5" s="740">
        <f t="shared" si="0"/>
        <v>51960</v>
      </c>
      <c r="E5" s="737">
        <f t="shared" si="1"/>
        <v>46764</v>
      </c>
      <c r="F5" s="727">
        <v>0.9</v>
      </c>
      <c r="G5" s="737">
        <f>E5</f>
        <v>46764</v>
      </c>
      <c r="H5" s="741">
        <f>G5*$H$1</f>
        <v>57052.08</v>
      </c>
      <c r="I5" s="742">
        <f t="shared" ref="I5:I19" si="2">SUM(J5:AH5)</f>
        <v>57052.08</v>
      </c>
      <c r="J5" s="729"/>
      <c r="K5" s="729"/>
      <c r="L5" s="729"/>
      <c r="M5" s="729"/>
      <c r="N5" s="729"/>
      <c r="O5" s="729"/>
      <c r="P5" s="729"/>
      <c r="Q5" s="729"/>
      <c r="R5" s="729"/>
      <c r="S5" s="729">
        <f>H5</f>
        <v>57052.08</v>
      </c>
      <c r="T5" s="729"/>
      <c r="U5" s="729"/>
      <c r="V5" s="729"/>
      <c r="W5" s="729"/>
      <c r="X5" s="729"/>
      <c r="Y5" s="729"/>
      <c r="Z5" s="729"/>
      <c r="AA5" s="729"/>
      <c r="AB5" s="729"/>
      <c r="AC5" s="729"/>
      <c r="AD5" s="729"/>
      <c r="AE5" s="729"/>
      <c r="AF5" s="729"/>
      <c r="AG5" s="729"/>
      <c r="AH5" s="729"/>
    </row>
    <row r="6" spans="2:60">
      <c r="B6" s="738" t="str">
        <f>ANACO!AC4</f>
        <v>LA
TOTALE</v>
      </c>
      <c r="C6" s="739">
        <f>ANACO!AC157</f>
        <v>20324.920000000002</v>
      </c>
      <c r="D6" s="740">
        <f t="shared" si="0"/>
        <v>20324.920000000002</v>
      </c>
      <c r="E6" s="737">
        <f t="shared" si="1"/>
        <v>18698.926400000004</v>
      </c>
      <c r="F6" s="727">
        <v>0.92</v>
      </c>
      <c r="G6" s="737">
        <f t="shared" ref="G6:G22" si="3">E6</f>
        <v>18698.926400000004</v>
      </c>
      <c r="H6" s="741">
        <f t="shared" ref="H6:H22" si="4">G6*$H$1</f>
        <v>22812.690208000004</v>
      </c>
      <c r="I6" s="742">
        <f>SUM(J6:AG6)</f>
        <v>22812.690208000004</v>
      </c>
      <c r="J6" s="729"/>
      <c r="K6" s="729"/>
      <c r="L6" s="729"/>
      <c r="M6" s="729"/>
      <c r="N6" s="729"/>
      <c r="O6" s="729"/>
      <c r="P6" s="729"/>
      <c r="Q6" s="729"/>
      <c r="R6" s="729"/>
      <c r="S6" s="729"/>
      <c r="T6" s="729"/>
      <c r="U6" s="729"/>
      <c r="V6" s="729">
        <f>H6</f>
        <v>22812.690208000004</v>
      </c>
      <c r="W6" s="729"/>
      <c r="X6" s="729"/>
      <c r="Y6" s="729"/>
      <c r="Z6" s="729"/>
      <c r="AA6" s="729"/>
      <c r="AB6" s="729"/>
      <c r="AC6" s="729"/>
      <c r="AD6" s="729"/>
      <c r="AE6" s="729"/>
      <c r="AG6" s="729"/>
    </row>
    <row r="7" spans="2:60">
      <c r="B7" s="738" t="str">
        <f>ANACO!AE4</f>
        <v xml:space="preserve">
PACCHETTO DI COIBENTAZIONECOIBENTAZIONE
TOTALE</v>
      </c>
      <c r="C7" s="739">
        <f>ANACO!AE157</f>
        <v>9839.9080000000013</v>
      </c>
      <c r="D7" s="740">
        <f t="shared" si="0"/>
        <v>9839.9080000000013</v>
      </c>
      <c r="E7" s="737">
        <f t="shared" si="1"/>
        <v>9839.9080000000013</v>
      </c>
      <c r="F7" s="727">
        <v>1</v>
      </c>
      <c r="G7" s="737">
        <f t="shared" si="3"/>
        <v>9839.9080000000013</v>
      </c>
      <c r="H7" s="741">
        <f t="shared" si="4"/>
        <v>12004.687760000001</v>
      </c>
      <c r="I7" s="742">
        <f t="shared" si="2"/>
        <v>12004.687760000001</v>
      </c>
      <c r="J7" s="729"/>
      <c r="K7" s="729"/>
      <c r="L7" s="729"/>
      <c r="M7" s="729"/>
      <c r="N7" s="729"/>
      <c r="O7" s="729"/>
      <c r="P7" s="729"/>
      <c r="Q7" s="729"/>
      <c r="R7" s="729"/>
      <c r="S7" s="729"/>
      <c r="T7" s="729"/>
      <c r="U7" s="729"/>
      <c r="V7" s="729"/>
      <c r="W7" s="729"/>
      <c r="X7" s="729">
        <f>H7</f>
        <v>12004.687760000001</v>
      </c>
      <c r="Y7" s="729"/>
      <c r="Z7" s="729"/>
      <c r="AA7" s="729"/>
      <c r="AB7" s="729"/>
      <c r="AC7" s="729"/>
      <c r="AD7" s="729"/>
      <c r="AE7" s="729"/>
      <c r="AF7" s="729"/>
      <c r="AG7" s="729"/>
      <c r="AH7" s="729"/>
    </row>
    <row r="8" spans="2:60">
      <c r="B8" s="738" t="str">
        <f>ANACO!AG4</f>
        <v>SISTEMA ALLUMINIO E ACCESSORI DI SISTEMA 
TOTALE</v>
      </c>
      <c r="C8" s="739">
        <f>ANACO!AG157</f>
        <v>85329</v>
      </c>
      <c r="D8" s="740">
        <f t="shared" si="0"/>
        <v>85329</v>
      </c>
      <c r="E8" s="737">
        <f t="shared" si="1"/>
        <v>80209.259999999995</v>
      </c>
      <c r="F8" s="727">
        <v>0.94</v>
      </c>
      <c r="G8" s="737">
        <f t="shared" si="3"/>
        <v>80209.259999999995</v>
      </c>
      <c r="H8" s="741">
        <f t="shared" si="4"/>
        <v>97855.297199999986</v>
      </c>
      <c r="I8" s="742">
        <f t="shared" si="2"/>
        <v>97855.297199999986</v>
      </c>
      <c r="J8" s="729"/>
      <c r="K8" s="729"/>
      <c r="L8" s="729"/>
      <c r="M8" s="729"/>
      <c r="N8" s="729"/>
      <c r="O8" s="729"/>
      <c r="P8" s="729"/>
      <c r="Q8" s="729"/>
      <c r="R8" s="729"/>
      <c r="S8" s="729"/>
      <c r="T8" s="729">
        <f>$H$8/3</f>
        <v>32618.432399999994</v>
      </c>
      <c r="U8" s="729">
        <f t="shared" ref="U8:V8" si="5">$H$8/3</f>
        <v>32618.432399999994</v>
      </c>
      <c r="V8" s="729">
        <f t="shared" si="5"/>
        <v>32618.432399999994</v>
      </c>
      <c r="W8" s="729"/>
      <c r="X8" s="729"/>
      <c r="Y8" s="729"/>
      <c r="Z8" s="729"/>
      <c r="AA8" s="729"/>
      <c r="AB8" s="729"/>
      <c r="AC8" s="729"/>
      <c r="AD8" s="729"/>
      <c r="AE8" s="729"/>
      <c r="AF8" s="729"/>
      <c r="AG8" s="729"/>
      <c r="AH8" s="729"/>
    </row>
    <row r="9" spans="2:60">
      <c r="B9" s="738" t="str">
        <f>ANACO!AI4</f>
        <v>SISTEMA ACCIAIO E ACCESSORI DI SISTEMA  TOTALE</v>
      </c>
      <c r="C9" s="739">
        <f>ANACO!AI157</f>
        <v>128084.992</v>
      </c>
      <c r="D9" s="740">
        <f t="shared" si="0"/>
        <v>128084.992</v>
      </c>
      <c r="E9" s="737">
        <f t="shared" si="1"/>
        <v>124242.44223999999</v>
      </c>
      <c r="F9" s="727">
        <v>0.97</v>
      </c>
      <c r="G9" s="737">
        <f t="shared" si="3"/>
        <v>124242.44223999999</v>
      </c>
      <c r="H9" s="741">
        <f t="shared" si="4"/>
        <v>151575.77953279999</v>
      </c>
      <c r="I9" s="742">
        <f t="shared" si="2"/>
        <v>151575.77953279999</v>
      </c>
      <c r="J9" s="729"/>
      <c r="K9" s="729"/>
      <c r="L9" s="729"/>
      <c r="M9" s="729"/>
      <c r="N9" s="729"/>
      <c r="O9" s="729"/>
      <c r="P9" s="729"/>
      <c r="Q9" s="729"/>
      <c r="R9" s="729"/>
      <c r="S9" s="729">
        <f>$H$9/3</f>
        <v>50525.259844266664</v>
      </c>
      <c r="T9" s="729">
        <f t="shared" ref="T9:U9" si="6">$H$9/3</f>
        <v>50525.259844266664</v>
      </c>
      <c r="U9" s="729">
        <f t="shared" si="6"/>
        <v>50525.259844266664</v>
      </c>
      <c r="W9" s="729"/>
      <c r="X9" s="729"/>
      <c r="Y9" s="729"/>
      <c r="Z9" s="729"/>
      <c r="AA9" s="729"/>
      <c r="AB9" s="729"/>
      <c r="AC9" s="729"/>
      <c r="AD9" s="729"/>
      <c r="AE9" s="729"/>
      <c r="AF9" s="729"/>
      <c r="AG9" s="729"/>
      <c r="AH9" s="729"/>
    </row>
    <row r="10" spans="2:60">
      <c r="B10" s="738" t="str">
        <f>ANACO!AK4</f>
        <v>Trasformazione Acciaio
TOTALE</v>
      </c>
      <c r="C10" s="739">
        <f>ANACO!AK157</f>
        <v>106630</v>
      </c>
      <c r="D10" s="740">
        <f t="shared" si="0"/>
        <v>106630</v>
      </c>
      <c r="E10" s="737">
        <f t="shared" si="1"/>
        <v>101298.5</v>
      </c>
      <c r="F10" s="727">
        <v>0.95</v>
      </c>
      <c r="G10" s="737">
        <f t="shared" si="3"/>
        <v>101298.5</v>
      </c>
      <c r="H10" s="741">
        <f t="shared" si="4"/>
        <v>123584.17</v>
      </c>
      <c r="I10" s="742">
        <f t="shared" si="2"/>
        <v>123584.17000000001</v>
      </c>
      <c r="J10" s="729"/>
      <c r="K10" s="729"/>
      <c r="L10" s="729"/>
      <c r="M10" s="729"/>
      <c r="N10" s="729"/>
      <c r="O10" s="729"/>
      <c r="P10" s="729"/>
      <c r="Q10" s="729"/>
      <c r="R10" s="729"/>
      <c r="S10" s="729">
        <f>$H$10/3</f>
        <v>41194.723333333335</v>
      </c>
      <c r="T10" s="729"/>
      <c r="U10" s="729"/>
      <c r="V10" s="729"/>
      <c r="W10" s="729">
        <f>$H$10/3</f>
        <v>41194.723333333335</v>
      </c>
      <c r="X10" s="729">
        <f>$H$10/3</f>
        <v>41194.723333333335</v>
      </c>
      <c r="Y10" s="729"/>
      <c r="Z10" s="729"/>
      <c r="AA10" s="729"/>
      <c r="AB10" s="729"/>
      <c r="AC10" s="729"/>
      <c r="AD10" s="729"/>
      <c r="AE10" s="729"/>
      <c r="AF10" s="729"/>
      <c r="AG10" s="729"/>
      <c r="AH10" s="729"/>
    </row>
    <row r="11" spans="2:60">
      <c r="B11" s="743" t="str">
        <f>ANACO!AM4</f>
        <v>Automatismo
TOTALE</v>
      </c>
      <c r="C11" s="739">
        <f>ANACO!AM157</f>
        <v>10620</v>
      </c>
      <c r="D11" s="740">
        <f t="shared" si="0"/>
        <v>10620</v>
      </c>
      <c r="E11" s="737">
        <f t="shared" si="1"/>
        <v>10620</v>
      </c>
      <c r="F11" s="727">
        <v>1</v>
      </c>
      <c r="G11" s="737">
        <f t="shared" si="3"/>
        <v>10620</v>
      </c>
      <c r="H11" s="741">
        <f t="shared" si="4"/>
        <v>12956.4</v>
      </c>
      <c r="I11" s="742">
        <f t="shared" si="2"/>
        <v>12956.4</v>
      </c>
      <c r="J11" s="729"/>
      <c r="K11" s="729"/>
      <c r="L11" s="729"/>
      <c r="M11" s="729"/>
      <c r="N11" s="729"/>
      <c r="O11" s="729"/>
      <c r="P11" s="729"/>
      <c r="Q11" s="729"/>
      <c r="R11" s="729"/>
      <c r="S11" s="729">
        <f>H11</f>
        <v>12956.4</v>
      </c>
      <c r="T11" s="729"/>
      <c r="U11" s="729"/>
      <c r="V11" s="729"/>
      <c r="W11" s="729"/>
      <c r="X11" s="729"/>
      <c r="Y11" s="729"/>
      <c r="Z11" s="729"/>
      <c r="AA11" s="729"/>
      <c r="AB11" s="729"/>
      <c r="AC11" s="729"/>
      <c r="AD11" s="729"/>
      <c r="AE11" s="729"/>
      <c r="AF11" s="729"/>
      <c r="AG11" s="729"/>
      <c r="AH11" s="729"/>
    </row>
    <row r="12" spans="2:60">
      <c r="B12" s="738" t="str">
        <f>ANACO!AO4</f>
        <v>Vetro
TOTALE.</v>
      </c>
      <c r="C12" s="739">
        <f>ANACO!AO157</f>
        <v>151038.32499999998</v>
      </c>
      <c r="D12" s="740">
        <f t="shared" si="0"/>
        <v>151038.32499999998</v>
      </c>
      <c r="E12" s="737">
        <f t="shared" si="1"/>
        <v>135934.49249999999</v>
      </c>
      <c r="F12" s="727">
        <v>0.9</v>
      </c>
      <c r="G12" s="737">
        <f t="shared" si="3"/>
        <v>135934.49249999999</v>
      </c>
      <c r="H12" s="741">
        <f t="shared" si="4"/>
        <v>165840.08085</v>
      </c>
      <c r="I12" s="742">
        <f t="shared" si="2"/>
        <v>165840.08085</v>
      </c>
      <c r="J12" s="729"/>
      <c r="K12" s="729"/>
      <c r="L12" s="729"/>
      <c r="M12" s="729"/>
      <c r="N12" s="729"/>
      <c r="O12" s="729"/>
      <c r="P12" s="729"/>
      <c r="Q12" s="729"/>
      <c r="R12" s="729"/>
      <c r="S12" s="729"/>
      <c r="T12" s="729"/>
      <c r="U12" s="729">
        <f>$H$12/3</f>
        <v>55280.026949999999</v>
      </c>
      <c r="V12" s="729"/>
      <c r="W12" s="729"/>
      <c r="Y12" s="729">
        <f>$H$12/3</f>
        <v>55280.026949999999</v>
      </c>
      <c r="Z12" s="729">
        <f>$H$12/3</f>
        <v>55280.026949999999</v>
      </c>
      <c r="AA12" s="729"/>
      <c r="AB12" s="729"/>
      <c r="AC12" s="729"/>
      <c r="AD12" s="729"/>
      <c r="AE12" s="729"/>
      <c r="AF12" s="729"/>
      <c r="AG12" s="729"/>
      <c r="AH12" s="729"/>
    </row>
    <row r="13" spans="2:60">
      <c r="B13" s="738" t="str">
        <f>ANACO!AQ4</f>
        <v>Pannell
TOTALE</v>
      </c>
      <c r="C13" s="739">
        <f>ANACO!AQ157</f>
        <v>0</v>
      </c>
      <c r="D13" s="740">
        <f t="shared" si="0"/>
        <v>0</v>
      </c>
      <c r="E13" s="737">
        <f t="shared" si="1"/>
        <v>0</v>
      </c>
      <c r="F13" s="727">
        <v>1</v>
      </c>
      <c r="G13" s="737">
        <f t="shared" si="3"/>
        <v>0</v>
      </c>
      <c r="H13" s="741">
        <f t="shared" si="4"/>
        <v>0</v>
      </c>
      <c r="I13" s="742">
        <f t="shared" si="2"/>
        <v>0</v>
      </c>
      <c r="J13" s="729"/>
      <c r="K13" s="729"/>
      <c r="L13" s="729"/>
      <c r="M13" s="729"/>
      <c r="N13" s="729"/>
      <c r="O13" s="729"/>
      <c r="P13" s="729"/>
      <c r="Q13" s="729"/>
      <c r="R13" s="729"/>
      <c r="S13" s="729"/>
      <c r="T13" s="729"/>
      <c r="U13" s="729"/>
      <c r="V13" s="729"/>
      <c r="W13" s="729"/>
      <c r="X13" s="729"/>
      <c r="Y13" s="729"/>
      <c r="Z13" s="729"/>
      <c r="AA13" s="729"/>
      <c r="AB13" s="729"/>
      <c r="AC13" s="729"/>
      <c r="AD13" s="729"/>
      <c r="AE13" s="729"/>
      <c r="AF13" s="729"/>
      <c r="AG13" s="729"/>
      <c r="AH13" s="729"/>
    </row>
    <row r="14" spans="2:60">
      <c r="B14" s="738" t="str">
        <f>ANACO!AS4</f>
        <v>Controtelaio
TOTALE.</v>
      </c>
      <c r="C14" s="739">
        <f>ANACO!AS157</f>
        <v>32920.300000000003</v>
      </c>
      <c r="D14" s="740">
        <f t="shared" si="0"/>
        <v>32920.300000000003</v>
      </c>
      <c r="E14" s="737">
        <f t="shared" si="1"/>
        <v>31274.285</v>
      </c>
      <c r="F14" s="727">
        <v>0.95</v>
      </c>
      <c r="G14" s="737">
        <f t="shared" si="3"/>
        <v>31274.285</v>
      </c>
      <c r="H14" s="741">
        <f t="shared" si="4"/>
        <v>38154.627699999997</v>
      </c>
      <c r="I14" s="742">
        <f t="shared" si="2"/>
        <v>38154.627699999997</v>
      </c>
      <c r="J14" s="729"/>
      <c r="K14" s="729"/>
      <c r="L14" s="729"/>
      <c r="M14" s="729"/>
      <c r="N14" s="729"/>
      <c r="O14" s="729"/>
      <c r="P14" s="729"/>
      <c r="Q14" s="729"/>
      <c r="R14" s="729"/>
      <c r="S14" s="729"/>
      <c r="T14" s="729"/>
      <c r="U14" s="729"/>
      <c r="V14" s="729">
        <f>$H$14/2</f>
        <v>19077.313849999999</v>
      </c>
      <c r="W14" s="729">
        <f>$H$14/2</f>
        <v>19077.313849999999</v>
      </c>
      <c r="X14" s="729"/>
      <c r="Y14" s="729"/>
      <c r="Z14" s="729"/>
      <c r="AA14" s="729"/>
      <c r="AB14" s="729"/>
      <c r="AC14" s="729"/>
      <c r="AD14" s="729"/>
      <c r="AE14" s="729"/>
      <c r="AF14" s="729"/>
      <c r="AG14" s="729"/>
      <c r="AH14" s="729"/>
    </row>
    <row r="15" spans="2:60">
      <c r="B15" s="738" t="str">
        <f>ANACO!AU4</f>
        <v>Trasformazione
Alluminio
TOTALE.</v>
      </c>
      <c r="C15" s="739">
        <f>ANACO!AU157</f>
        <v>102793.5</v>
      </c>
      <c r="D15" s="740">
        <f t="shared" si="0"/>
        <v>102793.5</v>
      </c>
      <c r="E15" s="737">
        <f t="shared" si="1"/>
        <v>97653.824999999997</v>
      </c>
      <c r="F15" s="727">
        <v>0.95</v>
      </c>
      <c r="G15" s="737">
        <f t="shared" si="3"/>
        <v>97653.824999999997</v>
      </c>
      <c r="H15" s="741">
        <f t="shared" si="4"/>
        <v>119137.66649999999</v>
      </c>
      <c r="I15" s="742">
        <f t="shared" si="2"/>
        <v>119137.66649999999</v>
      </c>
      <c r="J15" s="729"/>
      <c r="K15" s="729"/>
      <c r="L15" s="729"/>
      <c r="M15" s="729"/>
      <c r="N15" s="729"/>
      <c r="O15" s="729"/>
      <c r="P15" s="729"/>
      <c r="Q15" s="729"/>
      <c r="R15" s="729"/>
      <c r="S15" s="729"/>
      <c r="T15" s="729"/>
      <c r="U15" s="729"/>
      <c r="V15" s="729">
        <f>$H$15/3</f>
        <v>39712.555499999995</v>
      </c>
      <c r="W15" s="729"/>
      <c r="X15" s="729">
        <f>$H$15/3</f>
        <v>39712.555499999995</v>
      </c>
      <c r="Y15" s="729">
        <f>$H$15/3</f>
        <v>39712.555499999995</v>
      </c>
      <c r="Z15" s="729"/>
      <c r="AA15" s="729"/>
      <c r="AB15" s="729"/>
      <c r="AC15" s="729"/>
      <c r="AD15" s="729"/>
      <c r="AE15" s="729"/>
      <c r="AF15" s="729"/>
      <c r="AG15" s="729"/>
      <c r="AH15" s="729"/>
    </row>
    <row r="16" spans="2:60">
      <c r="B16" s="738" t="str">
        <f>ANACO!AW4</f>
        <v>Posa SER e FAC..
TOTALE</v>
      </c>
      <c r="C16" s="739">
        <f>ANACO!AW157</f>
        <v>133583.01</v>
      </c>
      <c r="D16" s="740">
        <f t="shared" si="0"/>
        <v>133583.01</v>
      </c>
      <c r="E16" s="737">
        <f t="shared" si="1"/>
        <v>120224.70900000002</v>
      </c>
      <c r="F16" s="727">
        <v>0.9</v>
      </c>
      <c r="G16" s="737">
        <f t="shared" si="3"/>
        <v>120224.70900000002</v>
      </c>
      <c r="H16" s="741">
        <f t="shared" si="4"/>
        <v>146674.14498000001</v>
      </c>
      <c r="I16" s="742">
        <f t="shared" si="2"/>
        <v>146674.14498000001</v>
      </c>
      <c r="J16" s="729"/>
      <c r="K16" s="729"/>
      <c r="L16" s="729"/>
      <c r="M16" s="729"/>
      <c r="N16" s="729"/>
      <c r="O16" s="729"/>
      <c r="P16" s="729"/>
      <c r="Q16" s="729"/>
      <c r="R16" s="729"/>
      <c r="S16" s="729"/>
      <c r="T16" s="729"/>
      <c r="U16" s="729"/>
      <c r="V16" s="729"/>
      <c r="W16" s="729"/>
      <c r="X16" s="729"/>
      <c r="Y16" s="729">
        <f>$H$16/3</f>
        <v>48891.381660000006</v>
      </c>
      <c r="Z16" s="729">
        <f>$H$16/3</f>
        <v>48891.381660000006</v>
      </c>
      <c r="AA16" s="729">
        <f>$H$16/3</f>
        <v>48891.381660000006</v>
      </c>
      <c r="AB16" s="729"/>
      <c r="AC16" s="729"/>
      <c r="AD16" s="729"/>
      <c r="AE16" s="729"/>
      <c r="AF16" s="729"/>
      <c r="AG16" s="729"/>
      <c r="AH16" s="729"/>
    </row>
    <row r="17" spans="2:36">
      <c r="B17" s="743" t="str">
        <f>ANACO!AY4</f>
        <v>FW 
FINITA
TOTALE</v>
      </c>
      <c r="C17" s="739">
        <f>ANACO!AY157</f>
        <v>95000</v>
      </c>
      <c r="D17" s="740">
        <f t="shared" si="0"/>
        <v>95000</v>
      </c>
      <c r="E17" s="737">
        <f t="shared" si="1"/>
        <v>90250</v>
      </c>
      <c r="F17" s="727">
        <v>0.95</v>
      </c>
      <c r="G17" s="737">
        <f t="shared" si="3"/>
        <v>90250</v>
      </c>
      <c r="H17" s="741">
        <f t="shared" si="4"/>
        <v>110105</v>
      </c>
      <c r="I17" s="742">
        <f t="shared" si="2"/>
        <v>110105</v>
      </c>
      <c r="J17" s="729"/>
      <c r="K17" s="729"/>
      <c r="L17" s="729"/>
      <c r="M17" s="729"/>
      <c r="N17" s="729"/>
      <c r="O17" s="729"/>
      <c r="P17" s="729"/>
      <c r="Q17" s="729"/>
      <c r="R17" s="729"/>
      <c r="S17" s="729"/>
      <c r="T17" s="729"/>
      <c r="U17" s="729"/>
      <c r="V17" s="729"/>
      <c r="W17" s="729"/>
      <c r="X17" s="729">
        <f>$H$17/4</f>
        <v>27526.25</v>
      </c>
      <c r="Z17" s="729">
        <f t="shared" ref="Z17:AB17" si="7">$H$17/4</f>
        <v>27526.25</v>
      </c>
      <c r="AA17" s="729">
        <f t="shared" si="7"/>
        <v>27526.25</v>
      </c>
      <c r="AB17" s="729">
        <f t="shared" si="7"/>
        <v>27526.25</v>
      </c>
      <c r="AC17" s="729"/>
      <c r="AD17" s="729"/>
      <c r="AE17" s="729"/>
      <c r="AF17" s="729"/>
      <c r="AG17" s="729"/>
      <c r="AH17" s="729"/>
    </row>
    <row r="18" spans="2:36">
      <c r="B18" s="738" t="str">
        <f>ANACO!BA4</f>
        <v>NOLO
TOTALE</v>
      </c>
      <c r="C18" s="739">
        <f>ANACO!BA157</f>
        <v>0</v>
      </c>
      <c r="D18" s="740">
        <f t="shared" si="0"/>
        <v>0</v>
      </c>
      <c r="E18" s="737">
        <f t="shared" si="1"/>
        <v>0</v>
      </c>
      <c r="F18" s="727">
        <v>1</v>
      </c>
      <c r="G18" s="737">
        <f t="shared" si="3"/>
        <v>0</v>
      </c>
      <c r="H18" s="741">
        <f t="shared" si="4"/>
        <v>0</v>
      </c>
      <c r="I18" s="742">
        <f t="shared" si="2"/>
        <v>0</v>
      </c>
      <c r="J18" s="729"/>
      <c r="K18" s="729"/>
      <c r="L18" s="729"/>
      <c r="M18" s="729"/>
      <c r="N18" s="729"/>
      <c r="O18" s="729"/>
      <c r="P18" s="729"/>
      <c r="Q18" s="729"/>
      <c r="R18" s="729"/>
      <c r="S18" s="729"/>
      <c r="T18" s="729"/>
      <c r="U18" s="729"/>
      <c r="V18" s="729"/>
      <c r="W18" s="729"/>
      <c r="X18" s="729"/>
      <c r="Y18" s="729"/>
      <c r="Z18" s="729"/>
      <c r="AA18" s="729"/>
      <c r="AB18" s="729"/>
      <c r="AC18" s="729"/>
      <c r="AD18" s="729"/>
      <c r="AE18" s="729"/>
      <c r="AF18" s="729"/>
      <c r="AG18" s="729"/>
      <c r="AH18" s="729"/>
    </row>
    <row r="19" spans="2:36">
      <c r="B19" s="738" t="str">
        <f>ANACO!BF4</f>
        <v>Trasporto
e
Imballo
TOT.</v>
      </c>
      <c r="C19" s="739">
        <f>ANACO!BF157</f>
        <v>11137.487460000004</v>
      </c>
      <c r="D19" s="740">
        <f t="shared" si="0"/>
        <v>11137.487460000004</v>
      </c>
      <c r="E19" s="737">
        <f t="shared" si="1"/>
        <v>8909.9899680000035</v>
      </c>
      <c r="F19" s="727">
        <v>0.8</v>
      </c>
      <c r="G19" s="737">
        <f t="shared" si="3"/>
        <v>8909.9899680000035</v>
      </c>
      <c r="H19" s="741">
        <f t="shared" si="4"/>
        <v>10870.187760960003</v>
      </c>
      <c r="I19" s="742">
        <f t="shared" si="2"/>
        <v>10870.187760960003</v>
      </c>
      <c r="J19" s="729"/>
      <c r="K19" s="729"/>
      <c r="L19" s="729"/>
      <c r="M19" s="729"/>
      <c r="N19" s="729"/>
      <c r="O19" s="729"/>
      <c r="P19" s="729"/>
      <c r="Q19" s="729"/>
      <c r="R19" s="729"/>
      <c r="S19" s="729"/>
      <c r="T19" s="729"/>
      <c r="U19" s="729"/>
      <c r="V19" s="729"/>
      <c r="X19" s="729">
        <f>$H$19/4</f>
        <v>2717.5469402400008</v>
      </c>
      <c r="Y19" s="729">
        <f t="shared" ref="Y19:AA19" si="8">$H$19/4</f>
        <v>2717.5469402400008</v>
      </c>
      <c r="Z19" s="729">
        <f t="shared" si="8"/>
        <v>2717.5469402400008</v>
      </c>
      <c r="AA19" s="729">
        <f t="shared" si="8"/>
        <v>2717.5469402400008</v>
      </c>
      <c r="AB19" s="729"/>
      <c r="AC19" s="729"/>
      <c r="AD19" s="729"/>
      <c r="AE19" s="729"/>
      <c r="AF19" s="729"/>
      <c r="AG19" s="729"/>
      <c r="AH19" s="729"/>
    </row>
    <row r="20" spans="2:36">
      <c r="B20" s="738" t="str">
        <f>ANACO!BH4</f>
        <v>sviluppo tecnico e PM
TOTALE.</v>
      </c>
      <c r="C20" s="739">
        <f>ANACO!BH157</f>
        <v>13921.859324999998</v>
      </c>
      <c r="D20" s="740">
        <f t="shared" si="0"/>
        <v>13921.859324999998</v>
      </c>
      <c r="E20" s="737">
        <f t="shared" si="1"/>
        <v>13921.859324999998</v>
      </c>
      <c r="F20" s="727">
        <v>1</v>
      </c>
      <c r="G20" s="744">
        <f>25000+41000</f>
        <v>66000</v>
      </c>
      <c r="H20" s="741">
        <f t="shared" si="4"/>
        <v>80520</v>
      </c>
      <c r="I20" s="742">
        <f>SUM(J20:AH20)</f>
        <v>80520</v>
      </c>
      <c r="J20" s="729">
        <f>H20*0.25</f>
        <v>20130</v>
      </c>
      <c r="K20" s="729"/>
      <c r="L20" s="729"/>
      <c r="M20" s="729"/>
      <c r="N20" s="729">
        <f>((41000*0.75)+(25000*0.25))*1.22</f>
        <v>45140</v>
      </c>
      <c r="O20" s="729"/>
      <c r="P20" s="729"/>
      <c r="Q20" s="729"/>
      <c r="R20" s="729"/>
      <c r="S20" s="729"/>
      <c r="T20" s="729"/>
      <c r="U20" s="729"/>
      <c r="V20" s="729"/>
      <c r="W20" s="729"/>
      <c r="X20" s="729"/>
      <c r="Y20" s="729"/>
      <c r="Z20" s="729"/>
      <c r="AA20" s="729"/>
      <c r="AB20" s="729"/>
      <c r="AC20" s="729"/>
      <c r="AD20" s="729"/>
      <c r="AE20" s="729"/>
      <c r="AF20" s="729"/>
      <c r="AG20" s="729">
        <f>12500*1.22</f>
        <v>15250</v>
      </c>
      <c r="AH20" s="729"/>
      <c r="AJ20" s="745"/>
    </row>
    <row r="21" spans="2:36">
      <c r="B21" s="738" t="str">
        <f>ANACO!BJ4</f>
        <v>PRESIDIO
CANTIERE
SITE MNG
NOLI
CANTIERIZZAZIONE TOT.</v>
      </c>
      <c r="C21" s="739">
        <f>ANACO!BJ157</f>
        <v>4640.619775000001</v>
      </c>
      <c r="D21" s="740">
        <f t="shared" si="0"/>
        <v>4640.619775000001</v>
      </c>
      <c r="E21" s="737">
        <f t="shared" si="1"/>
        <v>4640.619775000001</v>
      </c>
      <c r="F21" s="727">
        <v>1</v>
      </c>
      <c r="G21" s="737">
        <f t="shared" si="3"/>
        <v>4640.619775000001</v>
      </c>
      <c r="H21" s="741">
        <f t="shared" si="4"/>
        <v>5661.5561255000011</v>
      </c>
      <c r="I21" s="742">
        <f t="shared" ref="I21:I22" si="9">SUM(J21:AH21)</f>
        <v>5661.5561255000011</v>
      </c>
      <c r="J21" s="729"/>
      <c r="K21" s="729"/>
      <c r="L21" s="729"/>
      <c r="M21" s="729"/>
      <c r="N21" s="729"/>
      <c r="O21" s="729"/>
      <c r="P21" s="729"/>
      <c r="Q21" s="729"/>
      <c r="R21" s="729"/>
      <c r="S21" s="729"/>
      <c r="T21" s="729"/>
      <c r="U21" s="729"/>
      <c r="V21" s="729"/>
      <c r="W21" s="729">
        <f>$H$21/5</f>
        <v>1132.3112251000002</v>
      </c>
      <c r="X21" s="729">
        <f t="shared" ref="X21:AA21" si="10">$H$21/5</f>
        <v>1132.3112251000002</v>
      </c>
      <c r="Y21" s="729">
        <f t="shared" si="10"/>
        <v>1132.3112251000002</v>
      </c>
      <c r="Z21" s="729">
        <f t="shared" si="10"/>
        <v>1132.3112251000002</v>
      </c>
      <c r="AA21" s="729">
        <f t="shared" si="10"/>
        <v>1132.3112251000002</v>
      </c>
      <c r="AB21" s="729"/>
      <c r="AC21" s="729"/>
      <c r="AD21" s="729"/>
      <c r="AE21" s="729"/>
      <c r="AF21" s="729"/>
      <c r="AG21" s="729"/>
      <c r="AH21" s="729"/>
    </row>
    <row r="22" spans="2:36">
      <c r="B22" s="738" t="str">
        <f>ANACO!BL4</f>
        <v>EXTRA
TOT.</v>
      </c>
      <c r="C22" s="739">
        <f>ANACO!BL157</f>
        <v>9281.2395500000021</v>
      </c>
      <c r="D22" s="740">
        <f t="shared" si="0"/>
        <v>9281.2395500000021</v>
      </c>
      <c r="E22" s="737">
        <f t="shared" si="1"/>
        <v>9281.2395500000021</v>
      </c>
      <c r="F22" s="727">
        <v>1</v>
      </c>
      <c r="G22" s="737">
        <f t="shared" si="3"/>
        <v>9281.2395500000021</v>
      </c>
      <c r="H22" s="741">
        <f t="shared" si="4"/>
        <v>11323.112251000002</v>
      </c>
      <c r="I22" s="742">
        <f t="shared" si="9"/>
        <v>11323.112251000002</v>
      </c>
      <c r="J22" s="729"/>
      <c r="K22" s="729"/>
      <c r="L22" s="729"/>
      <c r="M22" s="729"/>
      <c r="N22" s="729"/>
      <c r="O22" s="729"/>
      <c r="P22" s="729"/>
      <c r="Q22" s="729"/>
      <c r="R22" s="729"/>
      <c r="S22" s="729"/>
      <c r="T22" s="729"/>
      <c r="U22" s="729"/>
      <c r="V22" s="729"/>
      <c r="W22" s="729">
        <f>$H$22/5</f>
        <v>2264.6224502000005</v>
      </c>
      <c r="X22" s="729">
        <f>$H$22/5</f>
        <v>2264.6224502000005</v>
      </c>
      <c r="Y22" s="729">
        <f t="shared" ref="Y22:AA22" si="11">$H$22/5</f>
        <v>2264.6224502000005</v>
      </c>
      <c r="Z22" s="729">
        <f t="shared" si="11"/>
        <v>2264.6224502000005</v>
      </c>
      <c r="AA22" s="729">
        <f t="shared" si="11"/>
        <v>2264.6224502000005</v>
      </c>
      <c r="AB22" s="729"/>
      <c r="AC22" s="729"/>
      <c r="AD22" s="729"/>
      <c r="AE22" s="729"/>
      <c r="AF22" s="729"/>
      <c r="AG22" s="729"/>
      <c r="AH22" s="729"/>
    </row>
    <row r="23" spans="2:36">
      <c r="B23" s="738"/>
      <c r="C23" s="739"/>
      <c r="D23" s="740">
        <f t="shared" si="0"/>
        <v>0</v>
      </c>
      <c r="I23" s="727" t="s">
        <v>444</v>
      </c>
      <c r="J23" s="729">
        <f>SUM(J3:J22)</f>
        <v>20130</v>
      </c>
      <c r="K23" s="729">
        <f t="shared" ref="K23:AH23" si="12">SUM(K3:K22)</f>
        <v>0</v>
      </c>
      <c r="L23" s="729">
        <f t="shared" si="12"/>
        <v>0</v>
      </c>
      <c r="M23" s="729">
        <f t="shared" si="12"/>
        <v>0</v>
      </c>
      <c r="N23" s="729">
        <f t="shared" si="12"/>
        <v>45140</v>
      </c>
      <c r="O23" s="729">
        <f t="shared" si="12"/>
        <v>0</v>
      </c>
      <c r="P23" s="729">
        <f t="shared" si="12"/>
        <v>0</v>
      </c>
      <c r="Q23" s="729">
        <f t="shared" si="12"/>
        <v>0</v>
      </c>
      <c r="R23" s="729">
        <f t="shared" si="12"/>
        <v>0</v>
      </c>
      <c r="S23" s="729">
        <f t="shared" si="12"/>
        <v>161728.4631776</v>
      </c>
      <c r="T23" s="729">
        <f t="shared" si="12"/>
        <v>83143.692244266655</v>
      </c>
      <c r="U23" s="729">
        <f t="shared" si="12"/>
        <v>138423.71919426665</v>
      </c>
      <c r="V23" s="729">
        <f t="shared" si="12"/>
        <v>114220.991958</v>
      </c>
      <c r="W23" s="729">
        <f t="shared" si="12"/>
        <v>63668.970858633329</v>
      </c>
      <c r="X23" s="729">
        <f t="shared" si="12"/>
        <v>126552.69720887333</v>
      </c>
      <c r="Y23" s="729">
        <f t="shared" si="12"/>
        <v>149998.44472554</v>
      </c>
      <c r="Z23" s="729">
        <f t="shared" si="12"/>
        <v>137812.13922554001</v>
      </c>
      <c r="AA23" s="729">
        <f t="shared" si="12"/>
        <v>82532.112275540014</v>
      </c>
      <c r="AB23" s="729">
        <f t="shared" si="12"/>
        <v>27526.25</v>
      </c>
      <c r="AC23" s="729">
        <f t="shared" si="12"/>
        <v>0</v>
      </c>
      <c r="AD23" s="729">
        <f t="shared" si="12"/>
        <v>0</v>
      </c>
      <c r="AE23" s="729">
        <f t="shared" si="12"/>
        <v>0</v>
      </c>
      <c r="AF23" s="729">
        <f t="shared" si="12"/>
        <v>0</v>
      </c>
      <c r="AG23" s="729">
        <f t="shared" si="12"/>
        <v>15250</v>
      </c>
      <c r="AH23" s="729">
        <f t="shared" si="12"/>
        <v>0</v>
      </c>
    </row>
    <row r="24" spans="2:36">
      <c r="B24" s="738" t="str">
        <f>ANACO!BM3</f>
        <v>COSTI 
INDUSTRIALI DA COSTI MATERIALE</v>
      </c>
      <c r="C24" s="739">
        <f>ANACO!BO157</f>
        <v>0</v>
      </c>
      <c r="D24" s="740">
        <f t="shared" si="0"/>
        <v>0</v>
      </c>
      <c r="J24" s="729"/>
      <c r="K24" s="729"/>
      <c r="L24" s="729"/>
      <c r="M24" s="729"/>
      <c r="N24" s="729"/>
      <c r="O24" s="729"/>
      <c r="P24" s="729"/>
      <c r="Q24" s="729"/>
      <c r="R24" s="729"/>
      <c r="S24" s="729"/>
      <c r="T24" s="729"/>
      <c r="U24" s="729"/>
      <c r="V24" s="729"/>
      <c r="W24" s="729"/>
      <c r="X24" s="729"/>
      <c r="Y24" s="729"/>
      <c r="Z24" s="729"/>
      <c r="AA24" s="729"/>
      <c r="AB24" s="729"/>
      <c r="AC24" s="729"/>
      <c r="AD24" s="729"/>
      <c r="AE24" s="729"/>
      <c r="AF24" s="729"/>
      <c r="AG24" s="729"/>
      <c r="AH24" s="729"/>
    </row>
    <row r="25" spans="2:36">
      <c r="B25" s="746" t="str">
        <f>ANACO!BP3</f>
        <v>MOL SU BASE
COSTI MATERIALE</v>
      </c>
      <c r="C25" s="739">
        <f>ANACO!BR157</f>
        <v>296999.66560000007</v>
      </c>
      <c r="D25" s="740">
        <f t="shared" si="0"/>
        <v>296999.66560000007</v>
      </c>
      <c r="I25" s="727" t="s">
        <v>445</v>
      </c>
      <c r="J25" s="729">
        <f>E28</f>
        <v>231331.18328793001</v>
      </c>
      <c r="K25" s="729">
        <v>0</v>
      </c>
      <c r="L25" s="729">
        <v>0</v>
      </c>
      <c r="M25" s="729">
        <f>E29</f>
        <v>539772.76100516994</v>
      </c>
      <c r="N25" s="729"/>
      <c r="O25" s="729"/>
      <c r="P25" s="729"/>
      <c r="Q25" s="729"/>
      <c r="R25" s="729"/>
      <c r="S25" s="729"/>
      <c r="T25" s="729"/>
      <c r="U25" s="729"/>
      <c r="V25" s="729"/>
      <c r="W25" s="729"/>
      <c r="X25" s="729">
        <f>$E$30/4</f>
        <v>192775.98607327501</v>
      </c>
      <c r="Y25" s="729">
        <f t="shared" ref="Y25:AA25" si="13">$E$30/4</f>
        <v>192775.98607327501</v>
      </c>
      <c r="Z25" s="729">
        <f t="shared" si="13"/>
        <v>192775.98607327501</v>
      </c>
      <c r="AA25" s="729">
        <f t="shared" si="13"/>
        <v>192775.98607327501</v>
      </c>
      <c r="AB25" s="729"/>
      <c r="AC25" s="729"/>
      <c r="AD25" s="729"/>
      <c r="AE25" s="729"/>
      <c r="AH25" s="737">
        <f>$D$28*H26</f>
        <v>77110.394429310007</v>
      </c>
    </row>
    <row r="26" spans="2:36">
      <c r="B26" s="738" t="s">
        <v>440</v>
      </c>
      <c r="C26" s="747">
        <v>0</v>
      </c>
      <c r="D26" s="748"/>
      <c r="H26" s="727">
        <v>0.05</v>
      </c>
      <c r="I26" s="727" t="s">
        <v>446</v>
      </c>
      <c r="J26" s="729">
        <f>J25*$H$26</f>
        <v>11566.559164396502</v>
      </c>
      <c r="K26" s="729">
        <f t="shared" ref="K26:AG26" si="14">K25*$H$26</f>
        <v>0</v>
      </c>
      <c r="L26" s="729">
        <f t="shared" si="14"/>
        <v>0</v>
      </c>
      <c r="M26" s="729">
        <f t="shared" si="14"/>
        <v>26988.638050258498</v>
      </c>
      <c r="N26" s="729">
        <f t="shared" si="14"/>
        <v>0</v>
      </c>
      <c r="O26" s="729">
        <f t="shared" si="14"/>
        <v>0</v>
      </c>
      <c r="P26" s="729">
        <f t="shared" si="14"/>
        <v>0</v>
      </c>
      <c r="Q26" s="729">
        <f t="shared" si="14"/>
        <v>0</v>
      </c>
      <c r="R26" s="729">
        <f t="shared" si="14"/>
        <v>0</v>
      </c>
      <c r="S26" s="729">
        <f t="shared" si="14"/>
        <v>0</v>
      </c>
      <c r="T26" s="729">
        <f t="shared" si="14"/>
        <v>0</v>
      </c>
      <c r="U26" s="729">
        <f t="shared" si="14"/>
        <v>0</v>
      </c>
      <c r="V26" s="729">
        <f t="shared" si="14"/>
        <v>0</v>
      </c>
      <c r="W26" s="729">
        <f t="shared" si="14"/>
        <v>0</v>
      </c>
      <c r="X26" s="729">
        <f t="shared" si="14"/>
        <v>9638.7993036637508</v>
      </c>
      <c r="Y26" s="729">
        <f t="shared" si="14"/>
        <v>9638.7993036637508</v>
      </c>
      <c r="Z26" s="729">
        <f t="shared" si="14"/>
        <v>9638.7993036637508</v>
      </c>
      <c r="AA26" s="729">
        <f t="shared" si="14"/>
        <v>9638.7993036637508</v>
      </c>
      <c r="AB26" s="729">
        <f t="shared" si="14"/>
        <v>0</v>
      </c>
      <c r="AC26" s="729">
        <f t="shared" si="14"/>
        <v>0</v>
      </c>
      <c r="AD26" s="729">
        <f t="shared" si="14"/>
        <v>0</v>
      </c>
      <c r="AE26" s="729">
        <f t="shared" si="14"/>
        <v>0</v>
      </c>
      <c r="AF26" s="729">
        <f t="shared" si="14"/>
        <v>0</v>
      </c>
      <c r="AG26" s="729">
        <f t="shared" si="14"/>
        <v>0</v>
      </c>
      <c r="AH26" s="729"/>
    </row>
    <row r="27" spans="2:36" ht="8.25" thickBot="1">
      <c r="B27" s="749" t="s">
        <v>441</v>
      </c>
      <c r="C27" s="750">
        <f>SUM(C3:C25)*C26</f>
        <v>0</v>
      </c>
      <c r="D27" s="751">
        <f>SUM(D3:D25)</f>
        <v>1264104.8267100002</v>
      </c>
      <c r="E27" s="737">
        <f>SUM(E3:E26)</f>
        <v>903764.05675800005</v>
      </c>
      <c r="I27" s="727" t="s">
        <v>447</v>
      </c>
      <c r="J27" s="737">
        <f>J25-J23-J26</f>
        <v>199634.62412353349</v>
      </c>
      <c r="K27" s="737">
        <f>J27+(K25-K23-K26)</f>
        <v>199634.62412353349</v>
      </c>
      <c r="L27" s="737">
        <f t="shared" ref="L27:AG27" si="15">K27+(L25-L23-L26)</f>
        <v>199634.62412353349</v>
      </c>
      <c r="M27" s="737">
        <f t="shared" si="15"/>
        <v>712418.74707844493</v>
      </c>
      <c r="N27" s="737">
        <f t="shared" si="15"/>
        <v>667278.74707844493</v>
      </c>
      <c r="O27" s="737">
        <f t="shared" si="15"/>
        <v>667278.74707844493</v>
      </c>
      <c r="P27" s="737">
        <f t="shared" si="15"/>
        <v>667278.74707844493</v>
      </c>
      <c r="Q27" s="737">
        <f t="shared" si="15"/>
        <v>667278.74707844493</v>
      </c>
      <c r="R27" s="737">
        <f t="shared" si="15"/>
        <v>667278.74707844493</v>
      </c>
      <c r="S27" s="737">
        <f t="shared" si="15"/>
        <v>505550.28390084492</v>
      </c>
      <c r="T27" s="737">
        <f t="shared" si="15"/>
        <v>422406.59165657824</v>
      </c>
      <c r="U27" s="737">
        <f t="shared" si="15"/>
        <v>283982.87246231158</v>
      </c>
      <c r="V27" s="737">
        <f t="shared" si="15"/>
        <v>169761.88050431159</v>
      </c>
      <c r="W27" s="737">
        <f t="shared" si="15"/>
        <v>106092.90964567826</v>
      </c>
      <c r="X27" s="737">
        <f t="shared" si="15"/>
        <v>162677.39920641619</v>
      </c>
      <c r="Y27" s="737">
        <f t="shared" si="15"/>
        <v>195816.14125048745</v>
      </c>
      <c r="Z27" s="737">
        <f t="shared" si="15"/>
        <v>241141.18879455869</v>
      </c>
      <c r="AA27" s="737">
        <f t="shared" si="15"/>
        <v>341746.26328862994</v>
      </c>
      <c r="AB27" s="737">
        <f t="shared" si="15"/>
        <v>314220.01328862994</v>
      </c>
      <c r="AC27" s="737">
        <f t="shared" si="15"/>
        <v>314220.01328862994</v>
      </c>
      <c r="AD27" s="737">
        <f t="shared" si="15"/>
        <v>314220.01328862994</v>
      </c>
      <c r="AE27" s="737">
        <f t="shared" si="15"/>
        <v>314220.01328862994</v>
      </c>
      <c r="AF27" s="737">
        <f t="shared" si="15"/>
        <v>314220.01328862994</v>
      </c>
      <c r="AG27" s="737">
        <f t="shared" si="15"/>
        <v>298970.01328862994</v>
      </c>
      <c r="AH27" s="737">
        <f>AG27+(AH25-AH23-AH26)</f>
        <v>376080.40771793993</v>
      </c>
    </row>
    <row r="28" spans="2:36">
      <c r="C28" s="752">
        <v>1.22</v>
      </c>
      <c r="D28" s="729">
        <f>D27*C28</f>
        <v>1542207.8885862001</v>
      </c>
      <c r="E28" s="737">
        <f>$D$28*F28</f>
        <v>231331.18328793001</v>
      </c>
      <c r="F28" s="727">
        <v>0.15</v>
      </c>
      <c r="L28" s="729"/>
      <c r="M28" s="729"/>
      <c r="N28" s="729"/>
      <c r="O28" s="729"/>
      <c r="P28" s="729"/>
      <c r="Q28" s="729"/>
      <c r="R28" s="729"/>
      <c r="S28" s="729"/>
      <c r="T28" s="729"/>
      <c r="U28" s="729"/>
      <c r="V28" s="729"/>
      <c r="W28" s="729"/>
      <c r="X28" s="729"/>
      <c r="Y28" s="729"/>
      <c r="Z28" s="729"/>
      <c r="AA28" s="729"/>
      <c r="AB28" s="729"/>
      <c r="AC28" s="729"/>
      <c r="AD28" s="729"/>
      <c r="AE28" s="729"/>
    </row>
    <row r="29" spans="2:36">
      <c r="E29" s="737">
        <f t="shared" ref="E29:E30" si="16">$D$28*F29</f>
        <v>539772.76100516994</v>
      </c>
      <c r="F29" s="727">
        <v>0.35</v>
      </c>
      <c r="L29" s="729"/>
      <c r="M29" s="729"/>
      <c r="N29" s="729"/>
      <c r="O29" s="729"/>
      <c r="P29" s="729"/>
      <c r="Q29" s="729"/>
      <c r="R29" s="729"/>
      <c r="S29" s="729"/>
      <c r="T29" s="729"/>
      <c r="U29" s="729"/>
      <c r="V29" s="729"/>
      <c r="W29" s="729"/>
      <c r="X29" s="729"/>
      <c r="Y29" s="729"/>
      <c r="Z29" s="729"/>
      <c r="AA29" s="729"/>
      <c r="AB29" s="729"/>
      <c r="AC29" s="729"/>
      <c r="AD29" s="729"/>
      <c r="AE29" s="729"/>
    </row>
    <row r="30" spans="2:36">
      <c r="E30" s="737">
        <f t="shared" si="16"/>
        <v>771103.94429310004</v>
      </c>
      <c r="F30" s="727">
        <v>0.5</v>
      </c>
      <c r="L30" s="729"/>
      <c r="M30" s="729"/>
      <c r="N30" s="729"/>
      <c r="O30" s="729"/>
      <c r="P30" s="729"/>
      <c r="Q30" s="729"/>
      <c r="R30" s="729"/>
      <c r="S30" s="729"/>
      <c r="T30" s="729"/>
      <c r="U30" s="729"/>
      <c r="V30" s="729"/>
      <c r="W30" s="729"/>
      <c r="X30" s="729"/>
      <c r="Y30" s="729"/>
      <c r="Z30" s="729"/>
      <c r="AA30" s="729"/>
      <c r="AB30" s="729"/>
      <c r="AC30" s="729"/>
      <c r="AD30" s="729"/>
      <c r="AE30" s="729"/>
    </row>
    <row r="31" spans="2:36">
      <c r="D31" s="727">
        <f>D25/D27</f>
        <v>0.23494860499265788</v>
      </c>
      <c r="M31" s="737"/>
    </row>
    <row r="32" spans="2:36">
      <c r="F32" s="727">
        <v>0.25</v>
      </c>
      <c r="M32" s="737"/>
    </row>
    <row r="33" spans="6:6">
      <c r="F33" s="727">
        <v>0.1</v>
      </c>
    </row>
    <row r="34" spans="6:6">
      <c r="F34" s="727">
        <v>0.65</v>
      </c>
    </row>
  </sheetData>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83889E-3BA5-4E3D-AC66-02FD173EEB27}">
  <dimension ref="B1:BH37"/>
  <sheetViews>
    <sheetView topLeftCell="A8" zoomScale="213" zoomScaleNormal="160" workbookViewId="0">
      <selection activeCell="D21" sqref="D21"/>
    </sheetView>
  </sheetViews>
  <sheetFormatPr defaultColWidth="9.140625" defaultRowHeight="7.9"/>
  <cols>
    <col min="1" max="1" width="2" style="727" customWidth="1"/>
    <col min="2" max="2" width="33.7109375" style="727" customWidth="1"/>
    <col min="3" max="3" width="9" style="729" bestFit="1" customWidth="1"/>
    <col min="4" max="4" width="10" style="727" bestFit="1" customWidth="1"/>
    <col min="5" max="5" width="10" style="727" customWidth="1"/>
    <col min="6" max="6" width="3.85546875" style="727" customWidth="1"/>
    <col min="7" max="8" width="9.140625" style="727"/>
    <col min="9" max="9" width="11.7109375" style="727" customWidth="1"/>
    <col min="10" max="10" width="8.28515625" style="727" bestFit="1" customWidth="1"/>
    <col min="11" max="11" width="9" style="727" bestFit="1" customWidth="1"/>
    <col min="12" max="12" width="10.140625" style="727" bestFit="1" customWidth="1"/>
    <col min="13" max="14" width="9" style="727" bestFit="1" customWidth="1"/>
    <col min="15" max="18" width="7.7109375" style="727" bestFit="1" customWidth="1"/>
    <col min="19" max="19" width="9" style="727" bestFit="1" customWidth="1"/>
    <col min="20" max="20" width="8.28515625" style="727" bestFit="1" customWidth="1"/>
    <col min="21" max="21" width="9" style="727" bestFit="1" customWidth="1"/>
    <col min="22" max="23" width="8.28515625" style="727" bestFit="1" customWidth="1"/>
    <col min="24" max="25" width="9" style="727" bestFit="1" customWidth="1"/>
    <col min="26" max="34" width="9.28515625" style="727" bestFit="1" customWidth="1"/>
    <col min="35" max="16384" width="9.140625" style="727"/>
  </cols>
  <sheetData>
    <row r="1" spans="2:60" ht="15.75">
      <c r="F1" s="727" t="s">
        <v>442</v>
      </c>
      <c r="H1" s="730">
        <v>1.22</v>
      </c>
      <c r="I1" s="731" t="s">
        <v>443</v>
      </c>
      <c r="J1" s="732">
        <v>46023</v>
      </c>
      <c r="K1" s="732">
        <v>46054</v>
      </c>
      <c r="L1" s="732">
        <v>46082</v>
      </c>
      <c r="M1" s="732">
        <v>46113</v>
      </c>
      <c r="N1" s="732">
        <v>46143</v>
      </c>
      <c r="O1" s="732">
        <v>46174</v>
      </c>
      <c r="P1" s="732">
        <v>46204</v>
      </c>
      <c r="Q1" s="732">
        <v>46235</v>
      </c>
      <c r="R1" s="732">
        <v>46266</v>
      </c>
      <c r="S1" s="732">
        <v>46296</v>
      </c>
      <c r="T1" s="732">
        <v>46327</v>
      </c>
      <c r="U1" s="732">
        <v>46357</v>
      </c>
      <c r="V1" s="732">
        <v>46388</v>
      </c>
      <c r="W1" s="732">
        <v>46419</v>
      </c>
      <c r="X1" s="732">
        <v>46447</v>
      </c>
      <c r="Y1" s="732">
        <v>46478</v>
      </c>
      <c r="Z1" s="732">
        <v>46508</v>
      </c>
      <c r="AA1" s="732">
        <v>46539</v>
      </c>
      <c r="AB1" s="732">
        <v>46569</v>
      </c>
      <c r="AC1" s="732">
        <v>46600</v>
      </c>
      <c r="AD1" s="732">
        <v>46631</v>
      </c>
      <c r="AE1" s="732">
        <v>46661</v>
      </c>
      <c r="AF1" s="732">
        <v>46692</v>
      </c>
      <c r="AG1" s="732">
        <v>46722</v>
      </c>
      <c r="AH1" s="732">
        <v>46753</v>
      </c>
      <c r="AI1" s="732"/>
      <c r="AJ1" s="732"/>
      <c r="AK1" s="732"/>
      <c r="AL1" s="732"/>
      <c r="AM1" s="732"/>
      <c r="AN1" s="732"/>
      <c r="AO1" s="732"/>
      <c r="AP1" s="732"/>
      <c r="AQ1" s="732"/>
      <c r="AR1" s="732"/>
      <c r="AS1" s="732"/>
      <c r="AT1" s="732"/>
      <c r="AU1" s="732"/>
      <c r="AV1" s="732"/>
      <c r="AW1" s="732"/>
      <c r="AX1" s="732"/>
      <c r="AY1" s="732"/>
      <c r="AZ1" s="732"/>
      <c r="BA1" s="732"/>
      <c r="BB1" s="732"/>
      <c r="BC1" s="732"/>
      <c r="BD1" s="732"/>
      <c r="BE1" s="732"/>
      <c r="BF1" s="732"/>
      <c r="BG1" s="732"/>
      <c r="BH1" s="732"/>
    </row>
    <row r="2" spans="2:60" ht="8.25" thickBot="1">
      <c r="F2" s="727">
        <v>630</v>
      </c>
      <c r="H2" s="730"/>
      <c r="I2" s="733"/>
      <c r="J2" s="729"/>
      <c r="K2" s="729"/>
      <c r="L2" s="729"/>
      <c r="M2" s="729"/>
      <c r="N2" s="729"/>
      <c r="O2" s="729"/>
      <c r="P2" s="729"/>
      <c r="Q2" s="729"/>
      <c r="R2" s="729"/>
      <c r="S2" s="729"/>
      <c r="T2" s="729"/>
      <c r="U2" s="729"/>
      <c r="V2" s="729"/>
      <c r="W2" s="729"/>
      <c r="X2" s="729"/>
      <c r="Y2" s="729"/>
      <c r="Z2" s="729"/>
      <c r="AA2" s="729"/>
      <c r="AB2" s="729"/>
      <c r="AC2" s="729"/>
      <c r="AD2" s="729"/>
      <c r="AE2" s="729"/>
      <c r="AF2" s="729"/>
      <c r="AG2" s="729"/>
      <c r="AH2" s="729"/>
    </row>
    <row r="3" spans="2:60">
      <c r="B3" s="734" t="str">
        <f>ANACO!O4</f>
        <v>PRODOTTO ACQUISTATO FINITO LEGNO O LEGNO ALLUMINIO
Scontato
TOTALE</v>
      </c>
      <c r="C3" s="735">
        <f>ANACO!O157</f>
        <v>0</v>
      </c>
      <c r="D3" s="736">
        <f>C3*(1-$C$26)</f>
        <v>0</v>
      </c>
      <c r="E3" s="737">
        <f>D3*F3</f>
        <v>0</v>
      </c>
      <c r="F3" s="727">
        <v>0.95</v>
      </c>
      <c r="H3" s="730"/>
      <c r="I3" s="733"/>
      <c r="J3" s="729"/>
      <c r="K3" s="729"/>
      <c r="L3" s="729"/>
      <c r="M3" s="729"/>
      <c r="N3" s="729"/>
      <c r="O3" s="729"/>
      <c r="P3" s="729"/>
      <c r="Q3" s="729"/>
      <c r="R3" s="729"/>
      <c r="S3" s="729"/>
      <c r="T3" s="729"/>
      <c r="U3" s="729"/>
      <c r="V3" s="729"/>
      <c r="W3" s="729"/>
      <c r="X3" s="729"/>
      <c r="Y3" s="729"/>
      <c r="Z3" s="729"/>
      <c r="AA3" s="729"/>
      <c r="AB3" s="729"/>
      <c r="AC3" s="729"/>
      <c r="AD3" s="729"/>
      <c r="AE3" s="729"/>
      <c r="AF3" s="729"/>
      <c r="AG3" s="729"/>
      <c r="AH3" s="729"/>
    </row>
    <row r="4" spans="2:60">
      <c r="B4" s="738" t="str">
        <f>ANACO!S4</f>
        <v>ST /LZ - STAFFAME
TOT.</v>
      </c>
      <c r="C4" s="739">
        <f>ANACO!S157</f>
        <v>0</v>
      </c>
      <c r="D4" s="740">
        <f t="shared" ref="D4:D25" si="0">C4*(1-$C$26)</f>
        <v>0</v>
      </c>
      <c r="E4" s="737">
        <f t="shared" ref="E4:E22" si="1">D4*F4</f>
        <v>0</v>
      </c>
      <c r="F4" s="727">
        <v>1</v>
      </c>
      <c r="H4" s="730"/>
      <c r="I4" s="733"/>
      <c r="J4" s="729"/>
      <c r="K4" s="729"/>
      <c r="L4" s="729"/>
      <c r="M4" s="729"/>
      <c r="N4" s="729"/>
      <c r="O4" s="729"/>
      <c r="P4" s="729"/>
      <c r="Q4" s="729"/>
      <c r="R4" s="729"/>
      <c r="S4" s="729"/>
      <c r="T4" s="729"/>
      <c r="U4" s="729"/>
      <c r="V4" s="729"/>
      <c r="W4" s="729"/>
      <c r="X4" s="729"/>
      <c r="Y4" s="729"/>
      <c r="Z4" s="729"/>
      <c r="AA4" s="729"/>
      <c r="AB4" s="729"/>
      <c r="AC4" s="729"/>
      <c r="AD4" s="729"/>
      <c r="AE4" s="729"/>
      <c r="AF4" s="729"/>
      <c r="AG4" s="729"/>
      <c r="AH4" s="729"/>
    </row>
    <row r="5" spans="2:60">
      <c r="B5" s="738" t="str">
        <f>ANACO!W4</f>
        <v>Accessorio
Maniglie e 
Maniglioni
TOTALE</v>
      </c>
      <c r="C5" s="739">
        <f>ANACO!W157</f>
        <v>51960</v>
      </c>
      <c r="D5" s="740">
        <f t="shared" si="0"/>
        <v>51960</v>
      </c>
      <c r="E5" s="737">
        <f t="shared" si="1"/>
        <v>46764</v>
      </c>
      <c r="F5" s="727">
        <v>0.9</v>
      </c>
      <c r="G5" s="737">
        <f>E5</f>
        <v>46764</v>
      </c>
      <c r="H5" s="741">
        <f>G5*$H$1</f>
        <v>57052.08</v>
      </c>
      <c r="I5" s="742">
        <f t="shared" ref="I5:I19" si="2">SUM(J5:AH5)</f>
        <v>57052.08</v>
      </c>
      <c r="J5" s="729"/>
      <c r="K5" s="729"/>
      <c r="L5" s="729"/>
      <c r="M5" s="729"/>
      <c r="N5" s="729"/>
      <c r="O5" s="729"/>
      <c r="P5" s="729"/>
      <c r="Q5" s="729"/>
      <c r="R5" s="729"/>
      <c r="S5" s="729">
        <f>H5</f>
        <v>57052.08</v>
      </c>
      <c r="T5" s="729"/>
      <c r="U5" s="729"/>
      <c r="V5" s="729"/>
      <c r="W5" s="729"/>
      <c r="X5" s="729"/>
      <c r="Y5" s="729"/>
      <c r="Z5" s="729"/>
      <c r="AA5" s="729"/>
      <c r="AB5" s="729"/>
      <c r="AC5" s="729"/>
      <c r="AD5" s="729"/>
      <c r="AE5" s="729"/>
      <c r="AF5" s="729"/>
      <c r="AG5" s="729"/>
      <c r="AH5" s="729"/>
    </row>
    <row r="6" spans="2:60">
      <c r="B6" s="738" t="str">
        <f>ANACO!AC4</f>
        <v>LA
TOTALE</v>
      </c>
      <c r="C6" s="739">
        <f>ANACO!AC157</f>
        <v>20324.920000000002</v>
      </c>
      <c r="D6" s="740">
        <f t="shared" si="0"/>
        <v>20324.920000000002</v>
      </c>
      <c r="E6" s="737">
        <f t="shared" si="1"/>
        <v>18698.926400000004</v>
      </c>
      <c r="F6" s="727">
        <v>0.92</v>
      </c>
      <c r="G6" s="737">
        <f t="shared" ref="G6:G22" si="3">E6</f>
        <v>18698.926400000004</v>
      </c>
      <c r="H6" s="741">
        <f t="shared" ref="H6:H22" si="4">G6*$H$1</f>
        <v>22812.690208000004</v>
      </c>
      <c r="I6" s="742">
        <f>SUM(J6:AG6)</f>
        <v>22812.690208000004</v>
      </c>
      <c r="J6" s="729"/>
      <c r="K6" s="729"/>
      <c r="L6" s="729"/>
      <c r="M6" s="729"/>
      <c r="N6" s="729"/>
      <c r="O6" s="729"/>
      <c r="P6" s="729"/>
      <c r="Q6" s="729"/>
      <c r="R6" s="729"/>
      <c r="S6" s="729"/>
      <c r="T6" s="729"/>
      <c r="U6" s="729"/>
      <c r="V6" s="729">
        <f>H6</f>
        <v>22812.690208000004</v>
      </c>
      <c r="W6" s="729"/>
      <c r="X6" s="729"/>
      <c r="Y6" s="729"/>
      <c r="Z6" s="729"/>
      <c r="AA6" s="729"/>
      <c r="AB6" s="729"/>
      <c r="AC6" s="729"/>
      <c r="AD6" s="729"/>
      <c r="AE6" s="729"/>
      <c r="AG6" s="729"/>
    </row>
    <row r="7" spans="2:60">
      <c r="B7" s="738" t="str">
        <f>ANACO!AE4</f>
        <v xml:space="preserve">
PACCHETTO DI COIBENTAZIONECOIBENTAZIONE
TOTALE</v>
      </c>
      <c r="C7" s="739">
        <f>ANACO!AE157</f>
        <v>9839.9080000000013</v>
      </c>
      <c r="D7" s="740">
        <f t="shared" si="0"/>
        <v>9839.9080000000013</v>
      </c>
      <c r="E7" s="737">
        <f t="shared" si="1"/>
        <v>9839.9080000000013</v>
      </c>
      <c r="F7" s="727">
        <v>1</v>
      </c>
      <c r="G7" s="737">
        <f t="shared" si="3"/>
        <v>9839.9080000000013</v>
      </c>
      <c r="H7" s="741">
        <f t="shared" si="4"/>
        <v>12004.687760000001</v>
      </c>
      <c r="I7" s="742">
        <f t="shared" si="2"/>
        <v>12004.687760000001</v>
      </c>
      <c r="J7" s="729"/>
      <c r="K7" s="729"/>
      <c r="L7" s="729"/>
      <c r="M7" s="729"/>
      <c r="N7" s="729"/>
      <c r="O7" s="729"/>
      <c r="P7" s="729"/>
      <c r="Q7" s="729"/>
      <c r="R7" s="729"/>
      <c r="S7" s="729"/>
      <c r="T7" s="729"/>
      <c r="U7" s="729"/>
      <c r="V7" s="729"/>
      <c r="W7" s="729"/>
      <c r="X7" s="729">
        <f>H7</f>
        <v>12004.687760000001</v>
      </c>
      <c r="Y7" s="729"/>
      <c r="Z7" s="729"/>
      <c r="AA7" s="729"/>
      <c r="AB7" s="729"/>
      <c r="AC7" s="729"/>
      <c r="AD7" s="729"/>
      <c r="AE7" s="729"/>
      <c r="AF7" s="729"/>
      <c r="AG7" s="729"/>
      <c r="AH7" s="729"/>
    </row>
    <row r="8" spans="2:60">
      <c r="B8" s="738" t="str">
        <f>ANACO!AG4</f>
        <v>SISTEMA ALLUMINIO E ACCESSORI DI SISTEMA 
TOTALE</v>
      </c>
      <c r="C8" s="739">
        <f>ANACO!AG157</f>
        <v>85329</v>
      </c>
      <c r="D8" s="740">
        <f t="shared" si="0"/>
        <v>85329</v>
      </c>
      <c r="E8" s="737">
        <f t="shared" si="1"/>
        <v>80209.259999999995</v>
      </c>
      <c r="F8" s="727">
        <v>0.94</v>
      </c>
      <c r="G8" s="737">
        <f t="shared" si="3"/>
        <v>80209.259999999995</v>
      </c>
      <c r="H8" s="741">
        <f t="shared" si="4"/>
        <v>97855.297199999986</v>
      </c>
      <c r="I8" s="742">
        <f t="shared" si="2"/>
        <v>97855.297199999986</v>
      </c>
      <c r="J8" s="729"/>
      <c r="K8" s="729"/>
      <c r="L8" s="729"/>
      <c r="M8" s="729"/>
      <c r="N8" s="729"/>
      <c r="O8" s="729"/>
      <c r="P8" s="729"/>
      <c r="Q8" s="729"/>
      <c r="R8" s="729"/>
      <c r="S8" s="729"/>
      <c r="T8" s="729">
        <f>$H$8/3</f>
        <v>32618.432399999994</v>
      </c>
      <c r="U8" s="729">
        <f t="shared" ref="U8:V8" si="5">$H$8/3</f>
        <v>32618.432399999994</v>
      </c>
      <c r="V8" s="729">
        <f t="shared" si="5"/>
        <v>32618.432399999994</v>
      </c>
      <c r="W8" s="729"/>
      <c r="X8" s="729"/>
      <c r="Y8" s="729"/>
      <c r="Z8" s="729"/>
      <c r="AA8" s="729"/>
      <c r="AB8" s="729"/>
      <c r="AC8" s="729"/>
      <c r="AD8" s="729"/>
      <c r="AE8" s="729"/>
      <c r="AF8" s="729"/>
      <c r="AG8" s="729"/>
      <c r="AH8" s="729"/>
    </row>
    <row r="9" spans="2:60">
      <c r="B9" s="738" t="str">
        <f>ANACO!AI4</f>
        <v>SISTEMA ACCIAIO E ACCESSORI DI SISTEMA  TOTALE</v>
      </c>
      <c r="C9" s="739">
        <f>ANACO!AI157</f>
        <v>128084.992</v>
      </c>
      <c r="D9" s="740">
        <f t="shared" si="0"/>
        <v>128084.992</v>
      </c>
      <c r="E9" s="737">
        <f t="shared" si="1"/>
        <v>124242.44223999999</v>
      </c>
      <c r="F9" s="727">
        <v>0.97</v>
      </c>
      <c r="G9" s="737">
        <f t="shared" si="3"/>
        <v>124242.44223999999</v>
      </c>
      <c r="H9" s="741">
        <f t="shared" si="4"/>
        <v>151575.77953279999</v>
      </c>
      <c r="I9" s="742">
        <f t="shared" si="2"/>
        <v>151575.77953279999</v>
      </c>
      <c r="J9" s="729"/>
      <c r="K9" s="729"/>
      <c r="L9" s="729"/>
      <c r="M9" s="729"/>
      <c r="N9" s="729"/>
      <c r="O9" s="729"/>
      <c r="P9" s="729"/>
      <c r="Q9" s="729"/>
      <c r="R9" s="729"/>
      <c r="S9" s="729">
        <f>$H$9/3</f>
        <v>50525.259844266664</v>
      </c>
      <c r="T9" s="729">
        <f t="shared" ref="T9:U9" si="6">$H$9/3</f>
        <v>50525.259844266664</v>
      </c>
      <c r="U9" s="729">
        <f t="shared" si="6"/>
        <v>50525.259844266664</v>
      </c>
      <c r="W9" s="729"/>
      <c r="X9" s="729"/>
      <c r="Y9" s="729"/>
      <c r="Z9" s="729"/>
      <c r="AA9" s="729"/>
      <c r="AB9" s="729"/>
      <c r="AC9" s="729"/>
      <c r="AD9" s="729"/>
      <c r="AE9" s="729"/>
      <c r="AF9" s="729"/>
      <c r="AG9" s="729"/>
      <c r="AH9" s="729"/>
    </row>
    <row r="10" spans="2:60">
      <c r="B10" s="738" t="str">
        <f>ANACO!AK4</f>
        <v>Trasformazione Acciaio
TOTALE</v>
      </c>
      <c r="C10" s="739">
        <f>ANACO!AK157</f>
        <v>106630</v>
      </c>
      <c r="D10" s="740">
        <f t="shared" si="0"/>
        <v>106630</v>
      </c>
      <c r="E10" s="737">
        <f t="shared" si="1"/>
        <v>101298.5</v>
      </c>
      <c r="F10" s="727">
        <v>0.95</v>
      </c>
      <c r="G10" s="737">
        <f t="shared" si="3"/>
        <v>101298.5</v>
      </c>
      <c r="H10" s="741">
        <f t="shared" si="4"/>
        <v>123584.17</v>
      </c>
      <c r="I10" s="742">
        <f t="shared" si="2"/>
        <v>123584.17000000001</v>
      </c>
      <c r="J10" s="729"/>
      <c r="K10" s="729"/>
      <c r="L10" s="729"/>
      <c r="M10" s="729"/>
      <c r="N10" s="729"/>
      <c r="O10" s="729"/>
      <c r="P10" s="729"/>
      <c r="Q10" s="729"/>
      <c r="R10" s="729"/>
      <c r="S10" s="729">
        <f>$H$10/3</f>
        <v>41194.723333333335</v>
      </c>
      <c r="T10" s="729"/>
      <c r="U10" s="729"/>
      <c r="V10" s="729"/>
      <c r="W10" s="729">
        <f>$H$10/3</f>
        <v>41194.723333333335</v>
      </c>
      <c r="X10" s="729">
        <f>$H$10/3</f>
        <v>41194.723333333335</v>
      </c>
      <c r="Y10" s="729"/>
      <c r="Z10" s="729"/>
      <c r="AA10" s="729"/>
      <c r="AB10" s="729"/>
      <c r="AC10" s="729"/>
      <c r="AD10" s="729"/>
      <c r="AE10" s="729"/>
      <c r="AF10" s="729"/>
      <c r="AG10" s="729"/>
      <c r="AH10" s="729"/>
    </row>
    <row r="11" spans="2:60">
      <c r="B11" s="743" t="str">
        <f>ANACO!AM4</f>
        <v>Automatismo
TOTALE</v>
      </c>
      <c r="C11" s="739">
        <f>ANACO!AM157</f>
        <v>10620</v>
      </c>
      <c r="D11" s="740">
        <f t="shared" si="0"/>
        <v>10620</v>
      </c>
      <c r="E11" s="737">
        <f t="shared" si="1"/>
        <v>10620</v>
      </c>
      <c r="F11" s="727">
        <v>1</v>
      </c>
      <c r="G11" s="737">
        <f t="shared" si="3"/>
        <v>10620</v>
      </c>
      <c r="H11" s="741">
        <f t="shared" si="4"/>
        <v>12956.4</v>
      </c>
      <c r="I11" s="742">
        <f t="shared" si="2"/>
        <v>12956.4</v>
      </c>
      <c r="J11" s="729"/>
      <c r="K11" s="729"/>
      <c r="L11" s="729"/>
      <c r="M11" s="729"/>
      <c r="N11" s="729"/>
      <c r="O11" s="729"/>
      <c r="P11" s="729"/>
      <c r="Q11" s="729"/>
      <c r="R11" s="729"/>
      <c r="S11" s="729">
        <f>H11</f>
        <v>12956.4</v>
      </c>
      <c r="T11" s="729"/>
      <c r="U11" s="729"/>
      <c r="V11" s="729"/>
      <c r="W11" s="729"/>
      <c r="X11" s="729"/>
      <c r="Y11" s="729"/>
      <c r="Z11" s="729"/>
      <c r="AA11" s="729"/>
      <c r="AB11" s="729"/>
      <c r="AC11" s="729"/>
      <c r="AD11" s="729"/>
      <c r="AE11" s="729"/>
      <c r="AF11" s="729"/>
      <c r="AG11" s="729"/>
      <c r="AH11" s="729"/>
    </row>
    <row r="12" spans="2:60">
      <c r="B12" s="738" t="str">
        <f>ANACO!AO4</f>
        <v>Vetro
TOTALE.</v>
      </c>
      <c r="C12" s="739">
        <f>ANACO!AO157</f>
        <v>151038.32499999998</v>
      </c>
      <c r="D12" s="740">
        <f t="shared" si="0"/>
        <v>151038.32499999998</v>
      </c>
      <c r="E12" s="737">
        <f t="shared" si="1"/>
        <v>135934.49249999999</v>
      </c>
      <c r="F12" s="727">
        <v>0.9</v>
      </c>
      <c r="G12" s="737">
        <f t="shared" si="3"/>
        <v>135934.49249999999</v>
      </c>
      <c r="H12" s="741">
        <f t="shared" si="4"/>
        <v>165840.08085</v>
      </c>
      <c r="I12" s="742">
        <f t="shared" si="2"/>
        <v>165840.08085</v>
      </c>
      <c r="J12" s="729"/>
      <c r="K12" s="729"/>
      <c r="L12" s="729"/>
      <c r="M12" s="729"/>
      <c r="N12" s="729"/>
      <c r="O12" s="729"/>
      <c r="P12" s="729"/>
      <c r="Q12" s="729"/>
      <c r="R12" s="729"/>
      <c r="S12" s="729"/>
      <c r="T12" s="729"/>
      <c r="U12" s="729">
        <f>$H$12/3</f>
        <v>55280.026949999999</v>
      </c>
      <c r="V12" s="729"/>
      <c r="W12" s="729"/>
      <c r="Y12" s="729">
        <f>$H$12/3</f>
        <v>55280.026949999999</v>
      </c>
      <c r="Z12" s="729">
        <f>$H$12/3</f>
        <v>55280.026949999999</v>
      </c>
      <c r="AA12" s="729"/>
      <c r="AB12" s="729"/>
      <c r="AC12" s="729"/>
      <c r="AD12" s="729"/>
      <c r="AE12" s="729"/>
      <c r="AF12" s="729"/>
      <c r="AG12" s="729"/>
      <c r="AH12" s="729"/>
    </row>
    <row r="13" spans="2:60">
      <c r="B13" s="738" t="str">
        <f>ANACO!AQ4</f>
        <v>Pannell
TOTALE</v>
      </c>
      <c r="C13" s="739">
        <f>ANACO!AQ157</f>
        <v>0</v>
      </c>
      <c r="D13" s="740">
        <f t="shared" si="0"/>
        <v>0</v>
      </c>
      <c r="E13" s="737">
        <f t="shared" si="1"/>
        <v>0</v>
      </c>
      <c r="F13" s="727">
        <v>1</v>
      </c>
      <c r="G13" s="737">
        <f t="shared" si="3"/>
        <v>0</v>
      </c>
      <c r="H13" s="741">
        <f t="shared" si="4"/>
        <v>0</v>
      </c>
      <c r="I13" s="742">
        <f t="shared" si="2"/>
        <v>0</v>
      </c>
      <c r="J13" s="729"/>
      <c r="K13" s="729"/>
      <c r="L13" s="729"/>
      <c r="M13" s="729"/>
      <c r="N13" s="729"/>
      <c r="O13" s="729"/>
      <c r="P13" s="729"/>
      <c r="Q13" s="729"/>
      <c r="R13" s="729"/>
      <c r="S13" s="729"/>
      <c r="T13" s="729"/>
      <c r="U13" s="729"/>
      <c r="V13" s="729"/>
      <c r="W13" s="729"/>
      <c r="X13" s="729"/>
      <c r="Y13" s="729"/>
      <c r="Z13" s="729"/>
      <c r="AA13" s="729"/>
      <c r="AB13" s="729"/>
      <c r="AC13" s="729"/>
      <c r="AD13" s="729"/>
      <c r="AE13" s="729"/>
      <c r="AF13" s="729"/>
      <c r="AG13" s="729"/>
      <c r="AH13" s="729"/>
    </row>
    <row r="14" spans="2:60">
      <c r="B14" s="738" t="str">
        <f>ANACO!AS4</f>
        <v>Controtelaio
TOTALE.</v>
      </c>
      <c r="C14" s="739">
        <f>ANACO!AS157</f>
        <v>32920.300000000003</v>
      </c>
      <c r="D14" s="740">
        <f t="shared" si="0"/>
        <v>32920.300000000003</v>
      </c>
      <c r="E14" s="737">
        <f t="shared" si="1"/>
        <v>31274.285</v>
      </c>
      <c r="F14" s="727">
        <v>0.95</v>
      </c>
      <c r="G14" s="737">
        <f t="shared" si="3"/>
        <v>31274.285</v>
      </c>
      <c r="H14" s="741">
        <f t="shared" si="4"/>
        <v>38154.627699999997</v>
      </c>
      <c r="I14" s="742">
        <f t="shared" si="2"/>
        <v>38154.627699999997</v>
      </c>
      <c r="J14" s="729"/>
      <c r="K14" s="729"/>
      <c r="L14" s="729"/>
      <c r="M14" s="729"/>
      <c r="N14" s="729"/>
      <c r="O14" s="729"/>
      <c r="P14" s="729"/>
      <c r="Q14" s="729"/>
      <c r="R14" s="729"/>
      <c r="S14" s="729"/>
      <c r="T14" s="729"/>
      <c r="U14" s="729"/>
      <c r="V14" s="729">
        <f>$H$14/2</f>
        <v>19077.313849999999</v>
      </c>
      <c r="W14" s="729">
        <f>$H$14/2</f>
        <v>19077.313849999999</v>
      </c>
      <c r="X14" s="729"/>
      <c r="Y14" s="729"/>
      <c r="Z14" s="729"/>
      <c r="AA14" s="729"/>
      <c r="AB14" s="729"/>
      <c r="AC14" s="729"/>
      <c r="AD14" s="729"/>
      <c r="AE14" s="729"/>
      <c r="AF14" s="729"/>
      <c r="AG14" s="729"/>
      <c r="AH14" s="729"/>
    </row>
    <row r="15" spans="2:60">
      <c r="B15" s="738" t="str">
        <f>ANACO!AU4</f>
        <v>Trasformazione
Alluminio
TOTALE.</v>
      </c>
      <c r="C15" s="739">
        <f>ANACO!AU157</f>
        <v>102793.5</v>
      </c>
      <c r="D15" s="740">
        <f t="shared" si="0"/>
        <v>102793.5</v>
      </c>
      <c r="E15" s="737">
        <f t="shared" si="1"/>
        <v>97653.824999999997</v>
      </c>
      <c r="F15" s="727">
        <v>0.95</v>
      </c>
      <c r="G15" s="737">
        <f t="shared" si="3"/>
        <v>97653.824999999997</v>
      </c>
      <c r="H15" s="741">
        <f t="shared" si="4"/>
        <v>119137.66649999999</v>
      </c>
      <c r="I15" s="742">
        <f t="shared" si="2"/>
        <v>119137.66649999999</v>
      </c>
      <c r="J15" s="729"/>
      <c r="K15" s="729"/>
      <c r="L15" s="729"/>
      <c r="M15" s="729"/>
      <c r="N15" s="729"/>
      <c r="O15" s="729"/>
      <c r="P15" s="729"/>
      <c r="Q15" s="729"/>
      <c r="R15" s="729"/>
      <c r="S15" s="729"/>
      <c r="T15" s="729"/>
      <c r="U15" s="729"/>
      <c r="V15" s="729">
        <f>$H$15/3</f>
        <v>39712.555499999995</v>
      </c>
      <c r="W15" s="729"/>
      <c r="X15" s="729">
        <f>$H$15/3</f>
        <v>39712.555499999995</v>
      </c>
      <c r="Y15" s="729">
        <f>$H$15/3</f>
        <v>39712.555499999995</v>
      </c>
      <c r="Z15" s="729"/>
      <c r="AA15" s="729"/>
      <c r="AB15" s="729"/>
      <c r="AC15" s="729"/>
      <c r="AD15" s="729"/>
      <c r="AE15" s="729"/>
      <c r="AF15" s="729"/>
      <c r="AG15" s="729"/>
      <c r="AH15" s="729"/>
    </row>
    <row r="16" spans="2:60">
      <c r="B16" s="738" t="str">
        <f>ANACO!AW4</f>
        <v>Posa SER e FAC..
TOTALE</v>
      </c>
      <c r="C16" s="739"/>
      <c r="D16" s="740">
        <f t="shared" si="0"/>
        <v>0</v>
      </c>
      <c r="E16" s="737">
        <f t="shared" si="1"/>
        <v>0</v>
      </c>
      <c r="F16" s="727">
        <v>0.9</v>
      </c>
      <c r="G16" s="737">
        <f t="shared" si="3"/>
        <v>0</v>
      </c>
      <c r="H16" s="741">
        <f t="shared" si="4"/>
        <v>0</v>
      </c>
      <c r="I16" s="742">
        <f t="shared" si="2"/>
        <v>0</v>
      </c>
      <c r="J16" s="729"/>
      <c r="K16" s="729"/>
      <c r="L16" s="729"/>
      <c r="M16" s="729"/>
      <c r="N16" s="729"/>
      <c r="O16" s="729"/>
      <c r="P16" s="729"/>
      <c r="Q16" s="729"/>
      <c r="R16" s="729"/>
      <c r="S16" s="729"/>
      <c r="T16" s="729"/>
      <c r="U16" s="729"/>
      <c r="V16" s="729"/>
      <c r="W16" s="729"/>
      <c r="X16" s="729"/>
      <c r="Y16" s="729">
        <f>$H$16/3</f>
        <v>0</v>
      </c>
      <c r="Z16" s="729">
        <f>$H$16/3</f>
        <v>0</v>
      </c>
      <c r="AA16" s="729">
        <f>$H$16/3</f>
        <v>0</v>
      </c>
      <c r="AB16" s="729"/>
      <c r="AC16" s="729"/>
      <c r="AD16" s="729"/>
      <c r="AE16" s="729"/>
      <c r="AF16" s="729"/>
      <c r="AG16" s="729"/>
      <c r="AH16" s="729"/>
    </row>
    <row r="17" spans="2:36">
      <c r="B17" s="743" t="str">
        <f>ANACO!AY4</f>
        <v>FW 
FINITA
TOTALE</v>
      </c>
      <c r="C17" s="739">
        <f>ANACO!AY157</f>
        <v>95000</v>
      </c>
      <c r="D17" s="740">
        <f t="shared" si="0"/>
        <v>95000</v>
      </c>
      <c r="E17" s="737">
        <f t="shared" si="1"/>
        <v>90250</v>
      </c>
      <c r="F17" s="727">
        <v>0.95</v>
      </c>
      <c r="G17" s="737">
        <f t="shared" si="3"/>
        <v>90250</v>
      </c>
      <c r="H17" s="741">
        <f t="shared" si="4"/>
        <v>110105</v>
      </c>
      <c r="I17" s="742">
        <f t="shared" si="2"/>
        <v>110105</v>
      </c>
      <c r="J17" s="729"/>
      <c r="K17" s="729"/>
      <c r="L17" s="729"/>
      <c r="M17" s="729"/>
      <c r="N17" s="729"/>
      <c r="O17" s="729"/>
      <c r="P17" s="729"/>
      <c r="Q17" s="729"/>
      <c r="R17" s="729"/>
      <c r="S17" s="729"/>
      <c r="T17" s="729"/>
      <c r="U17" s="729"/>
      <c r="V17" s="729"/>
      <c r="W17" s="729"/>
      <c r="X17" s="729">
        <f>$H$17/4</f>
        <v>27526.25</v>
      </c>
      <c r="Z17" s="729">
        <f t="shared" ref="Z17:AB17" si="7">$H$17/4</f>
        <v>27526.25</v>
      </c>
      <c r="AA17" s="729">
        <f t="shared" si="7"/>
        <v>27526.25</v>
      </c>
      <c r="AB17" s="729">
        <f t="shared" si="7"/>
        <v>27526.25</v>
      </c>
      <c r="AC17" s="729"/>
      <c r="AD17" s="729"/>
      <c r="AE17" s="729"/>
      <c r="AF17" s="729"/>
      <c r="AG17" s="729"/>
      <c r="AH17" s="729"/>
    </row>
    <row r="18" spans="2:36">
      <c r="B18" s="738" t="str">
        <f>ANACO!BA4</f>
        <v>NOLO
TOTALE</v>
      </c>
      <c r="C18" s="739">
        <f>ANACO!BA157</f>
        <v>0</v>
      </c>
      <c r="D18" s="740">
        <f t="shared" si="0"/>
        <v>0</v>
      </c>
      <c r="E18" s="737">
        <f t="shared" si="1"/>
        <v>0</v>
      </c>
      <c r="F18" s="727">
        <v>1</v>
      </c>
      <c r="G18" s="737">
        <f t="shared" si="3"/>
        <v>0</v>
      </c>
      <c r="H18" s="741">
        <f t="shared" si="4"/>
        <v>0</v>
      </c>
      <c r="I18" s="742">
        <f t="shared" si="2"/>
        <v>0</v>
      </c>
      <c r="J18" s="729"/>
      <c r="K18" s="729"/>
      <c r="L18" s="729"/>
      <c r="M18" s="729"/>
      <c r="N18" s="729"/>
      <c r="O18" s="729"/>
      <c r="P18" s="729"/>
      <c r="Q18" s="729"/>
      <c r="R18" s="729"/>
      <c r="S18" s="729"/>
      <c r="T18" s="729"/>
      <c r="U18" s="729"/>
      <c r="V18" s="729"/>
      <c r="W18" s="729"/>
      <c r="X18" s="729"/>
      <c r="Y18" s="729"/>
      <c r="Z18" s="729"/>
      <c r="AA18" s="729"/>
      <c r="AB18" s="729"/>
      <c r="AC18" s="729"/>
      <c r="AD18" s="729"/>
      <c r="AE18" s="729"/>
      <c r="AF18" s="729"/>
      <c r="AG18" s="729"/>
      <c r="AH18" s="729"/>
    </row>
    <row r="19" spans="2:36">
      <c r="B19" s="738" t="str">
        <f>ANACO!BF4</f>
        <v>Trasporto
e
Imballo
TOT.</v>
      </c>
      <c r="C19" s="739">
        <f>ANACO!BF157</f>
        <v>11137.487460000004</v>
      </c>
      <c r="D19" s="740">
        <f t="shared" si="0"/>
        <v>11137.487460000004</v>
      </c>
      <c r="E19" s="737">
        <f t="shared" si="1"/>
        <v>8909.9899680000035</v>
      </c>
      <c r="F19" s="727">
        <v>0.8</v>
      </c>
      <c r="G19" s="737">
        <f t="shared" si="3"/>
        <v>8909.9899680000035</v>
      </c>
      <c r="H19" s="741">
        <f t="shared" si="4"/>
        <v>10870.187760960003</v>
      </c>
      <c r="I19" s="742">
        <f t="shared" si="2"/>
        <v>10870.187760960003</v>
      </c>
      <c r="J19" s="729"/>
      <c r="K19" s="729"/>
      <c r="L19" s="729"/>
      <c r="M19" s="729"/>
      <c r="N19" s="729"/>
      <c r="O19" s="729"/>
      <c r="P19" s="729"/>
      <c r="Q19" s="729"/>
      <c r="R19" s="729"/>
      <c r="S19" s="729"/>
      <c r="T19" s="729"/>
      <c r="U19" s="729"/>
      <c r="V19" s="729"/>
      <c r="X19" s="729">
        <f>$H$19/4</f>
        <v>2717.5469402400008</v>
      </c>
      <c r="Y19" s="729">
        <f t="shared" ref="Y19:AA19" si="8">$H$19/4</f>
        <v>2717.5469402400008</v>
      </c>
      <c r="Z19" s="729">
        <f t="shared" si="8"/>
        <v>2717.5469402400008</v>
      </c>
      <c r="AA19" s="729">
        <f t="shared" si="8"/>
        <v>2717.5469402400008</v>
      </c>
      <c r="AB19" s="729"/>
      <c r="AC19" s="729"/>
      <c r="AD19" s="729"/>
      <c r="AE19" s="729"/>
      <c r="AF19" s="729"/>
      <c r="AG19" s="729"/>
      <c r="AH19" s="729"/>
    </row>
    <row r="20" spans="2:36">
      <c r="B20" s="738" t="str">
        <f>ANACO!BH4</f>
        <v>sviluppo tecnico e PM
TOTALE.</v>
      </c>
      <c r="C20" s="739">
        <f>ANACO!BH157</f>
        <v>13921.859324999998</v>
      </c>
      <c r="D20" s="740">
        <f t="shared" si="0"/>
        <v>13921.859324999998</v>
      </c>
      <c r="E20" s="737">
        <f t="shared" si="1"/>
        <v>13921.859324999998</v>
      </c>
      <c r="F20" s="727">
        <v>1</v>
      </c>
      <c r="G20" s="744">
        <f>25000+41000</f>
        <v>66000</v>
      </c>
      <c r="H20" s="741">
        <f t="shared" si="4"/>
        <v>80520</v>
      </c>
      <c r="I20" s="742">
        <f>SUM(J20:AH20)</f>
        <v>80520</v>
      </c>
      <c r="J20" s="729">
        <f>H20*0.25</f>
        <v>20130</v>
      </c>
      <c r="K20" s="729"/>
      <c r="L20" s="729"/>
      <c r="M20" s="729"/>
      <c r="N20" s="729">
        <f>((41000*0.75)+(25000*0.25))*1.22</f>
        <v>45140</v>
      </c>
      <c r="O20" s="729"/>
      <c r="P20" s="729"/>
      <c r="Q20" s="729"/>
      <c r="R20" s="729"/>
      <c r="S20" s="729"/>
      <c r="T20" s="729"/>
      <c r="U20" s="729"/>
      <c r="V20" s="729"/>
      <c r="W20" s="729"/>
      <c r="X20" s="729"/>
      <c r="Y20" s="729"/>
      <c r="Z20" s="729"/>
      <c r="AA20" s="729"/>
      <c r="AB20" s="729"/>
      <c r="AC20" s="729"/>
      <c r="AD20" s="729"/>
      <c r="AE20" s="729"/>
      <c r="AF20" s="729"/>
      <c r="AG20" s="729">
        <f>12500*1.22</f>
        <v>15250</v>
      </c>
      <c r="AH20" s="729"/>
      <c r="AJ20" s="745"/>
    </row>
    <row r="21" spans="2:36">
      <c r="B21" s="738" t="str">
        <f>ANACO!BJ4</f>
        <v>PRESIDIO
CANTIERE
SITE MNG
NOLI
CANTIERIZZAZIONE TOT.</v>
      </c>
      <c r="C21" s="739">
        <f>ANACO!BJ157</f>
        <v>4640.619775000001</v>
      </c>
      <c r="D21" s="740">
        <f t="shared" si="0"/>
        <v>4640.619775000001</v>
      </c>
      <c r="E21" s="737">
        <f t="shared" si="1"/>
        <v>4640.619775000001</v>
      </c>
      <c r="F21" s="727">
        <v>1</v>
      </c>
      <c r="G21" s="737">
        <f t="shared" si="3"/>
        <v>4640.619775000001</v>
      </c>
      <c r="H21" s="741">
        <f t="shared" si="4"/>
        <v>5661.5561255000011</v>
      </c>
      <c r="I21" s="742">
        <f t="shared" ref="I21:I22" si="9">SUM(J21:AH21)</f>
        <v>5661.5561255000011</v>
      </c>
      <c r="J21" s="729"/>
      <c r="K21" s="729"/>
      <c r="L21" s="729"/>
      <c r="M21" s="729"/>
      <c r="N21" s="729"/>
      <c r="O21" s="729"/>
      <c r="P21" s="729"/>
      <c r="Q21" s="729"/>
      <c r="R21" s="729"/>
      <c r="S21" s="729"/>
      <c r="T21" s="729"/>
      <c r="U21" s="729"/>
      <c r="V21" s="729"/>
      <c r="W21" s="729">
        <f>$H$21/5</f>
        <v>1132.3112251000002</v>
      </c>
      <c r="X21" s="729">
        <f t="shared" ref="X21:AA21" si="10">$H$21/5</f>
        <v>1132.3112251000002</v>
      </c>
      <c r="Y21" s="729">
        <f t="shared" si="10"/>
        <v>1132.3112251000002</v>
      </c>
      <c r="Z21" s="729">
        <f t="shared" si="10"/>
        <v>1132.3112251000002</v>
      </c>
      <c r="AA21" s="729">
        <f t="shared" si="10"/>
        <v>1132.3112251000002</v>
      </c>
      <c r="AB21" s="729"/>
      <c r="AC21" s="729"/>
      <c r="AD21" s="729"/>
      <c r="AE21" s="729"/>
      <c r="AF21" s="729"/>
      <c r="AG21" s="729"/>
      <c r="AH21" s="729"/>
    </row>
    <row r="22" spans="2:36">
      <c r="B22" s="738" t="str">
        <f>ANACO!BL4</f>
        <v>EXTRA
TOT.</v>
      </c>
      <c r="C22" s="739">
        <f>ANACO!BL157</f>
        <v>9281.2395500000021</v>
      </c>
      <c r="D22" s="740">
        <f t="shared" si="0"/>
        <v>9281.2395500000021</v>
      </c>
      <c r="E22" s="737">
        <f t="shared" si="1"/>
        <v>9281.2395500000021</v>
      </c>
      <c r="F22" s="727">
        <v>1</v>
      </c>
      <c r="G22" s="737">
        <f t="shared" si="3"/>
        <v>9281.2395500000021</v>
      </c>
      <c r="H22" s="741">
        <f t="shared" si="4"/>
        <v>11323.112251000002</v>
      </c>
      <c r="I22" s="742">
        <f t="shared" si="9"/>
        <v>11323.112251000002</v>
      </c>
      <c r="J22" s="729"/>
      <c r="K22" s="729"/>
      <c r="L22" s="729"/>
      <c r="M22" s="729"/>
      <c r="N22" s="729"/>
      <c r="O22" s="729"/>
      <c r="P22" s="729"/>
      <c r="Q22" s="729"/>
      <c r="R22" s="729"/>
      <c r="S22" s="729"/>
      <c r="T22" s="729"/>
      <c r="U22" s="729"/>
      <c r="V22" s="729"/>
      <c r="W22" s="729">
        <f>$H$22/5</f>
        <v>2264.6224502000005</v>
      </c>
      <c r="X22" s="729">
        <f>$H$22/5</f>
        <v>2264.6224502000005</v>
      </c>
      <c r="Y22" s="729">
        <f t="shared" ref="Y22:AA22" si="11">$H$22/5</f>
        <v>2264.6224502000005</v>
      </c>
      <c r="Z22" s="729">
        <f t="shared" si="11"/>
        <v>2264.6224502000005</v>
      </c>
      <c r="AA22" s="729">
        <f t="shared" si="11"/>
        <v>2264.6224502000005</v>
      </c>
      <c r="AB22" s="729"/>
      <c r="AC22" s="729"/>
      <c r="AD22" s="729"/>
      <c r="AE22" s="729"/>
      <c r="AF22" s="729"/>
      <c r="AG22" s="729"/>
      <c r="AH22" s="729"/>
    </row>
    <row r="23" spans="2:36">
      <c r="B23" s="738"/>
      <c r="C23" s="739"/>
      <c r="D23" s="740">
        <f t="shared" si="0"/>
        <v>0</v>
      </c>
      <c r="I23" s="727" t="s">
        <v>444</v>
      </c>
      <c r="J23" s="729">
        <f>SUM(J3:J22)</f>
        <v>20130</v>
      </c>
      <c r="K23" s="729">
        <f t="shared" ref="K23:AH23" si="12">SUM(K3:K22)</f>
        <v>0</v>
      </c>
      <c r="L23" s="729">
        <f t="shared" si="12"/>
        <v>0</v>
      </c>
      <c r="M23" s="729">
        <f t="shared" si="12"/>
        <v>0</v>
      </c>
      <c r="N23" s="729">
        <f t="shared" si="12"/>
        <v>45140</v>
      </c>
      <c r="O23" s="729">
        <f t="shared" si="12"/>
        <v>0</v>
      </c>
      <c r="P23" s="729">
        <f t="shared" si="12"/>
        <v>0</v>
      </c>
      <c r="Q23" s="729">
        <f t="shared" si="12"/>
        <v>0</v>
      </c>
      <c r="R23" s="729">
        <f t="shared" si="12"/>
        <v>0</v>
      </c>
      <c r="S23" s="729">
        <f t="shared" si="12"/>
        <v>161728.4631776</v>
      </c>
      <c r="T23" s="729">
        <f t="shared" si="12"/>
        <v>83143.692244266655</v>
      </c>
      <c r="U23" s="729">
        <f t="shared" si="12"/>
        <v>138423.71919426665</v>
      </c>
      <c r="V23" s="729">
        <f t="shared" si="12"/>
        <v>114220.991958</v>
      </c>
      <c r="W23" s="729">
        <f t="shared" si="12"/>
        <v>63668.970858633329</v>
      </c>
      <c r="X23" s="729">
        <f t="shared" si="12"/>
        <v>126552.69720887333</v>
      </c>
      <c r="Y23" s="729">
        <f t="shared" si="12"/>
        <v>101107.06306553999</v>
      </c>
      <c r="Z23" s="729">
        <f t="shared" si="12"/>
        <v>88920.75756554</v>
      </c>
      <c r="AA23" s="729">
        <f t="shared" si="12"/>
        <v>33640.73061554</v>
      </c>
      <c r="AB23" s="729">
        <f t="shared" si="12"/>
        <v>27526.25</v>
      </c>
      <c r="AC23" s="729">
        <f t="shared" si="12"/>
        <v>0</v>
      </c>
      <c r="AD23" s="729">
        <f t="shared" si="12"/>
        <v>0</v>
      </c>
      <c r="AE23" s="729">
        <f t="shared" si="12"/>
        <v>0</v>
      </c>
      <c r="AF23" s="729">
        <f t="shared" si="12"/>
        <v>0</v>
      </c>
      <c r="AG23" s="729">
        <f t="shared" si="12"/>
        <v>15250</v>
      </c>
      <c r="AH23" s="729">
        <f t="shared" si="12"/>
        <v>0</v>
      </c>
    </row>
    <row r="24" spans="2:36">
      <c r="B24" s="738" t="str">
        <f>ANACO!BM3</f>
        <v>COSTI 
INDUSTRIALI DA COSTI MATERIALE</v>
      </c>
      <c r="C24" s="739">
        <f>ANACO!BO157</f>
        <v>0</v>
      </c>
      <c r="D24" s="740">
        <f t="shared" si="0"/>
        <v>0</v>
      </c>
      <c r="J24" s="729"/>
      <c r="K24" s="729"/>
      <c r="L24" s="729"/>
      <c r="M24" s="729"/>
      <c r="N24" s="729"/>
      <c r="O24" s="729"/>
      <c r="P24" s="729"/>
      <c r="Q24" s="729"/>
      <c r="R24" s="729"/>
      <c r="S24" s="729"/>
      <c r="T24" s="729"/>
      <c r="U24" s="729"/>
      <c r="V24" s="729"/>
      <c r="W24" s="729"/>
      <c r="X24" s="729"/>
      <c r="Y24" s="729"/>
      <c r="Z24" s="729"/>
      <c r="AA24" s="729"/>
      <c r="AB24" s="729"/>
      <c r="AC24" s="729"/>
      <c r="AD24" s="729"/>
      <c r="AE24" s="729"/>
      <c r="AF24" s="729"/>
      <c r="AG24" s="729"/>
      <c r="AH24" s="729"/>
    </row>
    <row r="25" spans="2:36">
      <c r="B25" s="746" t="str">
        <f>ANACO!BP3</f>
        <v>MOL SU BASE
COSTI MATERIALE</v>
      </c>
      <c r="C25" s="739">
        <f>D27-(C3+C4+C5+C6+C7+C8+C9+C10+C11+C12+C13+C14+C15+C16+C17+C18+C19+C20+C21+C22)</f>
        <v>430582.67560000019</v>
      </c>
      <c r="D25" s="740">
        <f t="shared" si="0"/>
        <v>430582.67560000019</v>
      </c>
      <c r="I25" s="727" t="s">
        <v>445</v>
      </c>
      <c r="J25" s="729">
        <f>E28</f>
        <v>231331.18328793001</v>
      </c>
      <c r="K25" s="729">
        <v>0</v>
      </c>
      <c r="L25" s="729">
        <v>0</v>
      </c>
      <c r="M25" s="729">
        <f>E29</f>
        <v>539772.76100516994</v>
      </c>
      <c r="N25" s="729"/>
      <c r="O25" s="729"/>
      <c r="P25" s="729"/>
      <c r="Q25" s="729"/>
      <c r="R25" s="729"/>
      <c r="S25" s="729"/>
      <c r="T25" s="729"/>
      <c r="U25" s="729"/>
      <c r="V25" s="729"/>
      <c r="W25" s="729"/>
      <c r="X25" s="729">
        <f>$E$30/4</f>
        <v>192775.98607327501</v>
      </c>
      <c r="Y25" s="729">
        <f t="shared" ref="Y25:AA25" si="13">$E$30/4</f>
        <v>192775.98607327501</v>
      </c>
      <c r="Z25" s="729">
        <f t="shared" si="13"/>
        <v>192775.98607327501</v>
      </c>
      <c r="AA25" s="729">
        <f t="shared" si="13"/>
        <v>192775.98607327501</v>
      </c>
      <c r="AB25" s="729"/>
      <c r="AC25" s="729"/>
      <c r="AD25" s="729"/>
      <c r="AE25" s="729"/>
      <c r="AH25" s="737">
        <f>$D$28*H26</f>
        <v>77110.394429310007</v>
      </c>
    </row>
    <row r="26" spans="2:36">
      <c r="B26" s="738" t="s">
        <v>440</v>
      </c>
      <c r="C26" s="747">
        <v>0</v>
      </c>
      <c r="D26" s="748"/>
      <c r="H26" s="727">
        <v>0.05</v>
      </c>
      <c r="I26" s="727" t="s">
        <v>446</v>
      </c>
      <c r="J26" s="729">
        <f>J25*$H$26</f>
        <v>11566.559164396502</v>
      </c>
      <c r="K26" s="729">
        <f t="shared" ref="K26:AG26" si="14">K25*$H$26</f>
        <v>0</v>
      </c>
      <c r="L26" s="729">
        <f t="shared" si="14"/>
        <v>0</v>
      </c>
      <c r="M26" s="729">
        <f t="shared" si="14"/>
        <v>26988.638050258498</v>
      </c>
      <c r="N26" s="729">
        <f t="shared" si="14"/>
        <v>0</v>
      </c>
      <c r="O26" s="729">
        <f t="shared" si="14"/>
        <v>0</v>
      </c>
      <c r="P26" s="729">
        <f t="shared" si="14"/>
        <v>0</v>
      </c>
      <c r="Q26" s="729">
        <f t="shared" si="14"/>
        <v>0</v>
      </c>
      <c r="R26" s="729">
        <f t="shared" si="14"/>
        <v>0</v>
      </c>
      <c r="S26" s="729">
        <f t="shared" si="14"/>
        <v>0</v>
      </c>
      <c r="T26" s="729">
        <f t="shared" si="14"/>
        <v>0</v>
      </c>
      <c r="U26" s="729">
        <f t="shared" si="14"/>
        <v>0</v>
      </c>
      <c r="V26" s="729">
        <f t="shared" si="14"/>
        <v>0</v>
      </c>
      <c r="W26" s="729">
        <f t="shared" si="14"/>
        <v>0</v>
      </c>
      <c r="X26" s="729">
        <f t="shared" si="14"/>
        <v>9638.7993036637508</v>
      </c>
      <c r="Y26" s="729">
        <f t="shared" si="14"/>
        <v>9638.7993036637508</v>
      </c>
      <c r="Z26" s="729">
        <f t="shared" si="14"/>
        <v>9638.7993036637508</v>
      </c>
      <c r="AA26" s="729">
        <f t="shared" si="14"/>
        <v>9638.7993036637508</v>
      </c>
      <c r="AB26" s="729">
        <f t="shared" si="14"/>
        <v>0</v>
      </c>
      <c r="AC26" s="729">
        <f t="shared" si="14"/>
        <v>0</v>
      </c>
      <c r="AD26" s="729">
        <f t="shared" si="14"/>
        <v>0</v>
      </c>
      <c r="AE26" s="729">
        <f t="shared" si="14"/>
        <v>0</v>
      </c>
      <c r="AF26" s="729">
        <f t="shared" si="14"/>
        <v>0</v>
      </c>
      <c r="AG26" s="729">
        <f t="shared" si="14"/>
        <v>0</v>
      </c>
      <c r="AH26" s="729"/>
    </row>
    <row r="27" spans="2:36" ht="8.25" thickBot="1">
      <c r="B27" s="749" t="s">
        <v>441</v>
      </c>
      <c r="C27" s="750">
        <f>SUM(C3:C25)*C26</f>
        <v>0</v>
      </c>
      <c r="D27" s="751">
        <v>1264104.8267100002</v>
      </c>
      <c r="E27" s="737">
        <f>SUM(E3:E26)</f>
        <v>783539.34775800002</v>
      </c>
      <c r="I27" s="727" t="s">
        <v>447</v>
      </c>
      <c r="J27" s="737">
        <f>J25-J23-J26</f>
        <v>199634.62412353349</v>
      </c>
      <c r="K27" s="737">
        <f>J27+(K25-K23-K26)</f>
        <v>199634.62412353349</v>
      </c>
      <c r="L27" s="737">
        <f t="shared" ref="L27:AG27" si="15">K27+(L25-L23-L26)</f>
        <v>199634.62412353349</v>
      </c>
      <c r="M27" s="737">
        <f t="shared" si="15"/>
        <v>712418.74707844493</v>
      </c>
      <c r="N27" s="737">
        <f t="shared" si="15"/>
        <v>667278.74707844493</v>
      </c>
      <c r="O27" s="737">
        <f t="shared" si="15"/>
        <v>667278.74707844493</v>
      </c>
      <c r="P27" s="737">
        <f t="shared" si="15"/>
        <v>667278.74707844493</v>
      </c>
      <c r="Q27" s="737">
        <f t="shared" si="15"/>
        <v>667278.74707844493</v>
      </c>
      <c r="R27" s="737">
        <f t="shared" si="15"/>
        <v>667278.74707844493</v>
      </c>
      <c r="S27" s="737">
        <f t="shared" si="15"/>
        <v>505550.28390084492</v>
      </c>
      <c r="T27" s="737">
        <f t="shared" si="15"/>
        <v>422406.59165657824</v>
      </c>
      <c r="U27" s="737">
        <f t="shared" si="15"/>
        <v>283982.87246231158</v>
      </c>
      <c r="V27" s="737">
        <f t="shared" si="15"/>
        <v>169761.88050431159</v>
      </c>
      <c r="W27" s="737">
        <f t="shared" si="15"/>
        <v>106092.90964567826</v>
      </c>
      <c r="X27" s="737">
        <f t="shared" si="15"/>
        <v>162677.39920641619</v>
      </c>
      <c r="Y27" s="737">
        <f t="shared" si="15"/>
        <v>244707.52291048746</v>
      </c>
      <c r="Z27" s="737">
        <f t="shared" si="15"/>
        <v>338923.95211455872</v>
      </c>
      <c r="AA27" s="737">
        <f t="shared" si="15"/>
        <v>488420.40826862998</v>
      </c>
      <c r="AB27" s="737">
        <f t="shared" si="15"/>
        <v>460894.15826862998</v>
      </c>
      <c r="AC27" s="737">
        <f t="shared" si="15"/>
        <v>460894.15826862998</v>
      </c>
      <c r="AD27" s="737">
        <f t="shared" si="15"/>
        <v>460894.15826862998</v>
      </c>
      <c r="AE27" s="737">
        <f t="shared" si="15"/>
        <v>460894.15826862998</v>
      </c>
      <c r="AF27" s="737">
        <f t="shared" si="15"/>
        <v>460894.15826862998</v>
      </c>
      <c r="AG27" s="737">
        <f t="shared" si="15"/>
        <v>445644.15826862998</v>
      </c>
      <c r="AH27" s="737">
        <f>AG27+(AH25-AH23-AH26)</f>
        <v>522754.55269793997</v>
      </c>
    </row>
    <row r="28" spans="2:36">
      <c r="C28" s="752">
        <v>1.22</v>
      </c>
      <c r="D28" s="729">
        <f>D27*C28</f>
        <v>1542207.8885862001</v>
      </c>
      <c r="E28" s="737">
        <f>$D$28*F28</f>
        <v>231331.18328793001</v>
      </c>
      <c r="F28" s="727">
        <v>0.15</v>
      </c>
      <c r="L28" s="729"/>
      <c r="M28" s="729"/>
      <c r="N28" s="729"/>
      <c r="O28" s="729"/>
      <c r="P28" s="729"/>
      <c r="Q28" s="729"/>
      <c r="R28" s="729"/>
      <c r="S28" s="729"/>
      <c r="T28" s="729"/>
      <c r="U28" s="729"/>
      <c r="V28" s="729"/>
      <c r="W28" s="729"/>
      <c r="X28" s="729"/>
      <c r="Y28" s="729"/>
      <c r="Z28" s="729"/>
      <c r="AA28" s="729"/>
      <c r="AB28" s="729"/>
      <c r="AC28" s="729"/>
      <c r="AD28" s="729"/>
      <c r="AE28" s="729"/>
    </row>
    <row r="29" spans="2:36">
      <c r="E29" s="737">
        <f t="shared" ref="E29:E30" si="16">$D$28*F29</f>
        <v>539772.76100516994</v>
      </c>
      <c r="F29" s="727">
        <v>0.35</v>
      </c>
      <c r="L29" s="729"/>
      <c r="M29" s="729"/>
      <c r="N29" s="729"/>
      <c r="O29" s="729"/>
      <c r="P29" s="729"/>
      <c r="Q29" s="729"/>
      <c r="R29" s="729"/>
      <c r="S29" s="729"/>
      <c r="T29" s="729"/>
      <c r="U29" s="729"/>
      <c r="V29" s="729"/>
      <c r="W29" s="729"/>
      <c r="X29" s="729"/>
      <c r="Y29" s="729"/>
      <c r="Z29" s="729"/>
      <c r="AA29" s="729"/>
      <c r="AB29" s="729"/>
      <c r="AC29" s="729"/>
      <c r="AD29" s="729"/>
      <c r="AE29" s="729"/>
    </row>
    <row r="30" spans="2:36">
      <c r="E30" s="737">
        <f t="shared" si="16"/>
        <v>771103.94429310004</v>
      </c>
      <c r="F30" s="727">
        <v>0.5</v>
      </c>
      <c r="L30" s="729"/>
      <c r="M30" s="729"/>
      <c r="N30" s="729"/>
      <c r="O30" s="729"/>
      <c r="P30" s="729"/>
      <c r="Q30" s="729"/>
      <c r="R30" s="729"/>
      <c r="S30" s="729"/>
      <c r="T30" s="729"/>
      <c r="U30" s="729"/>
      <c r="V30" s="729"/>
      <c r="W30" s="729"/>
      <c r="X30" s="729"/>
      <c r="Y30" s="729"/>
      <c r="Z30" s="729"/>
      <c r="AA30" s="729"/>
      <c r="AB30" s="729"/>
      <c r="AC30" s="729"/>
      <c r="AD30" s="729"/>
      <c r="AE30" s="729"/>
    </row>
    <row r="31" spans="2:36">
      <c r="D31" s="727">
        <f>D25/D27</f>
        <v>0.34062260225732111</v>
      </c>
      <c r="M31" s="737"/>
    </row>
    <row r="32" spans="2:36">
      <c r="B32" s="727" t="s">
        <v>448</v>
      </c>
      <c r="C32" s="729">
        <v>130000</v>
      </c>
      <c r="F32" s="727">
        <v>0.25</v>
      </c>
      <c r="M32" s="737"/>
    </row>
    <row r="33" spans="2:6">
      <c r="C33" s="729">
        <f>D27-C32</f>
        <v>1134104.8267100002</v>
      </c>
      <c r="F33" s="727">
        <v>0.1</v>
      </c>
    </row>
    <row r="34" spans="2:6">
      <c r="B34" s="727" t="s">
        <v>449</v>
      </c>
      <c r="C34" s="729">
        <v>60000</v>
      </c>
      <c r="F34" s="727">
        <v>0.65</v>
      </c>
    </row>
    <row r="35" spans="2:6">
      <c r="B35" s="727" t="s">
        <v>450</v>
      </c>
      <c r="C35" s="729">
        <f>C33-C34</f>
        <v>1074104.8267100002</v>
      </c>
    </row>
    <row r="36" spans="2:6">
      <c r="B36" s="727" t="s">
        <v>451</v>
      </c>
      <c r="C36" s="729">
        <f>SUM(C3:C24)</f>
        <v>833522.15110999998</v>
      </c>
    </row>
    <row r="37" spans="2:6">
      <c r="B37" s="727" t="s">
        <v>452</v>
      </c>
      <c r="C37" s="729">
        <f>C35-C36</f>
        <v>240582.67560000019</v>
      </c>
    </row>
  </sheetData>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4A0CB1-D754-4028-8F3B-ADD4B45F8E77}">
  <dimension ref="B1:AG5"/>
  <sheetViews>
    <sheetView workbookViewId="0">
      <selection activeCell="F5" sqref="F5"/>
    </sheetView>
  </sheetViews>
  <sheetFormatPr defaultRowHeight="14.25"/>
  <cols>
    <col min="2" max="2" width="42" bestFit="1" customWidth="1"/>
  </cols>
  <sheetData>
    <row r="1" spans="2:33" s="156" customFormat="1" ht="31.5">
      <c r="B1" s="655" t="s">
        <v>453</v>
      </c>
      <c r="C1" s="753" t="s">
        <v>443</v>
      </c>
      <c r="D1" s="754">
        <v>46296</v>
      </c>
      <c r="E1" s="754">
        <v>46327</v>
      </c>
      <c r="F1" s="754">
        <v>46357</v>
      </c>
      <c r="G1" s="755">
        <v>46388</v>
      </c>
      <c r="H1" s="728"/>
      <c r="I1" s="728"/>
      <c r="J1" s="728"/>
      <c r="K1" s="728"/>
      <c r="L1" s="728"/>
      <c r="M1" s="728"/>
      <c r="N1" s="728"/>
      <c r="O1" s="728"/>
      <c r="P1" s="728"/>
      <c r="Q1" s="728"/>
      <c r="R1" s="728"/>
      <c r="S1" s="728"/>
      <c r="T1" s="728"/>
      <c r="U1" s="728"/>
      <c r="V1" s="728"/>
      <c r="W1" s="728"/>
      <c r="X1" s="728"/>
      <c r="Y1" s="728"/>
      <c r="Z1" s="728"/>
      <c r="AA1" s="728"/>
      <c r="AB1" s="728"/>
      <c r="AC1" s="728"/>
      <c r="AD1" s="728"/>
      <c r="AE1" s="728"/>
      <c r="AF1" s="728"/>
      <c r="AG1" s="728"/>
    </row>
    <row r="2" spans="2:33" s="156" customFormat="1" ht="10.5">
      <c r="B2" s="658"/>
      <c r="C2" s="161"/>
      <c r="D2" s="161"/>
      <c r="E2" s="161"/>
      <c r="F2" s="161"/>
      <c r="G2" s="662"/>
    </row>
    <row r="3" spans="2:33" s="156" customFormat="1" ht="10.5">
      <c r="B3" s="658" t="s">
        <v>161</v>
      </c>
      <c r="C3" s="653">
        <v>151575.77953279999</v>
      </c>
      <c r="D3" s="653">
        <f>$C$3/4</f>
        <v>37893.944883199998</v>
      </c>
      <c r="E3" s="653">
        <f t="shared" ref="E3:G3" si="0">$C$3/4</f>
        <v>37893.944883199998</v>
      </c>
      <c r="F3" s="653">
        <f t="shared" si="0"/>
        <v>37893.944883199998</v>
      </c>
      <c r="G3" s="756">
        <f t="shared" si="0"/>
        <v>37893.944883199998</v>
      </c>
    </row>
    <row r="4" spans="2:33" s="156" customFormat="1" ht="10.5">
      <c r="B4" s="658"/>
      <c r="C4" s="161"/>
      <c r="D4" s="161"/>
      <c r="E4" s="161"/>
      <c r="F4" s="161"/>
      <c r="G4" s="662"/>
    </row>
    <row r="5" spans="2:33" ht="32.65" thickBot="1">
      <c r="B5" s="757" t="s">
        <v>454</v>
      </c>
      <c r="C5" s="758">
        <v>46266</v>
      </c>
      <c r="D5" s="759"/>
      <c r="E5" s="759"/>
      <c r="F5" s="759"/>
      <c r="G5" s="760"/>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HP</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Emanuele</dc:creator>
  <cp:keywords/>
  <dc:description/>
  <cp:lastModifiedBy>Guest User</cp:lastModifiedBy>
  <cp:revision/>
  <dcterms:created xsi:type="dcterms:W3CDTF">2014-03-25T17:46:41Z</dcterms:created>
  <dcterms:modified xsi:type="dcterms:W3CDTF">2026-05-20T14:24:56Z</dcterms:modified>
  <cp:category/>
  <cp:contentStatus/>
</cp:coreProperties>
</file>